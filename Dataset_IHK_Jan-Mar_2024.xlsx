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" sheetId="1" r:id="rId5"/>
    <sheet state="visible" name="Reference" sheetId="2" r:id="rId6"/>
    <sheet state="visible" name="Dataset Indeks Harga Konsumen" sheetId="3" r:id="rId7"/>
    <sheet state="visible" name="Business Question" sheetId="4" r:id="rId8"/>
    <sheet state="visible" name="Pivot Table" sheetId="5" r:id="rId9"/>
    <sheet state="visible" name="Pivot Table 5" sheetId="6" r:id="rId10"/>
  </sheets>
  <definedNames>
    <definedName hidden="1" localSheetId="2" name="_xlnm._FilterDatabase">'Dataset Indeks Harga Konsumen'!$A$4:$M$3304</definedName>
    <definedName name="MY_FUNCTION1">LAMBDA((('Dataset Indeks Harga Konsumen'!$H$5-'Dataset Indeks Harga Konsumen'!$I$5)/'Dataset Indeks Harga Konsumen'!$I$5)*100)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<sst xmlns="http://schemas.openxmlformats.org/spreadsheetml/2006/main" count="11188" uniqueCount="3792">
  <si>
    <t>Instruction</t>
  </si>
  <si>
    <t>Day 2</t>
  </si>
  <si>
    <t>Lakukan cleansing data di tab sheet "Dataset Index Harga Konsumen" kemudian lengkapi kolom berwarna kuning dengan acuan referensi yang ada di tab sheet "Reference"</t>
  </si>
  <si>
    <t>Day 3</t>
  </si>
  <si>
    <t>Jawab pertanyaan Business Question A yang ada di tab sheet "Business Question dengan menggunakan Pivot Table, tab sheet Pivot Table telah disediakan</t>
  </si>
  <si>
    <t>Day 5</t>
  </si>
  <si>
    <t>Buatlah Visualisasi Data dengan Looker Studio berdasarkan pertanyaan Business Question B yang ada di sheet "Business Question", gunakan chart yang sesuai menurut penilaian kamu</t>
  </si>
  <si>
    <t>Glossary</t>
  </si>
  <si>
    <t>Istilah</t>
  </si>
  <si>
    <t>Definisi</t>
  </si>
  <si>
    <t>IHK - Indeks Harga KOnsumen</t>
  </si>
  <si>
    <t>Indeks yang mengukur rata-rata perubahan harga dari sekelompok barang dan jasa yang dikonsumsi oleh rumah tangga dalam suatu periode waktu tertentu.</t>
  </si>
  <si>
    <t>Inflasi</t>
  </si>
  <si>
    <t>Kenaikan harga barang dan jasa secara umum dan terus-menerus dalam suatu periode waktu tertentu.</t>
  </si>
  <si>
    <t>Deflasi</t>
  </si>
  <si>
    <t>Penurunan harga barang dan jasa secara umum dan terus-menerus dalam suatu periode waktu tertentu.</t>
  </si>
  <si>
    <t>M-t-M</t>
  </si>
  <si>
    <t>Month-to-Month, yang berarti perbandingan atau perubahan dari bulan ke bulan.</t>
  </si>
  <si>
    <t>Akselerasi</t>
  </si>
  <si>
    <t>Proses atau keadaan meningkatnya kecepatan suatu perubahan, bisa berarti percepatan dalam laju pertumbuhan, perkembangan, atau peningkatan sesuatu.</t>
  </si>
  <si>
    <t>Perubahan Poin Absolut</t>
  </si>
  <si>
    <t>Selisih langsung (dalam satuan poin) antara dua nilai indeks atau persentase</t>
  </si>
  <si>
    <t>Fluktuatif</t>
  </si>
  <si>
    <t>Keadaan yang berubah-ubah secara tidak tetap atau tidak stabil dalam suatu periode waktu.</t>
  </si>
  <si>
    <t>Data Agregat</t>
  </si>
  <si>
    <t>Data yang diperoleh dengan cara menggabungkan atau menjumlahkan data dari beberapa individu, kelompok, atau kategori menjadi satu kesatuan yang lebih besar.</t>
  </si>
  <si>
    <t>Peta Panas</t>
  </si>
  <si>
    <t>Visualisasi data dalam bentuk warna yang menunjukkan tingkat intensitas, frekuensi, atau nilai dari suatu variabel di suatu area atau tabel.</t>
  </si>
  <si>
    <t>Kontributor Poin</t>
  </si>
  <si>
    <t>Unsur atau komponen yang memberikan sumbangan (kontribusi) terhadap perubahan total suatu nilai dalam satuan poin.</t>
  </si>
  <si>
    <t>Control Interaktif</t>
  </si>
  <si>
    <t>Komponen atau elemen pada dashboard Looker Studio yang memungkinkan pengguna berinteraksi langsung dengan data — misalnya memfilter, memilih rentang waktu, atau menampilkan subset data tertentu secara dinamis.</t>
  </si>
  <si>
    <t>Ref 1. Data Provinsi dan Kota/Kabupaten</t>
  </si>
  <si>
    <t>Ref 2. Kelompok Kategori</t>
  </si>
  <si>
    <t>Ref 3a. Laju Inflasi</t>
  </si>
  <si>
    <t>Ref 4a. Perubahan Harga Relatif</t>
  </si>
  <si>
    <t>Kota/Kabupaten</t>
  </si>
  <si>
    <t>Provinsi</t>
  </si>
  <si>
    <t>Kelompok Kategori</t>
  </si>
  <si>
    <t>Kategori ID</t>
  </si>
  <si>
    <t>Kategori</t>
  </si>
  <si>
    <t>Kriteria</t>
  </si>
  <si>
    <t>Output</t>
  </si>
  <si>
    <t>Status</t>
  </si>
  <si>
    <t>Kab Aceh Tengah</t>
  </si>
  <si>
    <t>Aceh</t>
  </si>
  <si>
    <t xml:space="preserve">Makanan dan Pakaian </t>
  </si>
  <si>
    <t>SUB-1124</t>
  </si>
  <si>
    <t>Makanan</t>
  </si>
  <si>
    <t>&gt; 0.50%</t>
  </si>
  <si>
    <t>Inflasi Tinggi</t>
  </si>
  <si>
    <t xml:space="preserve">Inflasi M-t-M (Persentase) ≥ 0.5% DAN Perubahan Poin IHK (Absolut) ≥ 2.0 </t>
  </si>
  <si>
    <t>Akselerasi Kuat</t>
  </si>
  <si>
    <t>Inflasi Tinggi dengan Dampak yang Berat</t>
  </si>
  <si>
    <t>Meulaboh</t>
  </si>
  <si>
    <t>SUB-1224</t>
  </si>
  <si>
    <t>Minuman</t>
  </si>
  <si>
    <t>&gt; 0.00% dan ≤ 0.50%</t>
  </si>
  <si>
    <t>Inflasi Normal</t>
  </si>
  <si>
    <t xml:space="preserve">Inflasi M-t-M (Persentase) ≥ 0.5% </t>
  </si>
  <si>
    <t>Akselerasi Persentase</t>
  </si>
  <si>
    <t>Sinyal Awal terjadi Inflasi yang Signifikan</t>
  </si>
  <si>
    <t>Kab Aceh Tamiang</t>
  </si>
  <si>
    <t>SUB-1324</t>
  </si>
  <si>
    <t>Pakaian</t>
  </si>
  <si>
    <t>0.00%</t>
  </si>
  <si>
    <t>Stabil</t>
  </si>
  <si>
    <t>Perubahan Poin IHK (Absolut) ≥ 2.0</t>
  </si>
  <si>
    <t>Akselerasi Poin Absolut</t>
  </si>
  <si>
    <t>Harga Barang Sudah Mahal</t>
  </si>
  <si>
    <t>Kota Banda Aceh</t>
  </si>
  <si>
    <t>SUB-1424</t>
  </si>
  <si>
    <t>Alas Kaki</t>
  </si>
  <si>
    <t>&lt; 0.00%</t>
  </si>
  <si>
    <t>Selain ketiga hal di atas</t>
  </si>
  <si>
    <t>Perubahan Normal</t>
  </si>
  <si>
    <t>Normal</t>
  </si>
  <si>
    <t>Kota Lhokseumawe</t>
  </si>
  <si>
    <t>Rumah Tangga</t>
  </si>
  <si>
    <t>SUB-2124</t>
  </si>
  <si>
    <t>Sewa Rumah</t>
  </si>
  <si>
    <t>Kab Labuhanbatu</t>
  </si>
  <si>
    <t>Sumatera Utara</t>
  </si>
  <si>
    <t>SUB-2224</t>
  </si>
  <si>
    <t>Listrik</t>
  </si>
  <si>
    <t>Ref 3b. Rumus Laju Inflasi</t>
  </si>
  <si>
    <t>Ref 4b. Rumus Perubahan Poin IHK</t>
  </si>
  <si>
    <t>Kab Karo</t>
  </si>
  <si>
    <t>SUB-2324</t>
  </si>
  <si>
    <t>Furniture</t>
  </si>
  <si>
    <t>((IHK periode ini – IHK periode sebelumnya) / IHK periode sebelumnya) x 100%</t>
  </si>
  <si>
    <t>IHK periode ini - IHK periode sebelumnya</t>
  </si>
  <si>
    <t>Kab Deli Serdang</t>
  </si>
  <si>
    <t>Pendidikan dan Kesehatan</t>
  </si>
  <si>
    <t>SUB-3124</t>
  </si>
  <si>
    <t>Pendidikan</t>
  </si>
  <si>
    <t>Kota Sibolga</t>
  </si>
  <si>
    <t>SUB-3224</t>
  </si>
  <si>
    <t>Produk Kesehatan</t>
  </si>
  <si>
    <t>Kota Pematangsiantar</t>
  </si>
  <si>
    <t>Rekreasi dan Kendaraan</t>
  </si>
  <si>
    <t>SUB-4124</t>
  </si>
  <si>
    <t>Rekreasi</t>
  </si>
  <si>
    <t>Kota Medan</t>
  </si>
  <si>
    <t>SUB-4224</t>
  </si>
  <si>
    <t>Kendaraan</t>
  </si>
  <si>
    <t>Kota Padangsidimpuan</t>
  </si>
  <si>
    <t>Kota Gunungsitoli</t>
  </si>
  <si>
    <t>Kab Dharmasraya</t>
  </si>
  <si>
    <t>Sumatera Barat</t>
  </si>
  <si>
    <t>Kab Pasaman Barat</t>
  </si>
  <si>
    <t>Kota Padang</t>
  </si>
  <si>
    <t>Kota Bukittinggi</t>
  </si>
  <si>
    <t>Tembilahan</t>
  </si>
  <si>
    <t>Riau</t>
  </si>
  <si>
    <t>Kab Kampar</t>
  </si>
  <si>
    <t>Kota Pekanbaru</t>
  </si>
  <si>
    <t>Kota Dumai</t>
  </si>
  <si>
    <t>Kab Kerinci</t>
  </si>
  <si>
    <t>Jambi</t>
  </si>
  <si>
    <t>Muara Bungo</t>
  </si>
  <si>
    <t>Kota Jambi</t>
  </si>
  <si>
    <t>Kab Ogan Komering Ilir</t>
  </si>
  <si>
    <t>Sumatera Selatan</t>
  </si>
  <si>
    <t>Kab Muara Enim</t>
  </si>
  <si>
    <t>Kota Palembang</t>
  </si>
  <si>
    <t>Kota Lubuk Linggau</t>
  </si>
  <si>
    <t>Kab Muko Muko</t>
  </si>
  <si>
    <t>Bengkulu</t>
  </si>
  <si>
    <t>Kota Bengkulu</t>
  </si>
  <si>
    <t>Kab Lampung Timur</t>
  </si>
  <si>
    <t>Lampung</t>
  </si>
  <si>
    <t>Kab Mesuji</t>
  </si>
  <si>
    <t>Kota Bandar Lampung</t>
  </si>
  <si>
    <t>Kota Metro</t>
  </si>
  <si>
    <t>Tanjung Pandan</t>
  </si>
  <si>
    <t>Kepulauan Bangka Belitung</t>
  </si>
  <si>
    <t>Kab Bangka Barat</t>
  </si>
  <si>
    <t>Kab Belitung Timur</t>
  </si>
  <si>
    <t>Kota Pangkal Pinang</t>
  </si>
  <si>
    <t>Kab Karimun</t>
  </si>
  <si>
    <t>Kepulauan Riau</t>
  </si>
  <si>
    <t>Kota Batam</t>
  </si>
  <si>
    <t>Kota Tanjung Pinang</t>
  </si>
  <si>
    <t>Kota Jakarta</t>
  </si>
  <si>
    <t>DKI Jakarta</t>
  </si>
  <si>
    <t>Kab Bandung</t>
  </si>
  <si>
    <t>Jawa Barat</t>
  </si>
  <si>
    <t>Kab Majalengka</t>
  </si>
  <si>
    <t>Kab Subang</t>
  </si>
  <si>
    <t>Kota Bogor</t>
  </si>
  <si>
    <t>Kota Sukabumi</t>
  </si>
  <si>
    <t>Kota Bandung</t>
  </si>
  <si>
    <t>Kota Cirebon</t>
  </si>
  <si>
    <t>Kota Bekasi</t>
  </si>
  <si>
    <t>Kota Depok</t>
  </si>
  <si>
    <t>Kota Tasikmalaya</t>
  </si>
  <si>
    <t>Cilacap</t>
  </si>
  <si>
    <t>Jawa Tengah</t>
  </si>
  <si>
    <t>Purwokerto</t>
  </si>
  <si>
    <t>Kab Wonosobo</t>
  </si>
  <si>
    <t>Kab Wonogiri</t>
  </si>
  <si>
    <t>Kab Rembang</t>
  </si>
  <si>
    <t>Kudus</t>
  </si>
  <si>
    <t>Kota Surakarta</t>
  </si>
  <si>
    <t>Kota Semarang</t>
  </si>
  <si>
    <t>Kota Tegal</t>
  </si>
  <si>
    <t>Kab Gunungkidul</t>
  </si>
  <si>
    <t>D.I. Yogyakarta</t>
  </si>
  <si>
    <t>Kota Yogyakarta</t>
  </si>
  <si>
    <t>Kab Tulungagung</t>
  </si>
  <si>
    <t>Jawa Timur</t>
  </si>
  <si>
    <t>Jember</t>
  </si>
  <si>
    <t>Banyuwangi</t>
  </si>
  <si>
    <t>Kab Bojonegoro</t>
  </si>
  <si>
    <t>Kab Gresik</t>
  </si>
  <si>
    <t>Sumenep</t>
  </si>
  <si>
    <t>Kota Kediri</t>
  </si>
  <si>
    <t>Kota Malang</t>
  </si>
  <si>
    <t>Kota Probolinggo</t>
  </si>
  <si>
    <t>Kota Madiun</t>
  </si>
  <si>
    <t>Kota Surabaya</t>
  </si>
  <si>
    <t>Kab Pandeglang</t>
  </si>
  <si>
    <t>Banten</t>
  </si>
  <si>
    <t>Kab Lebak</t>
  </si>
  <si>
    <t>Kota Tangerang</t>
  </si>
  <si>
    <t>Kota Cilegon</t>
  </si>
  <si>
    <t>Kota Serang</t>
  </si>
  <si>
    <t>Kab Tabanan</t>
  </si>
  <si>
    <t>Bali</t>
  </si>
  <si>
    <t>Kab Badung</t>
  </si>
  <si>
    <t>Singaraja</t>
  </si>
  <si>
    <t>Kota Denpasar</t>
  </si>
  <si>
    <t>Kab Sumbawa</t>
  </si>
  <si>
    <t>Nusa Tenggara Barat (NTB)</t>
  </si>
  <si>
    <t>Kota Mataram</t>
  </si>
  <si>
    <t>Kota Bima</t>
  </si>
  <si>
    <t>Waingapu</t>
  </si>
  <si>
    <t>Nusa Tenggara Timur (NTT)</t>
  </si>
  <si>
    <t>Kab Timor Tengah Selatan</t>
  </si>
  <si>
    <t>Maumere</t>
  </si>
  <si>
    <t>Kab Ngada</t>
  </si>
  <si>
    <t>Kota Kupang</t>
  </si>
  <si>
    <t>Kab Ketapang</t>
  </si>
  <si>
    <t>Kalimantan Barat</t>
  </si>
  <si>
    <t>Sintang</t>
  </si>
  <si>
    <t>Kab Kayong Utara</t>
  </si>
  <si>
    <t>Kota Pontianak</t>
  </si>
  <si>
    <t>Kota Singkawang</t>
  </si>
  <si>
    <t>Sampit</t>
  </si>
  <si>
    <t>Kalimantan Tengah</t>
  </si>
  <si>
    <t>Kab Kapuas</t>
  </si>
  <si>
    <t>Kab Sukamara</t>
  </si>
  <si>
    <t>Kota Palangkaraya</t>
  </si>
  <si>
    <t>Kab Tanah Laut</t>
  </si>
  <si>
    <t>Kalimantan Selatan</t>
  </si>
  <si>
    <t>Kotabaru</t>
  </si>
  <si>
    <t>Kab Hulu Sungai Tengah</t>
  </si>
  <si>
    <t>Tanjung</t>
  </si>
  <si>
    <t>Kota Banjarmasin</t>
  </si>
  <si>
    <t>Kab Berau</t>
  </si>
  <si>
    <t>Kalimantan Timur</t>
  </si>
  <si>
    <t>Kab Penajam Paser Utara</t>
  </si>
  <si>
    <t>Kota Balikpapan</t>
  </si>
  <si>
    <t>Kota Samarinda</t>
  </si>
  <si>
    <t>Tanjung Selor</t>
  </si>
  <si>
    <t>Kalimantan Utara</t>
  </si>
  <si>
    <t>Kab Nunukan</t>
  </si>
  <si>
    <t>Kota Tarakan</t>
  </si>
  <si>
    <t>Kab Minahasa Selatan</t>
  </si>
  <si>
    <t>Sulawesi Utara</t>
  </si>
  <si>
    <t>Kab Minahasa Utara</t>
  </si>
  <si>
    <t>Kota Manado</t>
  </si>
  <si>
    <t>Kota Kotamobagu</t>
  </si>
  <si>
    <t>Luwuk</t>
  </si>
  <si>
    <t>Sulawesi Tengah</t>
  </si>
  <si>
    <t>Kab Morowali</t>
  </si>
  <si>
    <t>Kab Toli Toli</t>
  </si>
  <si>
    <t>Kota Palu</t>
  </si>
  <si>
    <t>Bulukumba</t>
  </si>
  <si>
    <t>Sulawesi Selatan</t>
  </si>
  <si>
    <t>Watampone</t>
  </si>
  <si>
    <t>Kab Wajo</t>
  </si>
  <si>
    <t>Kab Sidenreng Rappang</t>
  </si>
  <si>
    <t>Kab Luwu Timur</t>
  </si>
  <si>
    <t>Kota Makassar</t>
  </si>
  <si>
    <t>Kota Pare Pare</t>
  </si>
  <si>
    <t>Kota Palopo</t>
  </si>
  <si>
    <t>Kab Konawe</t>
  </si>
  <si>
    <t>Sulawesi Tenggara</t>
  </si>
  <si>
    <t>Kab Kolaka</t>
  </si>
  <si>
    <t>Kota Kendari</t>
  </si>
  <si>
    <t>Kota Bau Bau</t>
  </si>
  <si>
    <t>Kab Gorontalo</t>
  </si>
  <si>
    <t>Gorontalo</t>
  </si>
  <si>
    <t>Kota Gorontalo</t>
  </si>
  <si>
    <t>Kab Majene</t>
  </si>
  <si>
    <t>Sulawesi Barat</t>
  </si>
  <si>
    <t>Mamuju</t>
  </si>
  <si>
    <t>Kab Maluku Tengah</t>
  </si>
  <si>
    <t>Maluku</t>
  </si>
  <si>
    <t>Kota Ambon</t>
  </si>
  <si>
    <t>Kota Tual</t>
  </si>
  <si>
    <t>Kab Halmahera Tengah</t>
  </si>
  <si>
    <t>Maluku Utara</t>
  </si>
  <si>
    <t>Kota Ternate</t>
  </si>
  <si>
    <t>Manokwari</t>
  </si>
  <si>
    <t>Papua Barat Daya</t>
  </si>
  <si>
    <t>Kab Sorong</t>
  </si>
  <si>
    <t>Kab Sorong Selatan</t>
  </si>
  <si>
    <t>Kota Sorong</t>
  </si>
  <si>
    <t>Kota Jayapura</t>
  </si>
  <si>
    <t>Papua</t>
  </si>
  <si>
    <t>Merauke</t>
  </si>
  <si>
    <t>Timika</t>
  </si>
  <si>
    <t>Kab Nabire</t>
  </si>
  <si>
    <t>Kab Jayawijaya</t>
  </si>
  <si>
    <t>Data Badan Pusat Statistik - Indeks Harga Konsumen per Kota/Kabupaten Periode Januari - Maret 2024</t>
  </si>
  <si>
    <t>Cleansing data</t>
  </si>
  <si>
    <t>Acuan Ref. 1</t>
  </si>
  <si>
    <t>Acuan Ref. 2</t>
  </si>
  <si>
    <t>Acuan Ref. 3b</t>
  </si>
  <si>
    <t>Acuan Ref. 3a</t>
  </si>
  <si>
    <t>Acuan Ref. 4b</t>
  </si>
  <si>
    <t>Acuan Ref. 4a</t>
  </si>
  <si>
    <t>Proper</t>
  </si>
  <si>
    <t>Data ID</t>
  </si>
  <si>
    <t>Bulan Pencatatan</t>
  </si>
  <si>
    <t>Index Harga Konsumen (IHK)</t>
  </si>
  <si>
    <t>Index Harga Konsumen (IHK) Bulan Lalu</t>
  </si>
  <si>
    <t>Laju Inflasi M-t-M</t>
  </si>
  <si>
    <t>Kriteria Inflasi</t>
  </si>
  <si>
    <t>Perubahan Poin IHK</t>
  </si>
  <si>
    <t>Status Perubahan Harga Relatif</t>
  </si>
  <si>
    <t>KAB LABUHANBATU</t>
  </si>
  <si>
    <t>BPS-00622224</t>
  </si>
  <si>
    <t>KOTA BOGOR</t>
  </si>
  <si>
    <t>BPS-04632224</t>
  </si>
  <si>
    <t>KOTA BEKASI</t>
  </si>
  <si>
    <t>BPS-05034124</t>
  </si>
  <si>
    <t>SINTANG</t>
  </si>
  <si>
    <t>BPS-09332324</t>
  </si>
  <si>
    <t>KOTA LUBUK LINGGAU</t>
  </si>
  <si>
    <t>BPS-02832324</t>
  </si>
  <si>
    <t>KOTA KEDIRI</t>
  </si>
  <si>
    <t>BPS-07031224</t>
  </si>
  <si>
    <t>KOTA PADANG</t>
  </si>
  <si>
    <t>BPS-01623124</t>
  </si>
  <si>
    <t>KAB SUKAMARA</t>
  </si>
  <si>
    <t>BPS-09923224</t>
  </si>
  <si>
    <t>KAB KAMPAR</t>
  </si>
  <si>
    <t>BPS-01934224</t>
  </si>
  <si>
    <t>KAB JAYAWIJAYA</t>
  </si>
  <si>
    <t>BPS-15033124</t>
  </si>
  <si>
    <t>KOTA JAYAPURA</t>
  </si>
  <si>
    <t>BPS-14634224</t>
  </si>
  <si>
    <t>SINGARAJA</t>
  </si>
  <si>
    <t>BPS-08232224</t>
  </si>
  <si>
    <t>TANJUNG</t>
  </si>
  <si>
    <t>BPS-10421324</t>
  </si>
  <si>
    <t>KOTA MANADO</t>
  </si>
  <si>
    <t>BPS-11523124</t>
  </si>
  <si>
    <t>PURWOKERTO</t>
  </si>
  <si>
    <t>BPS-05421324</t>
  </si>
  <si>
    <t>KAB NUNUKAN</t>
  </si>
  <si>
    <t>BPS-11123224</t>
  </si>
  <si>
    <t>LUWUK</t>
  </si>
  <si>
    <t>BPS-11734224</t>
  </si>
  <si>
    <t>BPS-01932324</t>
  </si>
  <si>
    <t>KAB PENAJAM PASER UTARA</t>
  </si>
  <si>
    <t>BPS-10722124</t>
  </si>
  <si>
    <t>KOTA LHOKSEUMAWE</t>
  </si>
  <si>
    <t>BPS-00531224</t>
  </si>
  <si>
    <t>KAB PASAMAN BARAT</t>
  </si>
  <si>
    <t>BPS-01521324</t>
  </si>
  <si>
    <t>KAB WONOGIRI</t>
  </si>
  <si>
    <t>BPS-05621224</t>
  </si>
  <si>
    <t>MERAUKE</t>
  </si>
  <si>
    <t>BPS-14721424</t>
  </si>
  <si>
    <t>BPS-02824224</t>
  </si>
  <si>
    <t>KAB REMBANG</t>
  </si>
  <si>
    <t>BPS-05733124</t>
  </si>
  <si>
    <t>KAB BANDUNG</t>
  </si>
  <si>
    <t>BPS-04324124</t>
  </si>
  <si>
    <t>BPS-05021224</t>
  </si>
  <si>
    <t>BPS-05632124</t>
  </si>
  <si>
    <t>KAB TIMOR TENGAH SELATAN</t>
  </si>
  <si>
    <t>BPS-08821124</t>
  </si>
  <si>
    <t>BPS-05022124</t>
  </si>
  <si>
    <t>KOTA BANJARMASIN</t>
  </si>
  <si>
    <t>BPS-10532324</t>
  </si>
  <si>
    <t>KOTA BALIKPAPAN</t>
  </si>
  <si>
    <t>BPS-10822324</t>
  </si>
  <si>
    <t>KOTA BAU BAU</t>
  </si>
  <si>
    <t>BPS-13234124</t>
  </si>
  <si>
    <t>KOTA GORONTALO</t>
  </si>
  <si>
    <t>BPS-13432124</t>
  </si>
  <si>
    <t>BPS-10824124</t>
  </si>
  <si>
    <t>KAB MINAHASA UTARA</t>
  </si>
  <si>
    <t>BPS-11422124</t>
  </si>
  <si>
    <t>KAB WONOSOBO</t>
  </si>
  <si>
    <t>BPS-05524124</t>
  </si>
  <si>
    <t>SUMENEP</t>
  </si>
  <si>
    <t>BPS-06921224</t>
  </si>
  <si>
    <t>KAB TANAH LAUT</t>
  </si>
  <si>
    <t>BPS-10123124</t>
  </si>
  <si>
    <t>BPS-07032224</t>
  </si>
  <si>
    <t>KOTA JAMBI</t>
  </si>
  <si>
    <t>BPS-02423224</t>
  </si>
  <si>
    <t>BPS-04334124</t>
  </si>
  <si>
    <t>JEMBER</t>
  </si>
  <si>
    <t>BPS-06522124</t>
  </si>
  <si>
    <t>KOTA TANJUNG PINANG</t>
  </si>
  <si>
    <t>BPS-04131424</t>
  </si>
  <si>
    <t>KAB MAJALENGKA</t>
  </si>
  <si>
    <t>BPS-04421424</t>
  </si>
  <si>
    <t>BULUKUMBA</t>
  </si>
  <si>
    <t>BPS-12131224</t>
  </si>
  <si>
    <t>KAB BERAU</t>
  </si>
  <si>
    <t>BPS-10634124</t>
  </si>
  <si>
    <t>KOTA BENGKULU</t>
  </si>
  <si>
    <t>BPS-03034124</t>
  </si>
  <si>
    <t>KAB NGADA</t>
  </si>
  <si>
    <t>BPS-09023224</t>
  </si>
  <si>
    <t>KAB LEBAK</t>
  </si>
  <si>
    <t>BPS-07621424</t>
  </si>
  <si>
    <t>BPS-04422124</t>
  </si>
  <si>
    <t>KOTA SEMARANG</t>
  </si>
  <si>
    <t>BPS-06033124</t>
  </si>
  <si>
    <t>TEMBILAHAN</t>
  </si>
  <si>
    <t>BPS-01832124</t>
  </si>
  <si>
    <t>KOTA BATAM</t>
  </si>
  <si>
    <t>BPS-04032224</t>
  </si>
  <si>
    <t>KAB SUMBAWA</t>
  </si>
  <si>
    <t>BPS-08424224</t>
  </si>
  <si>
    <t>KOTA BUKITTINGGI</t>
  </si>
  <si>
    <t>BPS-01721124</t>
  </si>
  <si>
    <t>KOTA PEMATANGSIANTAR</t>
  </si>
  <si>
    <t>BPS-01031424</t>
  </si>
  <si>
    <t>SAMPIT</t>
  </si>
  <si>
    <t>BPS-09721124</t>
  </si>
  <si>
    <t>KOTA TUAL</t>
  </si>
  <si>
    <t>BPS-13921324</t>
  </si>
  <si>
    <t>BPS-05731324</t>
  </si>
  <si>
    <t>KAB MESUJI</t>
  </si>
  <si>
    <t>BPS-03221124</t>
  </si>
  <si>
    <t>KOTA TASIKMALAYA</t>
  </si>
  <si>
    <t>BPS-05222124</t>
  </si>
  <si>
    <t>MANOKWARI</t>
  </si>
  <si>
    <t>BPS-14223224</t>
  </si>
  <si>
    <t>MEULABOH</t>
  </si>
  <si>
    <t>BPS-00222124</t>
  </si>
  <si>
    <t>CILACAP</t>
  </si>
  <si>
    <t>BPS-05321224</t>
  </si>
  <si>
    <t>KOTA BANDUNG</t>
  </si>
  <si>
    <t>BPS-04832324</t>
  </si>
  <si>
    <t>BPS-10121424</t>
  </si>
  <si>
    <t>KOTABARU</t>
  </si>
  <si>
    <t>BPS-10231324</t>
  </si>
  <si>
    <t>KOTA SINGKAWANG</t>
  </si>
  <si>
    <t>BPS-09623224</t>
  </si>
  <si>
    <t>KAB HALMAHERA TENGAH</t>
  </si>
  <si>
    <t>BPS-14022324</t>
  </si>
  <si>
    <t>KOTA KOTAMOBAGU</t>
  </si>
  <si>
    <t>BPS-11622124</t>
  </si>
  <si>
    <t>KAB GORONTALO</t>
  </si>
  <si>
    <t>BPS-13322124</t>
  </si>
  <si>
    <t>KOTA MALANG</t>
  </si>
  <si>
    <t>BPS-07132124</t>
  </si>
  <si>
    <t>KAB NABIRE</t>
  </si>
  <si>
    <t>BPS-14921324</t>
  </si>
  <si>
    <t>KOTA TERNATE</t>
  </si>
  <si>
    <t>BPS-14124124</t>
  </si>
  <si>
    <t>KAB TULUNGAGUNG</t>
  </si>
  <si>
    <t>BPS-06421224</t>
  </si>
  <si>
    <t>BPS-11134224</t>
  </si>
  <si>
    <t>BPS-13221224</t>
  </si>
  <si>
    <t>BPS-04421224</t>
  </si>
  <si>
    <t>KAB MUARA ENIM</t>
  </si>
  <si>
    <t>BPS-02631124</t>
  </si>
  <si>
    <t>BPS-11731424</t>
  </si>
  <si>
    <t>BPS-05323124</t>
  </si>
  <si>
    <t>KOTA CIREBON</t>
  </si>
  <si>
    <t>BPS-04921324</t>
  </si>
  <si>
    <t>BPS-14233224</t>
  </si>
  <si>
    <t>KAB BANGKA BARAT</t>
  </si>
  <si>
    <t>BPS-03634224</t>
  </si>
  <si>
    <t>BPS-09623124</t>
  </si>
  <si>
    <t>TANJUNG SELOR</t>
  </si>
  <si>
    <t>BPS-11031424</t>
  </si>
  <si>
    <t>WAINGAPU</t>
  </si>
  <si>
    <t>BPS-08724124</t>
  </si>
  <si>
    <t>BPS-12133124</t>
  </si>
  <si>
    <t>BPS-06532224</t>
  </si>
  <si>
    <t>KAB KETAPANG</t>
  </si>
  <si>
    <t>BPS-09231124</t>
  </si>
  <si>
    <t>KAB ACEH TAMIANG</t>
  </si>
  <si>
    <t>BPS-00331124</t>
  </si>
  <si>
    <t>KOTA DUMAI</t>
  </si>
  <si>
    <t>BPS-02121124</t>
  </si>
  <si>
    <t>KAB KAYONG UTARA</t>
  </si>
  <si>
    <t>BPS-09431124</t>
  </si>
  <si>
    <t>KOTA PROBOLINGGO</t>
  </si>
  <si>
    <t>BPS-07221324</t>
  </si>
  <si>
    <t>BPS-12122224</t>
  </si>
  <si>
    <t>BPS-04934124</t>
  </si>
  <si>
    <t>KOTA SURABAYA</t>
  </si>
  <si>
    <t>BPS-07423224</t>
  </si>
  <si>
    <t>TIMIKA</t>
  </si>
  <si>
    <t>BPS-14822124</t>
  </si>
  <si>
    <t>BPS-10832324</t>
  </si>
  <si>
    <t>KAB GUNUNGKIDUL</t>
  </si>
  <si>
    <t>BPS-06222224</t>
  </si>
  <si>
    <t>KAB WAJO</t>
  </si>
  <si>
    <t>BPS-12321224</t>
  </si>
  <si>
    <t>BPS-05321324</t>
  </si>
  <si>
    <t>BPS-01031124</t>
  </si>
  <si>
    <t>BPS-04322324</t>
  </si>
  <si>
    <t>KAB MALUKU TENGAH</t>
  </si>
  <si>
    <t>BPS-13732224</t>
  </si>
  <si>
    <t>BPS-04934224</t>
  </si>
  <si>
    <t>BPS-08732124</t>
  </si>
  <si>
    <t>BPS-07121324</t>
  </si>
  <si>
    <t>KOTA PADANGSIDIMPUAN</t>
  </si>
  <si>
    <t>BPS-01231424</t>
  </si>
  <si>
    <t>BANYUWANGI</t>
  </si>
  <si>
    <t>BPS-06622224</t>
  </si>
  <si>
    <t>BPS-08422224</t>
  </si>
  <si>
    <t>KAB MUKO MUKO</t>
  </si>
  <si>
    <t>BPS-02931224</t>
  </si>
  <si>
    <t>KAB KERINCI</t>
  </si>
  <si>
    <t>BPS-02231224</t>
  </si>
  <si>
    <t>KOTA CILEGON</t>
  </si>
  <si>
    <t>BPS-07824124</t>
  </si>
  <si>
    <t>BPS-07422224</t>
  </si>
  <si>
    <t>KOTA MEDAN</t>
  </si>
  <si>
    <t>BPS-01121324</t>
  </si>
  <si>
    <t>TANJUNG PANDAN</t>
  </si>
  <si>
    <t>BPS-03534224</t>
  </si>
  <si>
    <t>BPS-04133224</t>
  </si>
  <si>
    <t>BPS-12321124</t>
  </si>
  <si>
    <t>BPS-07223124</t>
  </si>
  <si>
    <t>MUARA BUNGO</t>
  </si>
  <si>
    <t>BPS-02331124</t>
  </si>
  <si>
    <t>BPS-03622124</t>
  </si>
  <si>
    <t>KOTA DENPASAR</t>
  </si>
  <si>
    <t>BPS-08322324</t>
  </si>
  <si>
    <t>BPS-01621324</t>
  </si>
  <si>
    <t>KAB MINAHASA SELATAN</t>
  </si>
  <si>
    <t>BPS-11323124</t>
  </si>
  <si>
    <t>BPS-07131424</t>
  </si>
  <si>
    <t>BPS-13334224</t>
  </si>
  <si>
    <t>KOTA PALU</t>
  </si>
  <si>
    <t>BPS-12031324</t>
  </si>
  <si>
    <t>BPS-14034124</t>
  </si>
  <si>
    <t>KAB GRESIK</t>
  </si>
  <si>
    <t>BPS-06822324</t>
  </si>
  <si>
    <t>KOTA KUPANG</t>
  </si>
  <si>
    <t>BPS-09132224</t>
  </si>
  <si>
    <t>BPS-06532324</t>
  </si>
  <si>
    <t>BPS-02132324</t>
  </si>
  <si>
    <t>BPS-09131124</t>
  </si>
  <si>
    <t>BPS-10822224</t>
  </si>
  <si>
    <t>BPS-09033224</t>
  </si>
  <si>
    <t>KUDUS</t>
  </si>
  <si>
    <t>BPS-05832324</t>
  </si>
  <si>
    <t>MAUMERE</t>
  </si>
  <si>
    <t>BPS-08931424</t>
  </si>
  <si>
    <t>BPS-11321324</t>
  </si>
  <si>
    <t>KOTA YOGYAKARTA</t>
  </si>
  <si>
    <t>BPS-06332324</t>
  </si>
  <si>
    <t>BPS-08231424</t>
  </si>
  <si>
    <t>KOTA PALEMBANG</t>
  </si>
  <si>
    <t>BPS-02732224</t>
  </si>
  <si>
    <t>BPS-02222224</t>
  </si>
  <si>
    <t>KOTA TARAKAN</t>
  </si>
  <si>
    <t>BPS-11221224</t>
  </si>
  <si>
    <t>BPS-04332224</t>
  </si>
  <si>
    <t>BPS-03523124</t>
  </si>
  <si>
    <t>KAB SORONG SELATAN</t>
  </si>
  <si>
    <t>BPS-14421324</t>
  </si>
  <si>
    <t>BPS-05334224</t>
  </si>
  <si>
    <t>KAB KARO</t>
  </si>
  <si>
    <t>BPS-00732124</t>
  </si>
  <si>
    <t>BPS-14432124</t>
  </si>
  <si>
    <t>BPS-05231424</t>
  </si>
  <si>
    <t>BPS-01921124</t>
  </si>
  <si>
    <t>BPS-02732124</t>
  </si>
  <si>
    <t>KOTA METRO</t>
  </si>
  <si>
    <t>BPS-03432224</t>
  </si>
  <si>
    <t>KOTA SUKABUMI</t>
  </si>
  <si>
    <t>BPS-04724224</t>
  </si>
  <si>
    <t>BPS-04733224</t>
  </si>
  <si>
    <t>BPS-06023224</t>
  </si>
  <si>
    <t>BPS-14031424</t>
  </si>
  <si>
    <t>BPS-11431124</t>
  </si>
  <si>
    <t>BPS-01924224</t>
  </si>
  <si>
    <t>BPS-05221124</t>
  </si>
  <si>
    <t>KAB KAPUAS</t>
  </si>
  <si>
    <t>BPS-09832224</t>
  </si>
  <si>
    <t>BPS-11522224</t>
  </si>
  <si>
    <t>BPS-08232124</t>
  </si>
  <si>
    <t>BPS-01832224</t>
  </si>
  <si>
    <t>BPS-07421124</t>
  </si>
  <si>
    <t>BPS-11434224</t>
  </si>
  <si>
    <t>BPS-12331424</t>
  </si>
  <si>
    <t>BPS-11623224</t>
  </si>
  <si>
    <t>BPS-10232124</t>
  </si>
  <si>
    <t>BPS-02431224</t>
  </si>
  <si>
    <t>BPS-01021224</t>
  </si>
  <si>
    <t>BPS-07832324</t>
  </si>
  <si>
    <t>KOTA SORONG</t>
  </si>
  <si>
    <t>BPS-14532124</t>
  </si>
  <si>
    <t>KOTA PALANGKARAYA</t>
  </si>
  <si>
    <t>BPS-10023124</t>
  </si>
  <si>
    <t>BPS-05334124</t>
  </si>
  <si>
    <t>KAB TABANAN</t>
  </si>
  <si>
    <t>BPS-08033124</t>
  </si>
  <si>
    <t>KAB BELITUNG TIMUR</t>
  </si>
  <si>
    <t>BPS-03721324</t>
  </si>
  <si>
    <t>BPS-00524124</t>
  </si>
  <si>
    <t>KAB DHARMASRAYA</t>
  </si>
  <si>
    <t>BPS-01432124</t>
  </si>
  <si>
    <t>BPS-03621224</t>
  </si>
  <si>
    <t>KOTA SIBOLGA</t>
  </si>
  <si>
    <t>BPS-00921324</t>
  </si>
  <si>
    <t>KAB KARIMUN</t>
  </si>
  <si>
    <t>BPS-03931224</t>
  </si>
  <si>
    <t>BPS-03022124</t>
  </si>
  <si>
    <t>BPS-00923124</t>
  </si>
  <si>
    <t>BPS-13421424</t>
  </si>
  <si>
    <t>BPS-03722124</t>
  </si>
  <si>
    <t>KAB LAMPUNG TIMUR</t>
  </si>
  <si>
    <t>BPS-03122324</t>
  </si>
  <si>
    <t>KOTA KENDARI</t>
  </si>
  <si>
    <t>BPS-13124124</t>
  </si>
  <si>
    <t>BPS-07421424</t>
  </si>
  <si>
    <t>BPS-14831424</t>
  </si>
  <si>
    <t>KOTA SURAKARTA</t>
  </si>
  <si>
    <t>BPS-05932224</t>
  </si>
  <si>
    <t>KOTA BANDA ACEH</t>
  </si>
  <si>
    <t>BPS-00422224</t>
  </si>
  <si>
    <t>BPS-13322324</t>
  </si>
  <si>
    <t>BPS-07233124</t>
  </si>
  <si>
    <t>BPS-07234224</t>
  </si>
  <si>
    <t>BPS-08922124</t>
  </si>
  <si>
    <t>KOTA PARE PARE</t>
  </si>
  <si>
    <t>BPS-12731124</t>
  </si>
  <si>
    <t>BPS-03031224</t>
  </si>
  <si>
    <t>BPS-03133224</t>
  </si>
  <si>
    <t>BPS-11732324</t>
  </si>
  <si>
    <t>BPS-05522224</t>
  </si>
  <si>
    <t>BPS-11422224</t>
  </si>
  <si>
    <t>BPS-02124224</t>
  </si>
  <si>
    <t>BPS-10033224</t>
  </si>
  <si>
    <t>BPS-01821224</t>
  </si>
  <si>
    <t>KAB SORONG</t>
  </si>
  <si>
    <t>BPS-14323224</t>
  </si>
  <si>
    <t>KOTA TANGERANG</t>
  </si>
  <si>
    <t>BPS-07734224</t>
  </si>
  <si>
    <t>BPS-08734124</t>
  </si>
  <si>
    <t>BPS-09633124</t>
  </si>
  <si>
    <t>BPS-11321224</t>
  </si>
  <si>
    <t>BPS-03721224</t>
  </si>
  <si>
    <t>BPS-05731424</t>
  </si>
  <si>
    <t>BPS-09221124</t>
  </si>
  <si>
    <t>BPS-04334224</t>
  </si>
  <si>
    <t>BPS-13133124</t>
  </si>
  <si>
    <t>WATAMPONE</t>
  </si>
  <si>
    <t>BPS-12224124</t>
  </si>
  <si>
    <t>BPS-01622124</t>
  </si>
  <si>
    <t>KAB TOLI TOLI</t>
  </si>
  <si>
    <t>BPS-11921224</t>
  </si>
  <si>
    <t>BPS-07122224</t>
  </si>
  <si>
    <t>KOTA DEPOK</t>
  </si>
  <si>
    <t>BPS-05124124</t>
  </si>
  <si>
    <t>BPS-09931124</t>
  </si>
  <si>
    <t>BPS-07621324</t>
  </si>
  <si>
    <t>BPS-03932224</t>
  </si>
  <si>
    <t>BPS-00232124</t>
  </si>
  <si>
    <t>BPS-05433124</t>
  </si>
  <si>
    <t>BPS-06523224</t>
  </si>
  <si>
    <t>KOTA BANDAR LAMPUNG</t>
  </si>
  <si>
    <t>BPS-03332324</t>
  </si>
  <si>
    <t>BPS-02224124</t>
  </si>
  <si>
    <t>BPS-13122224</t>
  </si>
  <si>
    <t>BPS-08824124</t>
  </si>
  <si>
    <t>BPS-03734224</t>
  </si>
  <si>
    <t>BPS-06322224</t>
  </si>
  <si>
    <t>BPS-05232324</t>
  </si>
  <si>
    <t>BPS-08232324</t>
  </si>
  <si>
    <t>BPS-03421224</t>
  </si>
  <si>
    <t>BPS-14132324</t>
  </si>
  <si>
    <t>BPS-14733124</t>
  </si>
  <si>
    <t>KAB ACEH TENGAH</t>
  </si>
  <si>
    <t>BPS-00123124</t>
  </si>
  <si>
    <t>KOTA PALOPO</t>
  </si>
  <si>
    <t>BPS-12824124</t>
  </si>
  <si>
    <t>KOTA MATARAM</t>
  </si>
  <si>
    <t>BPS-08521324</t>
  </si>
  <si>
    <t>BPS-09232124</t>
  </si>
  <si>
    <t>BPS-08434224</t>
  </si>
  <si>
    <t>BPS-04121224</t>
  </si>
  <si>
    <t>KOTA SERANG</t>
  </si>
  <si>
    <t>BPS-07922124</t>
  </si>
  <si>
    <t>BPS-08023124</t>
  </si>
  <si>
    <t>BPS-08421424</t>
  </si>
  <si>
    <t>BPS-05833124</t>
  </si>
  <si>
    <t>BPS-09733124</t>
  </si>
  <si>
    <t>KAB SIDENRENG RAPPANG</t>
  </si>
  <si>
    <t>BPS-12433224</t>
  </si>
  <si>
    <t>BPS-01031324</t>
  </si>
  <si>
    <t>KAB OGAN KOMERING ILIR</t>
  </si>
  <si>
    <t>BPS-02532224</t>
  </si>
  <si>
    <t>BPS-02624124</t>
  </si>
  <si>
    <t>BPS-02322224</t>
  </si>
  <si>
    <t>BPS-05421224</t>
  </si>
  <si>
    <t>BPS-04131324</t>
  </si>
  <si>
    <t>BPS-08333224</t>
  </si>
  <si>
    <t>BPS-00232224</t>
  </si>
  <si>
    <t>KOTA PEKANBARU</t>
  </si>
  <si>
    <t>BPS-02032224</t>
  </si>
  <si>
    <t>BPS-07424124</t>
  </si>
  <si>
    <t>BPS-08532124</t>
  </si>
  <si>
    <t>BPS-02931124</t>
  </si>
  <si>
    <t>BPS-00134124</t>
  </si>
  <si>
    <t>BPS-10631324</t>
  </si>
  <si>
    <t>BPS-06424224</t>
  </si>
  <si>
    <t>BPS-03922124</t>
  </si>
  <si>
    <t>BPS-02131224</t>
  </si>
  <si>
    <t>BPS-11421124</t>
  </si>
  <si>
    <t>BPS-13332324</t>
  </si>
  <si>
    <t>BPS-04022224</t>
  </si>
  <si>
    <t>BPS-04723124</t>
  </si>
  <si>
    <t>BPS-14731224</t>
  </si>
  <si>
    <t>BPS-13431324</t>
  </si>
  <si>
    <t>BPS-14521424</t>
  </si>
  <si>
    <t>BPS-09031324</t>
  </si>
  <si>
    <t>BPS-06922224</t>
  </si>
  <si>
    <t>MAMUJU</t>
  </si>
  <si>
    <t>BPS-13632324</t>
  </si>
  <si>
    <t>BPS-01024124</t>
  </si>
  <si>
    <t>BPS-05224224</t>
  </si>
  <si>
    <t>BPS-03521224</t>
  </si>
  <si>
    <t>BPS-04831224</t>
  </si>
  <si>
    <t>BPS-03223124</t>
  </si>
  <si>
    <t>KOTA MAKASSAR</t>
  </si>
  <si>
    <t>BPS-12622324</t>
  </si>
  <si>
    <t>BPS-06534124</t>
  </si>
  <si>
    <t>BPS-04932324</t>
  </si>
  <si>
    <t>BPS-03124124</t>
  </si>
  <si>
    <t>BPS-12024124</t>
  </si>
  <si>
    <t>BPS-03131224</t>
  </si>
  <si>
    <t>BPS-07033124</t>
  </si>
  <si>
    <t>BPS-06233224</t>
  </si>
  <si>
    <t>KAB BOJONEGORO</t>
  </si>
  <si>
    <t>BPS-06724224</t>
  </si>
  <si>
    <t>BPS-05131424</t>
  </si>
  <si>
    <t>BPS-08234124</t>
  </si>
  <si>
    <t>BPS-02631424</t>
  </si>
  <si>
    <t>BPS-08431424</t>
  </si>
  <si>
    <t>BPS-02033224</t>
  </si>
  <si>
    <t>BPS-14722324</t>
  </si>
  <si>
    <t>BPS-13922224</t>
  </si>
  <si>
    <t>BPS-13134224</t>
  </si>
  <si>
    <t>BPS-01131124</t>
  </si>
  <si>
    <t>BPS-02722224</t>
  </si>
  <si>
    <t>KAB BADUNG</t>
  </si>
  <si>
    <t>BPS-08123124</t>
  </si>
  <si>
    <t>BPS-11721424</t>
  </si>
  <si>
    <t>BPS-08723124</t>
  </si>
  <si>
    <t>KAB HULU SUNGAI TENGAH</t>
  </si>
  <si>
    <t>BPS-10321424</t>
  </si>
  <si>
    <t>BPS-09632124</t>
  </si>
  <si>
    <t>KOTA TEGAL</t>
  </si>
  <si>
    <t>BPS-06121324</t>
  </si>
  <si>
    <t>BPS-09821424</t>
  </si>
  <si>
    <t>BPS-13131424</t>
  </si>
  <si>
    <t>BPS-01934124</t>
  </si>
  <si>
    <t>BPS-06321324</t>
  </si>
  <si>
    <t>KOTA GUNUNGSITOLI</t>
  </si>
  <si>
    <t>BPS-01331224</t>
  </si>
  <si>
    <t>BPS-14233124</t>
  </si>
  <si>
    <t>BPS-02034124</t>
  </si>
  <si>
    <t>BPS-00433124</t>
  </si>
  <si>
    <t>BPS-12623124</t>
  </si>
  <si>
    <t>BPS-12222324</t>
  </si>
  <si>
    <t>BPS-02024224</t>
  </si>
  <si>
    <t>BPS-01534224</t>
  </si>
  <si>
    <t>BPS-05933124</t>
  </si>
  <si>
    <t>BPS-13333124</t>
  </si>
  <si>
    <t>BPS-06232324</t>
  </si>
  <si>
    <t>BPS-09634224</t>
  </si>
  <si>
    <t>BPS-01523124</t>
  </si>
  <si>
    <t>BPS-11334124</t>
  </si>
  <si>
    <t>BPS-07232124</t>
  </si>
  <si>
    <t>BPS-07123224</t>
  </si>
  <si>
    <t>BPS-12432324</t>
  </si>
  <si>
    <t>BPS-12722224</t>
  </si>
  <si>
    <t>BPS-02231424</t>
  </si>
  <si>
    <t>BPS-11531424</t>
  </si>
  <si>
    <t>BPS-09834124</t>
  </si>
  <si>
    <t>KOTA PANGKAL PINANG</t>
  </si>
  <si>
    <t>BPS-03832324</t>
  </si>
  <si>
    <t>KOTA MADIUN</t>
  </si>
  <si>
    <t>BPS-07323224</t>
  </si>
  <si>
    <t>BPS-02121324</t>
  </si>
  <si>
    <t>BPS-14922224</t>
  </si>
  <si>
    <t>BPS-07231424</t>
  </si>
  <si>
    <t>BPS-06621424</t>
  </si>
  <si>
    <t>BPS-10122224</t>
  </si>
  <si>
    <t>BPS-02324224</t>
  </si>
  <si>
    <t>BPS-08131324</t>
  </si>
  <si>
    <t>BPS-12232224</t>
  </si>
  <si>
    <t>BPS-01323224</t>
  </si>
  <si>
    <t>BPS-03734124</t>
  </si>
  <si>
    <t>BPS-06732224</t>
  </si>
  <si>
    <t>BPS-08134124</t>
  </si>
  <si>
    <t>BPS-13121124</t>
  </si>
  <si>
    <t>BPS-08931224</t>
  </si>
  <si>
    <t>BPS-06733124</t>
  </si>
  <si>
    <t>BPS-12732324</t>
  </si>
  <si>
    <t>BPS-15024224</t>
  </si>
  <si>
    <t>BPS-07721324</t>
  </si>
  <si>
    <t>BPS-09122124</t>
  </si>
  <si>
    <t>BPS-13732124</t>
  </si>
  <si>
    <t>BPS-11722324</t>
  </si>
  <si>
    <t>BPS-03522124</t>
  </si>
  <si>
    <t>BPS-11124224</t>
  </si>
  <si>
    <t>BPS-01621124</t>
  </si>
  <si>
    <t>BPS-07333224</t>
  </si>
  <si>
    <t>BPS-03322224</t>
  </si>
  <si>
    <t>BPS-12034124</t>
  </si>
  <si>
    <t>BPS-03324124</t>
  </si>
  <si>
    <t>BPS-14131224</t>
  </si>
  <si>
    <t>BPS-07323124</t>
  </si>
  <si>
    <t>BPS-03224224</t>
  </si>
  <si>
    <t>BPS-00931424</t>
  </si>
  <si>
    <t>BPS-11721324</t>
  </si>
  <si>
    <t>BPS-02033124</t>
  </si>
  <si>
    <t>BPS-11922324</t>
  </si>
  <si>
    <t>BPS-10032224</t>
  </si>
  <si>
    <t>BPS-11521324</t>
  </si>
  <si>
    <t>BPS-08333124</t>
  </si>
  <si>
    <t>BPS-05133224</t>
  </si>
  <si>
    <t>BPS-13322224</t>
  </si>
  <si>
    <t>KAB SUBANG</t>
  </si>
  <si>
    <t>BPS-04532324</t>
  </si>
  <si>
    <t>BPS-05531124</t>
  </si>
  <si>
    <t>BPS-15031224</t>
  </si>
  <si>
    <t>BPS-11432324</t>
  </si>
  <si>
    <t>BPS-10823124</t>
  </si>
  <si>
    <t>BPS-05333224</t>
  </si>
  <si>
    <t>BPS-06821224</t>
  </si>
  <si>
    <t>KOTA SAMARINDA</t>
  </si>
  <si>
    <t>BPS-10924124</t>
  </si>
  <si>
    <t>BPS-04523124</t>
  </si>
  <si>
    <t>BPS-10722324</t>
  </si>
  <si>
    <t>BPS-14324124</t>
  </si>
  <si>
    <t>BPS-13221324</t>
  </si>
  <si>
    <t>BPS-05132324</t>
  </si>
  <si>
    <t>BPS-13222324</t>
  </si>
  <si>
    <t>KOTA PONTIANAK</t>
  </si>
  <si>
    <t>BPS-09521224</t>
  </si>
  <si>
    <t>BPS-01821424</t>
  </si>
  <si>
    <t>BPS-14222224</t>
  </si>
  <si>
    <t>BPS-05632324</t>
  </si>
  <si>
    <t>BPS-07833224</t>
  </si>
  <si>
    <t>BPS-08733224</t>
  </si>
  <si>
    <t>BPS-04331124</t>
  </si>
  <si>
    <t>BPS-07231124</t>
  </si>
  <si>
    <t>BPS-13633224</t>
  </si>
  <si>
    <t>BPS-02921424</t>
  </si>
  <si>
    <t>BPS-10932124</t>
  </si>
  <si>
    <t>BPS-01331124</t>
  </si>
  <si>
    <t>BPS-14232124</t>
  </si>
  <si>
    <t>BPS-10123224</t>
  </si>
  <si>
    <t>KAB LUWU TIMUR</t>
  </si>
  <si>
    <t>BPS-12522124</t>
  </si>
  <si>
    <t>BPS-12331224</t>
  </si>
  <si>
    <t>BPS-09223124</t>
  </si>
  <si>
    <t>KAB MOROWALI</t>
  </si>
  <si>
    <t>BPS-11832224</t>
  </si>
  <si>
    <t>BPS-07223224</t>
  </si>
  <si>
    <t>BPS-08531424</t>
  </si>
  <si>
    <t>BPS-14531324</t>
  </si>
  <si>
    <t>BPS-11121424</t>
  </si>
  <si>
    <t>BPS-05423124</t>
  </si>
  <si>
    <t>BPS-03531224</t>
  </si>
  <si>
    <t>BPS-03822224</t>
  </si>
  <si>
    <t>BPS-08022124</t>
  </si>
  <si>
    <t>BPS-10731124</t>
  </si>
  <si>
    <t>BPS-14031324</t>
  </si>
  <si>
    <t>BPS-09221424</t>
  </si>
  <si>
    <t>BPS-03421424</t>
  </si>
  <si>
    <t>BPS-10521124</t>
  </si>
  <si>
    <t>BPS-07131124</t>
  </si>
  <si>
    <t>BPS-10821224</t>
  </si>
  <si>
    <t>BPS-00134224</t>
  </si>
  <si>
    <t>BPS-14621324</t>
  </si>
  <si>
    <t>BPS-03724124</t>
  </si>
  <si>
    <t>BPS-10834124</t>
  </si>
  <si>
    <t>BPS-09431224</t>
  </si>
  <si>
    <t>BPS-08033224</t>
  </si>
  <si>
    <t>BPS-03032124</t>
  </si>
  <si>
    <t>BPS-06833224</t>
  </si>
  <si>
    <t>BPS-14431324</t>
  </si>
  <si>
    <t>BPS-14021324</t>
  </si>
  <si>
    <t>BPS-08424124</t>
  </si>
  <si>
    <t>BPS-07731124</t>
  </si>
  <si>
    <t>BPS-06921324</t>
  </si>
  <si>
    <t>BPS-13624224</t>
  </si>
  <si>
    <t>BPS-01231224</t>
  </si>
  <si>
    <t>BPS-00631424</t>
  </si>
  <si>
    <t>BPS-12823224</t>
  </si>
  <si>
    <t>BPS-07132324</t>
  </si>
  <si>
    <t>BPS-11021424</t>
  </si>
  <si>
    <t>BPS-14922324</t>
  </si>
  <si>
    <t>BPS-08122324</t>
  </si>
  <si>
    <t>BPS-04032124</t>
  </si>
  <si>
    <t>BPS-05934124</t>
  </si>
  <si>
    <t>BPS-03433124</t>
  </si>
  <si>
    <t>BPS-02131324</t>
  </si>
  <si>
    <t>BPS-14534224</t>
  </si>
  <si>
    <t>BPS-13233124</t>
  </si>
  <si>
    <t>BPS-09521324</t>
  </si>
  <si>
    <t>BPS-06421424</t>
  </si>
  <si>
    <t>BPS-03034224</t>
  </si>
  <si>
    <t>BPS-05923224</t>
  </si>
  <si>
    <t>BPS-13324224</t>
  </si>
  <si>
    <t>BPS-10632224</t>
  </si>
  <si>
    <t>BPS-02932124</t>
  </si>
  <si>
    <t>BPS-06022124</t>
  </si>
  <si>
    <t>BPS-06723124</t>
  </si>
  <si>
    <t>BPS-04732124</t>
  </si>
  <si>
    <t>BPS-03421124</t>
  </si>
  <si>
    <t>BPS-03622324</t>
  </si>
  <si>
    <t>BPS-00423124</t>
  </si>
  <si>
    <t>BPS-11223224</t>
  </si>
  <si>
    <t>BPS-01132324</t>
  </si>
  <si>
    <t>BPS-11621324</t>
  </si>
  <si>
    <t>BPS-05633224</t>
  </si>
  <si>
    <t>BPS-11631324</t>
  </si>
  <si>
    <t>BPS-05433224</t>
  </si>
  <si>
    <t>BPS-03931324</t>
  </si>
  <si>
    <t>KOTA AMBON</t>
  </si>
  <si>
    <t>BPS-13822224</t>
  </si>
  <si>
    <t>BPS-10534124</t>
  </si>
  <si>
    <t>BPS-01624124</t>
  </si>
  <si>
    <t>BPS-10621424</t>
  </si>
  <si>
    <t>BPS-04321124</t>
  </si>
  <si>
    <t>BPS-09924124</t>
  </si>
  <si>
    <t>BPS-07632124</t>
  </si>
  <si>
    <t>BPS-05532324</t>
  </si>
  <si>
    <t>BPS-07431324</t>
  </si>
  <si>
    <t>BPS-07331124</t>
  </si>
  <si>
    <t>BPS-02021324</t>
  </si>
  <si>
    <t>BPS-03524224</t>
  </si>
  <si>
    <t>BPS-14821124</t>
  </si>
  <si>
    <t>BPS-02721424</t>
  </si>
  <si>
    <t>KAB DELI SERDANG</t>
  </si>
  <si>
    <t>BPS-00821124</t>
  </si>
  <si>
    <t>BPS-02134124</t>
  </si>
  <si>
    <t>BPS-02731324</t>
  </si>
  <si>
    <t>BPS-01734124</t>
  </si>
  <si>
    <t>KOTA JAKARTA</t>
  </si>
  <si>
    <t>BPS-04222224</t>
  </si>
  <si>
    <t>BPS-05324224</t>
  </si>
  <si>
    <t>BPS-02224224</t>
  </si>
  <si>
    <t>BPS-10922224</t>
  </si>
  <si>
    <t>BPS-08034224</t>
  </si>
  <si>
    <t>BPS-06731124</t>
  </si>
  <si>
    <t>BPS-07733124</t>
  </si>
  <si>
    <t>BPS-02832124</t>
  </si>
  <si>
    <t>KAB KOLAKA</t>
  </si>
  <si>
    <t>BPS-13023124</t>
  </si>
  <si>
    <t>BPS-02221124</t>
  </si>
  <si>
    <t>BPS-04624124</t>
  </si>
  <si>
    <t>BPS-01831124</t>
  </si>
  <si>
    <t>BPS-01731424</t>
  </si>
  <si>
    <t>BPS-13221124</t>
  </si>
  <si>
    <t>BPS-06521424</t>
  </si>
  <si>
    <t>BPS-10321224</t>
  </si>
  <si>
    <t>BPS-06924124</t>
  </si>
  <si>
    <t>BPS-02621224</t>
  </si>
  <si>
    <t>BPS-03831224</t>
  </si>
  <si>
    <t>BPS-01924124</t>
  </si>
  <si>
    <t>BPS-12323224</t>
  </si>
  <si>
    <t>BPS-08031224</t>
  </si>
  <si>
    <t>BPS-14424224</t>
  </si>
  <si>
    <t>BPS-04733124</t>
  </si>
  <si>
    <t>BPS-12121124</t>
  </si>
  <si>
    <t>BPS-02731424</t>
  </si>
  <si>
    <t>BPS-02031124</t>
  </si>
  <si>
    <t>BPS-06721224</t>
  </si>
  <si>
    <t>BPS-08321224</t>
  </si>
  <si>
    <t>BPS-14834124</t>
  </si>
  <si>
    <t>BPS-09024224</t>
  </si>
  <si>
    <t>BPS-07631224</t>
  </si>
  <si>
    <t>BPS-08221324</t>
  </si>
  <si>
    <t>BPS-08132324</t>
  </si>
  <si>
    <t>BPS-03021224</t>
  </si>
  <si>
    <t>BPS-00231424</t>
  </si>
  <si>
    <t>BPS-02233224</t>
  </si>
  <si>
    <t>BPS-00424224</t>
  </si>
  <si>
    <t>KAB KONAWE</t>
  </si>
  <si>
    <t>BPS-12922124</t>
  </si>
  <si>
    <t>BPS-11232324</t>
  </si>
  <si>
    <t>BPS-12333124</t>
  </si>
  <si>
    <t>BPS-06733224</t>
  </si>
  <si>
    <t>BPS-00224124</t>
  </si>
  <si>
    <t>BPS-06531124</t>
  </si>
  <si>
    <t>BPS-11932224</t>
  </si>
  <si>
    <t>BPS-11531324</t>
  </si>
  <si>
    <t>BPS-13323224</t>
  </si>
  <si>
    <t>BPS-00831224</t>
  </si>
  <si>
    <t>BPS-07321124</t>
  </si>
  <si>
    <t>BPS-04521324</t>
  </si>
  <si>
    <t>BPS-07931324</t>
  </si>
  <si>
    <t>BPS-05431124</t>
  </si>
  <si>
    <t>BPS-03131124</t>
  </si>
  <si>
    <t>BPS-11431424</t>
  </si>
  <si>
    <t>BPS-10331324</t>
  </si>
  <si>
    <t>BPS-07631124</t>
  </si>
  <si>
    <t>BPS-01831324</t>
  </si>
  <si>
    <t>BPS-12521224</t>
  </si>
  <si>
    <t>BPS-10922324</t>
  </si>
  <si>
    <t>BPS-04734124</t>
  </si>
  <si>
    <t>BPS-07723224</t>
  </si>
  <si>
    <t>BPS-07132224</t>
  </si>
  <si>
    <t>KAB PANDEGLANG</t>
  </si>
  <si>
    <t>BPS-07532324</t>
  </si>
  <si>
    <t>BPS-09022224</t>
  </si>
  <si>
    <t>BPS-01431224</t>
  </si>
  <si>
    <t>BPS-05831324</t>
  </si>
  <si>
    <t>BPS-12231424</t>
  </si>
  <si>
    <t>BPS-11724224</t>
  </si>
  <si>
    <t>BPS-14334224</t>
  </si>
  <si>
    <t>BPS-00633124</t>
  </si>
  <si>
    <t>BPS-12831324</t>
  </si>
  <si>
    <t>BPS-14523124</t>
  </si>
  <si>
    <t>BPS-03934224</t>
  </si>
  <si>
    <t>BPS-08223224</t>
  </si>
  <si>
    <t>BPS-08322124</t>
  </si>
  <si>
    <t>BPS-07821324</t>
  </si>
  <si>
    <t>BPS-09732224</t>
  </si>
  <si>
    <t>BPS-04431224</t>
  </si>
  <si>
    <t>BPS-10733124</t>
  </si>
  <si>
    <t>BPS-13121324</t>
  </si>
  <si>
    <t>BPS-00722324</t>
  </si>
  <si>
    <t>BPS-02934224</t>
  </si>
  <si>
    <t>BPS-06232224</t>
  </si>
  <si>
    <t>BPS-10731224</t>
  </si>
  <si>
    <t>BPS-02921124</t>
  </si>
  <si>
    <t>BPS-14923124</t>
  </si>
  <si>
    <t>BPS-07421224</t>
  </si>
  <si>
    <t>BPS-07423124</t>
  </si>
  <si>
    <t>BPS-09133124</t>
  </si>
  <si>
    <t>BPS-07522224</t>
  </si>
  <si>
    <t>BPS-03232124</t>
  </si>
  <si>
    <t>BPS-11831424</t>
  </si>
  <si>
    <t>BPS-10823224</t>
  </si>
  <si>
    <t>BPS-06133224</t>
  </si>
  <si>
    <t>BPS-00231224</t>
  </si>
  <si>
    <t>BPS-02524224</t>
  </si>
  <si>
    <t>BPS-11733224</t>
  </si>
  <si>
    <t>BPS-10321124</t>
  </si>
  <si>
    <t>BPS-02921224</t>
  </si>
  <si>
    <t>BPS-12122124</t>
  </si>
  <si>
    <t>BPS-12731424</t>
  </si>
  <si>
    <t>BPS-05332324</t>
  </si>
  <si>
    <t>KAB MAJENE</t>
  </si>
  <si>
    <t>BPS-13531424</t>
  </si>
  <si>
    <t>BPS-04721424</t>
  </si>
  <si>
    <t>BPS-11321424</t>
  </si>
  <si>
    <t>BPS-06021124</t>
  </si>
  <si>
    <t>BPS-13031224</t>
  </si>
  <si>
    <t>BPS-05221324</t>
  </si>
  <si>
    <t>BPS-02423124</t>
  </si>
  <si>
    <t>BPS-05931324</t>
  </si>
  <si>
    <t>BPS-06831424</t>
  </si>
  <si>
    <t>BPS-13232124</t>
  </si>
  <si>
    <t>BPS-01232224</t>
  </si>
  <si>
    <t>BPS-05531324</t>
  </si>
  <si>
    <t>BPS-04821224</t>
  </si>
  <si>
    <t>BPS-04834224</t>
  </si>
  <si>
    <t>BPS-08731224</t>
  </si>
  <si>
    <t>BPS-07034124</t>
  </si>
  <si>
    <t>BPS-06332224</t>
  </si>
  <si>
    <t>BPS-07634124</t>
  </si>
  <si>
    <t>BPS-06221424</t>
  </si>
  <si>
    <t>BPS-06422224</t>
  </si>
  <si>
    <t>BPS-05521224</t>
  </si>
  <si>
    <t>BPS-05724224</t>
  </si>
  <si>
    <t>BPS-12432224</t>
  </si>
  <si>
    <t>BPS-03032324</t>
  </si>
  <si>
    <t>BPS-03321324</t>
  </si>
  <si>
    <t>BPS-10734124</t>
  </si>
  <si>
    <t>BPS-08721424</t>
  </si>
  <si>
    <t>BPS-13721224</t>
  </si>
  <si>
    <t>BPS-13531124</t>
  </si>
  <si>
    <t>BPS-05022324</t>
  </si>
  <si>
    <t>BPS-06833124</t>
  </si>
  <si>
    <t>BPS-04731324</t>
  </si>
  <si>
    <t>BPS-11133224</t>
  </si>
  <si>
    <t>BPS-05032224</t>
  </si>
  <si>
    <t>BPS-01932124</t>
  </si>
  <si>
    <t>BPS-09421124</t>
  </si>
  <si>
    <t>BPS-07933124</t>
  </si>
  <si>
    <t>BPS-13232324</t>
  </si>
  <si>
    <t>BPS-07431424</t>
  </si>
  <si>
    <t>BPS-10332224</t>
  </si>
  <si>
    <t>BPS-13522124</t>
  </si>
  <si>
    <t>BPS-09731324</t>
  </si>
  <si>
    <t>BPS-01332124</t>
  </si>
  <si>
    <t>BPS-12932324</t>
  </si>
  <si>
    <t>BPS-09334124</t>
  </si>
  <si>
    <t>BPS-03822124</t>
  </si>
  <si>
    <t>BPS-05522324</t>
  </si>
  <si>
    <t>BPS-02531124</t>
  </si>
  <si>
    <t>BPS-12331124</t>
  </si>
  <si>
    <t>BPS-14833124</t>
  </si>
  <si>
    <t>BPS-13623224</t>
  </si>
  <si>
    <t>BPS-10133124</t>
  </si>
  <si>
    <t>BPS-02422124</t>
  </si>
  <si>
    <t>BPS-10831324</t>
  </si>
  <si>
    <t>BPS-04721124</t>
  </si>
  <si>
    <t>BPS-06633224</t>
  </si>
  <si>
    <t>BPS-10624124</t>
  </si>
  <si>
    <t>BPS-03932324</t>
  </si>
  <si>
    <t>BPS-07834124</t>
  </si>
  <si>
    <t>BPS-06022324</t>
  </si>
  <si>
    <t>BPS-10633224</t>
  </si>
  <si>
    <t>BPS-09821324</t>
  </si>
  <si>
    <t>BPS-00621124</t>
  </si>
  <si>
    <t>BPS-03724224</t>
  </si>
  <si>
    <t>BPS-12921224</t>
  </si>
  <si>
    <t>BPS-02121224</t>
  </si>
  <si>
    <t>BPS-11631224</t>
  </si>
  <si>
    <t>BPS-10424224</t>
  </si>
  <si>
    <t>BPS-03431124</t>
  </si>
  <si>
    <t>BPS-02031224</t>
  </si>
  <si>
    <t>BPS-07122324</t>
  </si>
  <si>
    <t>BPS-09632224</t>
  </si>
  <si>
    <t>BPS-07821224</t>
  </si>
  <si>
    <t>BPS-10734224</t>
  </si>
  <si>
    <t>BPS-09534124</t>
  </si>
  <si>
    <t>BPS-11934224</t>
  </si>
  <si>
    <t>BPS-01032224</t>
  </si>
  <si>
    <t>BPS-14831224</t>
  </si>
  <si>
    <t>BPS-07534224</t>
  </si>
  <si>
    <t>BPS-00131324</t>
  </si>
  <si>
    <t>BPS-11922224</t>
  </si>
  <si>
    <t>BPS-05831224</t>
  </si>
  <si>
    <t>BPS-06622324</t>
  </si>
  <si>
    <t>BPS-11033224</t>
  </si>
  <si>
    <t>BPS-08324224</t>
  </si>
  <si>
    <t>BPS-11323224</t>
  </si>
  <si>
    <t>BPS-13634124</t>
  </si>
  <si>
    <t>BPS-12522324</t>
  </si>
  <si>
    <t>BPS-13831124</t>
  </si>
  <si>
    <t>BPS-13731124</t>
  </si>
  <si>
    <t>BPS-08823224</t>
  </si>
  <si>
    <t>BPS-03631424</t>
  </si>
  <si>
    <t>BPS-06022224</t>
  </si>
  <si>
    <t>BPS-13824124</t>
  </si>
  <si>
    <t>BPS-03434224</t>
  </si>
  <si>
    <t>BPS-08323224</t>
  </si>
  <si>
    <t>BPS-07933224</t>
  </si>
  <si>
    <t>BPS-14933124</t>
  </si>
  <si>
    <t>BPS-07431224</t>
  </si>
  <si>
    <t>BPS-00424124</t>
  </si>
  <si>
    <t>BPS-09624124</t>
  </si>
  <si>
    <t>BPS-00631224</t>
  </si>
  <si>
    <t>BPS-12731224</t>
  </si>
  <si>
    <t>BPS-03624124</t>
  </si>
  <si>
    <t>BPS-04634224</t>
  </si>
  <si>
    <t>BPS-12833224</t>
  </si>
  <si>
    <t>BPS-13434124</t>
  </si>
  <si>
    <t>BPS-08833124</t>
  </si>
  <si>
    <t>BPS-02234224</t>
  </si>
  <si>
    <t>BPS-12124224</t>
  </si>
  <si>
    <t>BPS-09724124</t>
  </si>
  <si>
    <t>BPS-12432124</t>
  </si>
  <si>
    <t>BPS-05624224</t>
  </si>
  <si>
    <t>BPS-12921324</t>
  </si>
  <si>
    <t>BPS-06832124</t>
  </si>
  <si>
    <t>BPS-12234224</t>
  </si>
  <si>
    <t>BPS-10631224</t>
  </si>
  <si>
    <t>BPS-14131124</t>
  </si>
  <si>
    <t>BPS-01721424</t>
  </si>
  <si>
    <t>BPS-03523224</t>
  </si>
  <si>
    <t>BPS-14022224</t>
  </si>
  <si>
    <t>BPS-02633224</t>
  </si>
  <si>
    <t>BPS-00531424</t>
  </si>
  <si>
    <t>BPS-12232124</t>
  </si>
  <si>
    <t>BPS-08531124</t>
  </si>
  <si>
    <t>BPS-08522324</t>
  </si>
  <si>
    <t>BPS-13534224</t>
  </si>
  <si>
    <t>BPS-07522324</t>
  </si>
  <si>
    <t>BPS-12931124</t>
  </si>
  <si>
    <t>BPS-14624224</t>
  </si>
  <si>
    <t>BPS-06522224</t>
  </si>
  <si>
    <t>BPS-03521124</t>
  </si>
  <si>
    <t>BPS-09931224</t>
  </si>
  <si>
    <t>BPS-08121124</t>
  </si>
  <si>
    <t>BPS-06732124</t>
  </si>
  <si>
    <t>BPS-05721224</t>
  </si>
  <si>
    <t>BPS-00124224</t>
  </si>
  <si>
    <t>BPS-05421124</t>
  </si>
  <si>
    <t>BPS-01531424</t>
  </si>
  <si>
    <t>BPS-06634124</t>
  </si>
  <si>
    <t>BPS-01931324</t>
  </si>
  <si>
    <t>BPS-10024124</t>
  </si>
  <si>
    <t>BPS-05832124</t>
  </si>
  <si>
    <t>BPS-14331224</t>
  </si>
  <si>
    <t>BPS-14821224</t>
  </si>
  <si>
    <t>BPS-06431324</t>
  </si>
  <si>
    <t>BPS-12332124</t>
  </si>
  <si>
    <t>BPS-12324224</t>
  </si>
  <si>
    <t>BPS-02531424</t>
  </si>
  <si>
    <t>BPS-07422324</t>
  </si>
  <si>
    <t>BPS-09221324</t>
  </si>
  <si>
    <t>BPS-02834224</t>
  </si>
  <si>
    <t>BPS-01131324</t>
  </si>
  <si>
    <t>BPS-06033224</t>
  </si>
  <si>
    <t>BPS-12531424</t>
  </si>
  <si>
    <t>BPS-01332224</t>
  </si>
  <si>
    <t>BPS-12531324</t>
  </si>
  <si>
    <t>BPS-13631124</t>
  </si>
  <si>
    <t>BPS-06722124</t>
  </si>
  <si>
    <t>BPS-08821324</t>
  </si>
  <si>
    <t>BPS-10533224</t>
  </si>
  <si>
    <t>BPS-02521424</t>
  </si>
  <si>
    <t>BPS-14322224</t>
  </si>
  <si>
    <t>BPS-05021124</t>
  </si>
  <si>
    <t>BPS-00321424</t>
  </si>
  <si>
    <t>BPS-00923224</t>
  </si>
  <si>
    <t>BPS-08722324</t>
  </si>
  <si>
    <t>BPS-10622324</t>
  </si>
  <si>
    <t>BPS-02821324</t>
  </si>
  <si>
    <t>BPS-04121124</t>
  </si>
  <si>
    <t>BPS-12434224</t>
  </si>
  <si>
    <t>BPS-09921324</t>
  </si>
  <si>
    <t>BPS-04522124</t>
  </si>
  <si>
    <t>BPS-14521124</t>
  </si>
  <si>
    <t>BPS-04832124</t>
  </si>
  <si>
    <t>BPS-14122224</t>
  </si>
  <si>
    <t>BPS-06131324</t>
  </si>
  <si>
    <t>BPS-06731324</t>
  </si>
  <si>
    <t>BPS-12531224</t>
  </si>
  <si>
    <t>BPS-14321324</t>
  </si>
  <si>
    <t>BPS-11031324</t>
  </si>
  <si>
    <t>BPS-06831324</t>
  </si>
  <si>
    <t>BPS-04621324</t>
  </si>
  <si>
    <t>BPS-11032124</t>
  </si>
  <si>
    <t>BPS-09431324</t>
  </si>
  <si>
    <t>BPS-00521224</t>
  </si>
  <si>
    <t>BPS-02434124</t>
  </si>
  <si>
    <t>BPS-13332224</t>
  </si>
  <si>
    <t>BPS-13333224</t>
  </si>
  <si>
    <t>BPS-01022124</t>
  </si>
  <si>
    <t>BPS-14631224</t>
  </si>
  <si>
    <t>BPS-06632324</t>
  </si>
  <si>
    <t>BPS-02533124</t>
  </si>
  <si>
    <t>BPS-01633124</t>
  </si>
  <si>
    <t>BPS-10932324</t>
  </si>
  <si>
    <t>BPS-09422224</t>
  </si>
  <si>
    <t>BPS-01931424</t>
  </si>
  <si>
    <t>BPS-01021124</t>
  </si>
  <si>
    <t>BPS-01123124</t>
  </si>
  <si>
    <t>BPS-05722224</t>
  </si>
  <si>
    <t>BPS-01734224</t>
  </si>
  <si>
    <t>BPS-06132224</t>
  </si>
  <si>
    <t>BPS-03521324</t>
  </si>
  <si>
    <t>BPS-00821324</t>
  </si>
  <si>
    <t>BPS-08731324</t>
  </si>
  <si>
    <t>BPS-10521424</t>
  </si>
  <si>
    <t>BPS-02431324</t>
  </si>
  <si>
    <t>BPS-08521124</t>
  </si>
  <si>
    <t>BPS-04221424</t>
  </si>
  <si>
    <t>BPS-14724124</t>
  </si>
  <si>
    <t>BPS-02823224</t>
  </si>
  <si>
    <t>BPS-11024124</t>
  </si>
  <si>
    <t>BPS-03731224</t>
  </si>
  <si>
    <t>BPS-08931324</t>
  </si>
  <si>
    <t>BPS-03231424</t>
  </si>
  <si>
    <t>BPS-05932124</t>
  </si>
  <si>
    <t>BPS-02331324</t>
  </si>
  <si>
    <t>BPS-00832124</t>
  </si>
  <si>
    <t>BPS-10723224</t>
  </si>
  <si>
    <t>BPS-02421324</t>
  </si>
  <si>
    <t>BPS-03132324</t>
  </si>
  <si>
    <t>BPS-05523224</t>
  </si>
  <si>
    <t>BPS-11224124</t>
  </si>
  <si>
    <t>BPS-01423224</t>
  </si>
  <si>
    <t>BPS-13131224</t>
  </si>
  <si>
    <t>BPS-07021324</t>
  </si>
  <si>
    <t>BPS-08021124</t>
  </si>
  <si>
    <t>BPS-06131424</t>
  </si>
  <si>
    <t>BPS-10834224</t>
  </si>
  <si>
    <t>BPS-14532224</t>
  </si>
  <si>
    <t>BPS-02724224</t>
  </si>
  <si>
    <t>BPS-12834224</t>
  </si>
  <si>
    <t>BPS-07321324</t>
  </si>
  <si>
    <t>BPS-05621124</t>
  </si>
  <si>
    <t>BPS-02632124</t>
  </si>
  <si>
    <t>BPS-01424224</t>
  </si>
  <si>
    <t>BPS-14833224</t>
  </si>
  <si>
    <t>BPS-12534124</t>
  </si>
  <si>
    <t>BPS-12732124</t>
  </si>
  <si>
    <t>BPS-07822324</t>
  </si>
  <si>
    <t>BPS-04033224</t>
  </si>
  <si>
    <t>BPS-04533224</t>
  </si>
  <si>
    <t>BPS-03921124</t>
  </si>
  <si>
    <t>BPS-00132224</t>
  </si>
  <si>
    <t>BPS-03631124</t>
  </si>
  <si>
    <t>BPS-13924124</t>
  </si>
  <si>
    <t>BPS-03122224</t>
  </si>
  <si>
    <t>BPS-09932124</t>
  </si>
  <si>
    <t>BPS-07432224</t>
  </si>
  <si>
    <t>BPS-00922224</t>
  </si>
  <si>
    <t>KOTA BIMA</t>
  </si>
  <si>
    <t>BPS-08621324</t>
  </si>
  <si>
    <t>BPS-08923124</t>
  </si>
  <si>
    <t>BPS-02521324</t>
  </si>
  <si>
    <t>BPS-00331424</t>
  </si>
  <si>
    <t>BPS-10621324</t>
  </si>
  <si>
    <t>BPS-02321424</t>
  </si>
  <si>
    <t>BPS-08621224</t>
  </si>
  <si>
    <t>BPS-02323124</t>
  </si>
  <si>
    <t>BPS-05921424</t>
  </si>
  <si>
    <t>BPS-04924124</t>
  </si>
  <si>
    <t>BPS-08233124</t>
  </si>
  <si>
    <t>BPS-07331224</t>
  </si>
  <si>
    <t>BPS-10124224</t>
  </si>
  <si>
    <t>BPS-06331424</t>
  </si>
  <si>
    <t>BPS-03423224</t>
  </si>
  <si>
    <t>BPS-01921424</t>
  </si>
  <si>
    <t>BPS-07221224</t>
  </si>
  <si>
    <t>BPS-05834224</t>
  </si>
  <si>
    <t>BPS-05133124</t>
  </si>
  <si>
    <t>BPS-06934124</t>
  </si>
  <si>
    <t>BPS-12833124</t>
  </si>
  <si>
    <t>BPS-12721124</t>
  </si>
  <si>
    <t>BPS-00332324</t>
  </si>
  <si>
    <t>BPS-03423124</t>
  </si>
  <si>
    <t>BPS-04724124</t>
  </si>
  <si>
    <t>BPS-08131424</t>
  </si>
  <si>
    <t>BPS-03234224</t>
  </si>
  <si>
    <t>BPS-11923124</t>
  </si>
  <si>
    <t>BPS-06231224</t>
  </si>
  <si>
    <t>BPS-01222324</t>
  </si>
  <si>
    <t>BPS-10221424</t>
  </si>
  <si>
    <t>BPS-00322124</t>
  </si>
  <si>
    <t>BPS-11133124</t>
  </si>
  <si>
    <t>BPS-00821424</t>
  </si>
  <si>
    <t>BPS-10524224</t>
  </si>
  <si>
    <t>BPS-11324224</t>
  </si>
  <si>
    <t>BPS-08421324</t>
  </si>
  <si>
    <t>BPS-05921124</t>
  </si>
  <si>
    <t>BPS-04031324</t>
  </si>
  <si>
    <t>BPS-04722324</t>
  </si>
  <si>
    <t>BPS-10423124</t>
  </si>
  <si>
    <t>BPS-07023224</t>
  </si>
  <si>
    <t>BPS-14021224</t>
  </si>
  <si>
    <t>BPS-10921324</t>
  </si>
  <si>
    <t>BPS-04931424</t>
  </si>
  <si>
    <t>BPS-11432224</t>
  </si>
  <si>
    <t>BPS-10131124</t>
  </si>
  <si>
    <t>BPS-11733124</t>
  </si>
  <si>
    <t>BPS-00423224</t>
  </si>
  <si>
    <t>BPS-13321324</t>
  </si>
  <si>
    <t>BPS-05233224</t>
  </si>
  <si>
    <t>BPS-00131124</t>
  </si>
  <si>
    <t>BPS-08921424</t>
  </si>
  <si>
    <t>BPS-13331324</t>
  </si>
  <si>
    <t>BPS-02622224</t>
  </si>
  <si>
    <t>BPS-07233224</t>
  </si>
  <si>
    <t>BPS-10234224</t>
  </si>
  <si>
    <t>BPS-10724124</t>
  </si>
  <si>
    <t>BPS-12733224</t>
  </si>
  <si>
    <t>BPS-08131124</t>
  </si>
  <si>
    <t>BPS-03821124</t>
  </si>
  <si>
    <t>BPS-05631424</t>
  </si>
  <si>
    <t>BPS-08231224</t>
  </si>
  <si>
    <t>BPS-11633124</t>
  </si>
  <si>
    <t>BPS-06832324</t>
  </si>
  <si>
    <t>BPS-11634124</t>
  </si>
  <si>
    <t>BPS-01922324</t>
  </si>
  <si>
    <t>BPS-06434124</t>
  </si>
  <si>
    <t>BPS-11532124</t>
  </si>
  <si>
    <t>BPS-11121324</t>
  </si>
  <si>
    <t>BPS-14033224</t>
  </si>
  <si>
    <t>BPS-04021424</t>
  </si>
  <si>
    <t>BPS-12031424</t>
  </si>
  <si>
    <t>BPS-01321224</t>
  </si>
  <si>
    <t>BPS-07221424</t>
  </si>
  <si>
    <t>BPS-09933224</t>
  </si>
  <si>
    <t>BPS-11521424</t>
  </si>
  <si>
    <t>BPS-11334224</t>
  </si>
  <si>
    <t>BPS-06423124</t>
  </si>
  <si>
    <t>BPS-10622224</t>
  </si>
  <si>
    <t>BPS-14932324</t>
  </si>
  <si>
    <t>BPS-08323124</t>
  </si>
  <si>
    <t>BPS-08032224</t>
  </si>
  <si>
    <t>BPS-11621124</t>
  </si>
  <si>
    <t>BPS-09423124</t>
  </si>
  <si>
    <t>BPS-05322224</t>
  </si>
  <si>
    <t>BPS-10024224</t>
  </si>
  <si>
    <t>BPS-05631224</t>
  </si>
  <si>
    <t>BPS-05223224</t>
  </si>
  <si>
    <t>BPS-02821224</t>
  </si>
  <si>
    <t>BPS-09621324</t>
  </si>
  <si>
    <t>BPS-04232224</t>
  </si>
  <si>
    <t>BPS-13331124</t>
  </si>
  <si>
    <t>BPS-05123224</t>
  </si>
  <si>
    <t>BPS-13123124</t>
  </si>
  <si>
    <t>BPS-13823124</t>
  </si>
  <si>
    <t>BPS-02022124</t>
  </si>
  <si>
    <t>BPS-06531224</t>
  </si>
  <si>
    <t>BPS-06021424</t>
  </si>
  <si>
    <t>BPS-10233224</t>
  </si>
  <si>
    <t>BPS-08721124</t>
  </si>
  <si>
    <t>BPS-14331424</t>
  </si>
  <si>
    <t>BPS-06724124</t>
  </si>
  <si>
    <t>BPS-13434224</t>
  </si>
  <si>
    <t>BPS-10821424</t>
  </si>
  <si>
    <t>BPS-12022124</t>
  </si>
  <si>
    <t>BPS-09824124</t>
  </si>
  <si>
    <t>BPS-01032324</t>
  </si>
  <si>
    <t>BPS-12521424</t>
  </si>
  <si>
    <t>BPS-00422324</t>
  </si>
  <si>
    <t>BPS-13831424</t>
  </si>
  <si>
    <t>BPS-03331224</t>
  </si>
  <si>
    <t>BPS-00733224</t>
  </si>
  <si>
    <t>BPS-12823124</t>
  </si>
  <si>
    <t>BPS-10221324</t>
  </si>
  <si>
    <t>BPS-09921424</t>
  </si>
  <si>
    <t>BPS-01324124</t>
  </si>
  <si>
    <t>BPS-08223124</t>
  </si>
  <si>
    <t>BPS-02734224</t>
  </si>
  <si>
    <t>BPS-03321224</t>
  </si>
  <si>
    <t>BPS-12831424</t>
  </si>
  <si>
    <t>BPS-12733124</t>
  </si>
  <si>
    <t>BPS-14123124</t>
  </si>
  <si>
    <t>BPS-07131224</t>
  </si>
  <si>
    <t>BPS-12824224</t>
  </si>
  <si>
    <t>BPS-05132224</t>
  </si>
  <si>
    <t>BPS-12622124</t>
  </si>
  <si>
    <t>BPS-02522224</t>
  </si>
  <si>
    <t>BPS-07324224</t>
  </si>
  <si>
    <t>BPS-11923224</t>
  </si>
  <si>
    <t>BPS-12132224</t>
  </si>
  <si>
    <t>BPS-04422224</t>
  </si>
  <si>
    <t>BPS-03731424</t>
  </si>
  <si>
    <t>BPS-00523124</t>
  </si>
  <si>
    <t>BPS-13521424</t>
  </si>
  <si>
    <t>BPS-06933124</t>
  </si>
  <si>
    <t>BPS-11322224</t>
  </si>
  <si>
    <t>BPS-02232124</t>
  </si>
  <si>
    <t>BPS-00323224</t>
  </si>
  <si>
    <t>BPS-05534124</t>
  </si>
  <si>
    <t>BPS-12524224</t>
  </si>
  <si>
    <t>BPS-01024224</t>
  </si>
  <si>
    <t>BPS-06034124</t>
  </si>
  <si>
    <t>BPS-00632224</t>
  </si>
  <si>
    <t>BPS-00924224</t>
  </si>
  <si>
    <t>BPS-13132124</t>
  </si>
  <si>
    <t>BPS-14424124</t>
  </si>
  <si>
    <t>BPS-14923224</t>
  </si>
  <si>
    <t>BPS-14432324</t>
  </si>
  <si>
    <t>BPS-03121124</t>
  </si>
  <si>
    <t>BPS-02122224</t>
  </si>
  <si>
    <t>BPS-12231324</t>
  </si>
  <si>
    <t>BPS-12621324</t>
  </si>
  <si>
    <t>BPS-00523224</t>
  </si>
  <si>
    <t>BPS-04234124</t>
  </si>
  <si>
    <t>BPS-13722224</t>
  </si>
  <si>
    <t>BPS-11032324</t>
  </si>
  <si>
    <t>BPS-00231124</t>
  </si>
  <si>
    <t>BPS-14824224</t>
  </si>
  <si>
    <t>BPS-02234124</t>
  </si>
  <si>
    <t>BPS-09131324</t>
  </si>
  <si>
    <t>BPS-13223124</t>
  </si>
  <si>
    <t>BPS-07622124</t>
  </si>
  <si>
    <t>BPS-00223124</t>
  </si>
  <si>
    <t>BPS-04621424</t>
  </si>
  <si>
    <t>BPS-02821424</t>
  </si>
  <si>
    <t>BPS-14832324</t>
  </si>
  <si>
    <t>BPS-00421124</t>
  </si>
  <si>
    <t>BPS-02621124</t>
  </si>
  <si>
    <t>BPS-05034224</t>
  </si>
  <si>
    <t>BPS-13131124</t>
  </si>
  <si>
    <t>BPS-09722324</t>
  </si>
  <si>
    <t>BPS-05331124</t>
  </si>
  <si>
    <t>BPS-02722324</t>
  </si>
  <si>
    <t>BPS-05122124</t>
  </si>
  <si>
    <t>BPS-06032324</t>
  </si>
  <si>
    <t>BPS-03121424</t>
  </si>
  <si>
    <t>BPS-07623124</t>
  </si>
  <si>
    <t>BPS-04521424</t>
  </si>
  <si>
    <t>BPS-09223224</t>
  </si>
  <si>
    <t>BPS-05023124</t>
  </si>
  <si>
    <t>BPS-13821424</t>
  </si>
  <si>
    <t>BPS-09622224</t>
  </si>
  <si>
    <t>BPS-10221224</t>
  </si>
  <si>
    <t>BPS-03133124</t>
  </si>
  <si>
    <t>BPS-00432224</t>
  </si>
  <si>
    <t>BPS-07124124</t>
  </si>
  <si>
    <t>BPS-07831324</t>
  </si>
  <si>
    <t>BPS-08222124</t>
  </si>
  <si>
    <t>BPS-08031324</t>
  </si>
  <si>
    <t>BPS-00131424</t>
  </si>
  <si>
    <t>BPS-01034124</t>
  </si>
  <si>
    <t>BPS-00333124</t>
  </si>
  <si>
    <t>BPS-12822124</t>
  </si>
  <si>
    <t>BPS-04623224</t>
  </si>
  <si>
    <t>BPS-04522324</t>
  </si>
  <si>
    <t>BPS-12624224</t>
  </si>
  <si>
    <t>BPS-05634124</t>
  </si>
  <si>
    <t>BPS-08321124</t>
  </si>
  <si>
    <t>BPS-03733124</t>
  </si>
  <si>
    <t>BPS-00932324</t>
  </si>
  <si>
    <t>BPS-11821224</t>
  </si>
  <si>
    <t>BPS-05833224</t>
  </si>
  <si>
    <t>BPS-05634224</t>
  </si>
  <si>
    <t>BPS-13423124</t>
  </si>
  <si>
    <t>BPS-13721124</t>
  </si>
  <si>
    <t>BPS-08522124</t>
  </si>
  <si>
    <t>BPS-04134224</t>
  </si>
  <si>
    <t>BPS-06531324</t>
  </si>
  <si>
    <t>BPS-12032224</t>
  </si>
  <si>
    <t>BPS-03831424</t>
  </si>
  <si>
    <t>BPS-07421324</t>
  </si>
  <si>
    <t>BPS-05831124</t>
  </si>
  <si>
    <t>BPS-02421224</t>
  </si>
  <si>
    <t>BPS-02832224</t>
  </si>
  <si>
    <t>BPS-02021224</t>
  </si>
  <si>
    <t>BPS-09722124</t>
  </si>
  <si>
    <t>BPS-00722124</t>
  </si>
  <si>
    <t>BPS-02822124</t>
  </si>
  <si>
    <t>BPS-04631324</t>
  </si>
  <si>
    <t>BPS-13821124</t>
  </si>
  <si>
    <t>BPS-05422324</t>
  </si>
  <si>
    <t>BPS-06821424</t>
  </si>
  <si>
    <t>BPS-02623124</t>
  </si>
  <si>
    <t>BPS-10031224</t>
  </si>
  <si>
    <t>BPS-06924224</t>
  </si>
  <si>
    <t>BPS-02722124</t>
  </si>
  <si>
    <t>BPS-03622224</t>
  </si>
  <si>
    <t>BPS-04434224</t>
  </si>
  <si>
    <t>BPS-13632224</t>
  </si>
  <si>
    <t>BPS-03521424</t>
  </si>
  <si>
    <t>BPS-06921424</t>
  </si>
  <si>
    <t>BPS-04821124</t>
  </si>
  <si>
    <t>BPS-14232324</t>
  </si>
  <si>
    <t>BPS-10534224</t>
  </si>
  <si>
    <t>BPS-00431224</t>
  </si>
  <si>
    <t>BPS-02322324</t>
  </si>
  <si>
    <t>BPS-11231124</t>
  </si>
  <si>
    <t>BPS-06023124</t>
  </si>
  <si>
    <t>BPS-08221424</t>
  </si>
  <si>
    <t>BPS-12134124</t>
  </si>
  <si>
    <t>BPS-08433124</t>
  </si>
  <si>
    <t>BPS-01432224</t>
  </si>
  <si>
    <t>BPS-01422324</t>
  </si>
  <si>
    <t>BPS-01334124</t>
  </si>
  <si>
    <t>BPS-05821324</t>
  </si>
  <si>
    <t>BPS-12534224</t>
  </si>
  <si>
    <t>BPS-07823224</t>
  </si>
  <si>
    <t>BPS-13324124</t>
  </si>
  <si>
    <t>BPS-00624224</t>
  </si>
  <si>
    <t>BPS-10621224</t>
  </si>
  <si>
    <t>BPS-06122324</t>
  </si>
  <si>
    <t>BPS-05134124</t>
  </si>
  <si>
    <t>BPS-01621424</t>
  </si>
  <si>
    <t>BPS-00921124</t>
  </si>
  <si>
    <t>BPS-04032324</t>
  </si>
  <si>
    <t>BPS-05622224</t>
  </si>
  <si>
    <t>BPS-06031324</t>
  </si>
  <si>
    <t>BPS-06823124</t>
  </si>
  <si>
    <t>BPS-00321224</t>
  </si>
  <si>
    <t>BPS-07431124</t>
  </si>
  <si>
    <t>BPS-09331124</t>
  </si>
  <si>
    <t>BPS-10121324</t>
  </si>
  <si>
    <t>BPS-12033124</t>
  </si>
  <si>
    <t>BPS-03222324</t>
  </si>
  <si>
    <t>BPS-08134224</t>
  </si>
  <si>
    <t>BPS-06921124</t>
  </si>
  <si>
    <t>BPS-00734224</t>
  </si>
  <si>
    <t>BPS-01122124</t>
  </si>
  <si>
    <t>BPS-06232124</t>
  </si>
  <si>
    <t>BPS-12121424</t>
  </si>
  <si>
    <t>BPS-08833224</t>
  </si>
  <si>
    <t>BPS-08121224</t>
  </si>
  <si>
    <t>BPS-13934124</t>
  </si>
  <si>
    <t>BPS-09122224</t>
  </si>
  <si>
    <t>BPS-00934224</t>
  </si>
  <si>
    <t>BPS-07433224</t>
  </si>
  <si>
    <t>BPS-06524224</t>
  </si>
  <si>
    <t>BPS-12221424</t>
  </si>
  <si>
    <t>BPS-11423124</t>
  </si>
  <si>
    <t>BPS-10132224</t>
  </si>
  <si>
    <t>BPS-14334124</t>
  </si>
  <si>
    <t>BPS-12434124</t>
  </si>
  <si>
    <t>BPS-02023124</t>
  </si>
  <si>
    <t>BPS-13032324</t>
  </si>
  <si>
    <t>BPS-05322324</t>
  </si>
  <si>
    <t>BPS-07124224</t>
  </si>
  <si>
    <t>BPS-09432324</t>
  </si>
  <si>
    <t>BPS-07332124</t>
  </si>
  <si>
    <t>BPS-04433224</t>
  </si>
  <si>
    <t>BPS-12424124</t>
  </si>
  <si>
    <t>BPS-13222124</t>
  </si>
  <si>
    <t>BPS-13522224</t>
  </si>
  <si>
    <t>BPS-01834124</t>
  </si>
  <si>
    <t>BPS-04721324</t>
  </si>
  <si>
    <t>BPS-08732224</t>
  </si>
  <si>
    <t>BPS-03721424</t>
  </si>
  <si>
    <t>BPS-06434224</t>
  </si>
  <si>
    <t>BPS-13424224</t>
  </si>
  <si>
    <t>BPS-11732124</t>
  </si>
  <si>
    <t>BPS-03222224</t>
  </si>
  <si>
    <t>BPS-01733124</t>
  </si>
  <si>
    <t>BPS-04233124</t>
  </si>
  <si>
    <t>BPS-11132124</t>
  </si>
  <si>
    <t>BPS-00522324</t>
  </si>
  <si>
    <t>BPS-14131424</t>
  </si>
  <si>
    <t>BPS-09831424</t>
  </si>
  <si>
    <t>BPS-02133224</t>
  </si>
  <si>
    <t>BPS-05733224</t>
  </si>
  <si>
    <t>BPS-06231424</t>
  </si>
  <si>
    <t>BPS-00633224</t>
  </si>
  <si>
    <t>BPS-09931424</t>
  </si>
  <si>
    <t>BPS-12324124</t>
  </si>
  <si>
    <t>BPS-13031324</t>
  </si>
  <si>
    <t>BPS-12322224</t>
  </si>
  <si>
    <t>BPS-06824224</t>
  </si>
  <si>
    <t>BPS-14122124</t>
  </si>
  <si>
    <t>BPS-07523224</t>
  </si>
  <si>
    <t>BPS-03831324</t>
  </si>
  <si>
    <t>BPS-05532224</t>
  </si>
  <si>
    <t>BPS-08031424</t>
  </si>
  <si>
    <t>BPS-10921424</t>
  </si>
  <si>
    <t>BPS-00521324</t>
  </si>
  <si>
    <t>BPS-04632124</t>
  </si>
  <si>
    <t>BPS-05424224</t>
  </si>
  <si>
    <t>BPS-01224124</t>
  </si>
  <si>
    <t>BPS-13723224</t>
  </si>
  <si>
    <t>BPS-08521224</t>
  </si>
  <si>
    <t>BPS-02822324</t>
  </si>
  <si>
    <t>BPS-10721124</t>
  </si>
  <si>
    <t>BPS-01721224</t>
  </si>
  <si>
    <t>BPS-08031124</t>
  </si>
  <si>
    <t>BPS-05422124</t>
  </si>
  <si>
    <t>BPS-03923224</t>
  </si>
  <si>
    <t>BPS-01321124</t>
  </si>
  <si>
    <t>BPS-08032324</t>
  </si>
  <si>
    <t>BPS-13722124</t>
  </si>
  <si>
    <t>BPS-14121324</t>
  </si>
  <si>
    <t>BPS-07531124</t>
  </si>
  <si>
    <t>BPS-12523124</t>
  </si>
  <si>
    <t>BPS-08433224</t>
  </si>
  <si>
    <t>BPS-07121424</t>
  </si>
  <si>
    <t>BPS-04833124</t>
  </si>
  <si>
    <t>BPS-09023124</t>
  </si>
  <si>
    <t>BPS-06133124</t>
  </si>
  <si>
    <t>BPS-06822124</t>
  </si>
  <si>
    <t>BPS-00933124</t>
  </si>
  <si>
    <t>BPS-00731424</t>
  </si>
  <si>
    <t>BPS-05521324</t>
  </si>
  <si>
    <t>BPS-06021324</t>
  </si>
  <si>
    <t>BPS-13622124</t>
  </si>
  <si>
    <t>BPS-10222224</t>
  </si>
  <si>
    <t>BPS-13132224</t>
  </si>
  <si>
    <t>BPS-00933224</t>
  </si>
  <si>
    <t>BPS-06632224</t>
  </si>
  <si>
    <t>BPS-04022124</t>
  </si>
  <si>
    <t>BPS-13733124</t>
  </si>
  <si>
    <t>BPS-15022324</t>
  </si>
  <si>
    <t>BPS-11922124</t>
  </si>
  <si>
    <t>BPS-07222224</t>
  </si>
  <si>
    <t>BPS-03033124</t>
  </si>
  <si>
    <t>BPS-00831324</t>
  </si>
  <si>
    <t>BPS-07021224</t>
  </si>
  <si>
    <t>BPS-05932324</t>
  </si>
  <si>
    <t>BPS-08634224</t>
  </si>
  <si>
    <t>BPS-05422224</t>
  </si>
  <si>
    <t>BPS-00133224</t>
  </si>
  <si>
    <t>BPS-13932224</t>
  </si>
  <si>
    <t>BPS-04922324</t>
  </si>
  <si>
    <t>BPS-08933124</t>
  </si>
  <si>
    <t>BPS-12133224</t>
  </si>
  <si>
    <t>BPS-04424124</t>
  </si>
  <si>
    <t>BPS-01121424</t>
  </si>
  <si>
    <t>BPS-14631324</t>
  </si>
  <si>
    <t>BPS-14422324</t>
  </si>
  <si>
    <t>BPS-11921124</t>
  </si>
  <si>
    <t>BPS-00521124</t>
  </si>
  <si>
    <t>BPS-14832124</t>
  </si>
  <si>
    <t>BPS-08531224</t>
  </si>
  <si>
    <t>BPS-03433224</t>
  </si>
  <si>
    <t>BPS-04022324</t>
  </si>
  <si>
    <t>BPS-08222224</t>
  </si>
  <si>
    <t>BPS-07221124</t>
  </si>
  <si>
    <t>BPS-03924124</t>
  </si>
  <si>
    <t>BPS-08932324</t>
  </si>
  <si>
    <t>BPS-07722224</t>
  </si>
  <si>
    <t>BPS-11333224</t>
  </si>
  <si>
    <t>BPS-01532324</t>
  </si>
  <si>
    <t>BPS-00724124</t>
  </si>
  <si>
    <t>BPS-13421224</t>
  </si>
  <si>
    <t>BPS-03024224</t>
  </si>
  <si>
    <t>BPS-14224224</t>
  </si>
  <si>
    <t>BPS-03632124</t>
  </si>
  <si>
    <t>BPS-00122124</t>
  </si>
  <si>
    <t>BPS-09932324</t>
  </si>
  <si>
    <t>BPS-13432224</t>
  </si>
  <si>
    <t>BPS-13834224</t>
  </si>
  <si>
    <t>BPS-11231424</t>
  </si>
  <si>
    <t>BPS-07732224</t>
  </si>
  <si>
    <t>BPS-15031324</t>
  </si>
  <si>
    <t>BPS-13422124</t>
  </si>
  <si>
    <t>BPS-06421324</t>
  </si>
  <si>
    <t>BPS-06631324</t>
  </si>
  <si>
    <t>BPS-07633124</t>
  </si>
  <si>
    <t>BPS-14632224</t>
  </si>
  <si>
    <t>BPS-04734224</t>
  </si>
  <si>
    <t>BPS-08224124</t>
  </si>
  <si>
    <t>BPS-11831224</t>
  </si>
  <si>
    <t>BPS-09322324</t>
  </si>
  <si>
    <t>BPS-14421224</t>
  </si>
  <si>
    <t>BPS-11832124</t>
  </si>
  <si>
    <t>BPS-13124224</t>
  </si>
  <si>
    <t>BPS-14421124</t>
  </si>
  <si>
    <t>BPS-00622124</t>
  </si>
  <si>
    <t>BPS-13024124</t>
  </si>
  <si>
    <t>BPS-06722224</t>
  </si>
  <si>
    <t>BPS-00431124</t>
  </si>
  <si>
    <t>BPS-05322124</t>
  </si>
  <si>
    <t>BPS-05123124</t>
  </si>
  <si>
    <t>BPS-04321224</t>
  </si>
  <si>
    <t>BPS-09231224</t>
  </si>
  <si>
    <t>BPS-02524124</t>
  </si>
  <si>
    <t>BPS-01622324</t>
  </si>
  <si>
    <t>BPS-04922124</t>
  </si>
  <si>
    <t>BPS-10323124</t>
  </si>
  <si>
    <t>BPS-13821224</t>
  </si>
  <si>
    <t>BPS-03531324</t>
  </si>
  <si>
    <t>BPS-14933224</t>
  </si>
  <si>
    <t>BPS-01331324</t>
  </si>
  <si>
    <t>BPS-11423224</t>
  </si>
  <si>
    <t>BPS-14524124</t>
  </si>
  <si>
    <t>BPS-14722124</t>
  </si>
  <si>
    <t>BPS-01731324</t>
  </si>
  <si>
    <t>BPS-12431324</t>
  </si>
  <si>
    <t>BPS-13731424</t>
  </si>
  <si>
    <t>BPS-05332124</t>
  </si>
  <si>
    <t>BPS-08724224</t>
  </si>
  <si>
    <t>BPS-04824224</t>
  </si>
  <si>
    <t>BPS-04121424</t>
  </si>
  <si>
    <t>BPS-04924224</t>
  </si>
  <si>
    <t>BPS-03231224</t>
  </si>
  <si>
    <t>BPS-08022324</t>
  </si>
  <si>
    <t>BPS-05931124</t>
  </si>
  <si>
    <t>BPS-06831124</t>
  </si>
  <si>
    <t>BPS-04432124</t>
  </si>
  <si>
    <t>BPS-00224224</t>
  </si>
  <si>
    <t>BPS-13423224</t>
  </si>
  <si>
    <t>BPS-00421224</t>
  </si>
  <si>
    <t>BPS-08831124</t>
  </si>
  <si>
    <t>BPS-05434124</t>
  </si>
  <si>
    <t>BPS-06432324</t>
  </si>
  <si>
    <t>BPS-05723124</t>
  </si>
  <si>
    <t>BPS-09021424</t>
  </si>
  <si>
    <t>BPS-05432124</t>
  </si>
  <si>
    <t>BPS-08823124</t>
  </si>
  <si>
    <t>BPS-11222124</t>
  </si>
  <si>
    <t>BPS-05822124</t>
  </si>
  <si>
    <t>BPS-06334224</t>
  </si>
  <si>
    <t>BPS-09721224</t>
  </si>
  <si>
    <t>BPS-12422224</t>
  </si>
  <si>
    <t>BPS-06122124</t>
  </si>
  <si>
    <t>BPS-07531324</t>
  </si>
  <si>
    <t>BPS-12834124</t>
  </si>
  <si>
    <t>BPS-04321324</t>
  </si>
  <si>
    <t>BPS-04123124</t>
  </si>
  <si>
    <t>BPS-06433224</t>
  </si>
  <si>
    <t>BPS-00332124</t>
  </si>
  <si>
    <t>BPS-13524224</t>
  </si>
  <si>
    <t>BPS-02433224</t>
  </si>
  <si>
    <t>BPS-05031324</t>
  </si>
  <si>
    <t>BPS-08421124</t>
  </si>
  <si>
    <t>BPS-05033124</t>
  </si>
  <si>
    <t>BPS-09021124</t>
  </si>
  <si>
    <t>BPS-00522124</t>
  </si>
  <si>
    <t>BPS-07721224</t>
  </si>
  <si>
    <t>BPS-12121324</t>
  </si>
  <si>
    <t>BPS-02632324</t>
  </si>
  <si>
    <t>BPS-02123224</t>
  </si>
  <si>
    <t>BPS-08633224</t>
  </si>
  <si>
    <t>BPS-11331124</t>
  </si>
  <si>
    <t>BPS-08532224</t>
  </si>
  <si>
    <t>BPS-00221124</t>
  </si>
  <si>
    <t>BPS-02522124</t>
  </si>
  <si>
    <t>BPS-00534124</t>
  </si>
  <si>
    <t>BPS-10623124</t>
  </si>
  <si>
    <t>BPS-04222124</t>
  </si>
  <si>
    <t>BPS-06533124</t>
  </si>
  <si>
    <t>BPS-14732124</t>
  </si>
  <si>
    <t>BPS-07231224</t>
  </si>
  <si>
    <t>BPS-03331124</t>
  </si>
  <si>
    <t>BPS-10122324</t>
  </si>
  <si>
    <t>BPS-00922324</t>
  </si>
  <si>
    <t>BPS-15032124</t>
  </si>
  <si>
    <t>BPS-14634124</t>
  </si>
  <si>
    <t>BPS-00324124</t>
  </si>
  <si>
    <t>BPS-01231324</t>
  </si>
  <si>
    <t>BPS-08623124</t>
  </si>
  <si>
    <t>BPS-07122124</t>
  </si>
  <si>
    <t>BPS-02431124</t>
  </si>
  <si>
    <t>BPS-04331424</t>
  </si>
  <si>
    <t>BPS-07023124</t>
  </si>
  <si>
    <t>BPS-04931224</t>
  </si>
  <si>
    <t>BPS-10324124</t>
  </si>
  <si>
    <t>BPS-00931324</t>
  </si>
  <si>
    <t>BPS-14032224</t>
  </si>
  <si>
    <t>BPS-09434124</t>
  </si>
  <si>
    <t>BPS-12433124</t>
  </si>
  <si>
    <t>BPS-14231224</t>
  </si>
  <si>
    <t>BPS-01031224</t>
  </si>
  <si>
    <t>BPS-08132124</t>
  </si>
  <si>
    <t>BPS-11532224</t>
  </si>
  <si>
    <t>BPS-01834224</t>
  </si>
  <si>
    <t>BPS-14333224</t>
  </si>
  <si>
    <t>BPS-03322324</t>
  </si>
  <si>
    <t>BPS-10334224</t>
  </si>
  <si>
    <t>BPS-12424224</t>
  </si>
  <si>
    <t>BPS-00432124</t>
  </si>
  <si>
    <t>BPS-14621424</t>
  </si>
  <si>
    <t>BPS-10132124</t>
  </si>
  <si>
    <t>BPS-07432324</t>
  </si>
  <si>
    <t>BPS-02932224</t>
  </si>
  <si>
    <t>BPS-04131224</t>
  </si>
  <si>
    <t>BPS-15031424</t>
  </si>
  <si>
    <t>BPS-11321124</t>
  </si>
  <si>
    <t>BPS-09323124</t>
  </si>
  <si>
    <t>BPS-13832224</t>
  </si>
  <si>
    <t>BPS-06631224</t>
  </si>
  <si>
    <t>BPS-11421424</t>
  </si>
  <si>
    <t>BPS-03232324</t>
  </si>
  <si>
    <t>BPS-10523224</t>
  </si>
  <si>
    <t>BPS-10721224</t>
  </si>
  <si>
    <t>BPS-05324124</t>
  </si>
  <si>
    <t>BPS-07033224</t>
  </si>
  <si>
    <t>BPS-03632224</t>
  </si>
  <si>
    <t>BPS-04423224</t>
  </si>
  <si>
    <t>BPS-05121124</t>
  </si>
  <si>
    <t>BPS-01323124</t>
  </si>
  <si>
    <t>BPS-05333124</t>
  </si>
  <si>
    <t>BPS-05731124</t>
  </si>
  <si>
    <t>BPS-05823124</t>
  </si>
  <si>
    <t>BPS-12621424</t>
  </si>
  <si>
    <t>BPS-08321324</t>
  </si>
  <si>
    <t>BPS-07322324</t>
  </si>
  <si>
    <t>BPS-00822324</t>
  </si>
  <si>
    <t>BPS-08332124</t>
  </si>
  <si>
    <t>BPS-07333124</t>
  </si>
  <si>
    <t>BPS-12924124</t>
  </si>
  <si>
    <t>BPS-11931224</t>
  </si>
  <si>
    <t>BPS-09732124</t>
  </si>
  <si>
    <t>BPS-05031224</t>
  </si>
  <si>
    <t>BPS-08221224</t>
  </si>
  <si>
    <t>BPS-00621424</t>
  </si>
  <si>
    <t>BPS-08334224</t>
  </si>
  <si>
    <t>BPS-01423124</t>
  </si>
  <si>
    <t>BPS-00623124</t>
  </si>
  <si>
    <t>BPS-01921224</t>
  </si>
  <si>
    <t>BPS-06932224</t>
  </si>
  <si>
    <t>BPS-05222224</t>
  </si>
  <si>
    <t>BPS-13231224</t>
  </si>
  <si>
    <t>BPS-11724124</t>
  </si>
  <si>
    <t>BPS-04224124</t>
  </si>
  <si>
    <t>BPS-05931424</t>
  </si>
  <si>
    <t>BPS-03732124</t>
  </si>
  <si>
    <t>BPS-03121224</t>
  </si>
  <si>
    <t>BPS-10433224</t>
  </si>
  <si>
    <t>BPS-03132124</t>
  </si>
  <si>
    <t>BPS-04723224</t>
  </si>
  <si>
    <t>BPS-02931424</t>
  </si>
  <si>
    <t>BPS-05222324</t>
  </si>
  <si>
    <t>BPS-13524124</t>
  </si>
  <si>
    <t>BPS-08334124</t>
  </si>
  <si>
    <t>BPS-08924224</t>
  </si>
  <si>
    <t>BPS-01433224</t>
  </si>
  <si>
    <t>BPS-01732124</t>
  </si>
  <si>
    <t>BPS-05732224</t>
  </si>
  <si>
    <t>BPS-12721224</t>
  </si>
  <si>
    <t>BPS-10232324</t>
  </si>
  <si>
    <t>BPS-10431424</t>
  </si>
  <si>
    <t>BPS-13621424</t>
  </si>
  <si>
    <t>BPS-07932224</t>
  </si>
  <si>
    <t>BPS-12233224</t>
  </si>
  <si>
    <t>BPS-03824224</t>
  </si>
  <si>
    <t>BPS-10032124</t>
  </si>
  <si>
    <t>BPS-08934124</t>
  </si>
  <si>
    <t>BPS-12021124</t>
  </si>
  <si>
    <t>BPS-04223224</t>
  </si>
  <si>
    <t>BPS-10431124</t>
  </si>
  <si>
    <t>BPS-11131324</t>
  </si>
  <si>
    <t>BPS-09134224</t>
  </si>
  <si>
    <t>BPS-09832324</t>
  </si>
  <si>
    <t>BPS-00322324</t>
  </si>
  <si>
    <t>BPS-14332324</t>
  </si>
  <si>
    <t>BPS-11234224</t>
  </si>
  <si>
    <t>BPS-00931224</t>
  </si>
  <si>
    <t>BPS-11931124</t>
  </si>
  <si>
    <t>BPS-14232224</t>
  </si>
  <si>
    <t>BPS-03522224</t>
  </si>
  <si>
    <t>BPS-02831124</t>
  </si>
  <si>
    <t>BPS-11834124</t>
  </si>
  <si>
    <t>BPS-03422124</t>
  </si>
  <si>
    <t>BPS-13731324</t>
  </si>
  <si>
    <t>BPS-07522124</t>
  </si>
  <si>
    <t>BPS-06423224</t>
  </si>
  <si>
    <t>BPS-05834124</t>
  </si>
  <si>
    <t>BPS-01821124</t>
  </si>
  <si>
    <t>BPS-09731424</t>
  </si>
  <si>
    <t>BPS-10432224</t>
  </si>
  <si>
    <t>BPS-10021424</t>
  </si>
  <si>
    <t>BPS-14431424</t>
  </si>
  <si>
    <t>BPS-15024124</t>
  </si>
  <si>
    <t>BPS-11433224</t>
  </si>
  <si>
    <t>BPS-06821124</t>
  </si>
  <si>
    <t>BPS-13532324</t>
  </si>
  <si>
    <t>BPS-10524124</t>
  </si>
  <si>
    <t>BPS-13021224</t>
  </si>
  <si>
    <t>BPS-13531324</t>
  </si>
  <si>
    <t>BPS-00123224</t>
  </si>
  <si>
    <t>BPS-12221124</t>
  </si>
  <si>
    <t>BPS-03131424</t>
  </si>
  <si>
    <t>BPS-09121324</t>
  </si>
  <si>
    <t>BPS-00532124</t>
  </si>
  <si>
    <t>BPS-02432124</t>
  </si>
  <si>
    <t>BPS-10522124</t>
  </si>
  <si>
    <t>BPS-05922324</t>
  </si>
  <si>
    <t>BPS-02733224</t>
  </si>
  <si>
    <t>BPS-09222124</t>
  </si>
  <si>
    <t>BPS-09531224</t>
  </si>
  <si>
    <t>BPS-04831324</t>
  </si>
  <si>
    <t>BPS-05431224</t>
  </si>
  <si>
    <t>BPS-03231124</t>
  </si>
  <si>
    <t>BPS-13034124</t>
  </si>
  <si>
    <t>BPS-02231124</t>
  </si>
  <si>
    <t>BPS-01032124</t>
  </si>
  <si>
    <t>BPS-12931424</t>
  </si>
  <si>
    <t>BPS-05431424</t>
  </si>
  <si>
    <t>BPS-06422324</t>
  </si>
  <si>
    <t>BPS-10422124</t>
  </si>
  <si>
    <t>BPS-06723224</t>
  </si>
  <si>
    <t>BPS-00822224</t>
  </si>
  <si>
    <t>BPS-10331424</t>
  </si>
  <si>
    <t>BPS-14932124</t>
  </si>
  <si>
    <t>BPS-12821324</t>
  </si>
  <si>
    <t>BPS-04434124</t>
  </si>
  <si>
    <t>BPS-05921324</t>
  </si>
  <si>
    <t>BPS-13822324</t>
  </si>
  <si>
    <t>BPS-01831424</t>
  </si>
  <si>
    <t>BPS-13133224</t>
  </si>
  <si>
    <t>BPS-14422224</t>
  </si>
  <si>
    <t>BPS-03031124</t>
  </si>
  <si>
    <t>BPS-09921124</t>
  </si>
  <si>
    <t>BPS-08921124</t>
  </si>
  <si>
    <t>BPS-01334224</t>
  </si>
  <si>
    <t>BPS-00821224</t>
  </si>
  <si>
    <t>BPS-00833224</t>
  </si>
  <si>
    <t>BPS-06932324</t>
  </si>
  <si>
    <t>BPS-01633224</t>
  </si>
  <si>
    <t>BPS-12724124</t>
  </si>
  <si>
    <t>BPS-04821324</t>
  </si>
  <si>
    <t>BPS-02333124</t>
  </si>
  <si>
    <t>BPS-07434224</t>
  </si>
  <si>
    <t>BPS-09123124</t>
  </si>
  <si>
    <t>BPS-04331324</t>
  </si>
  <si>
    <t>BPS-14722224</t>
  </si>
  <si>
    <t>BPS-07123124</t>
  </si>
  <si>
    <t>BPS-10821324</t>
  </si>
  <si>
    <t>BPS-12231124</t>
  </si>
  <si>
    <t>BPS-13224124</t>
  </si>
  <si>
    <t>BPS-12334124</t>
  </si>
  <si>
    <t>BPS-14522124</t>
  </si>
  <si>
    <t>BPS-11731124</t>
  </si>
  <si>
    <t>BPS-05131224</t>
  </si>
  <si>
    <t>BPS-04131124</t>
  </si>
  <si>
    <t>BPS-14931124</t>
  </si>
  <si>
    <t>BPS-09731124</t>
  </si>
  <si>
    <t>BPS-02721224</t>
  </si>
  <si>
    <t>BPS-02223224</t>
  </si>
  <si>
    <t>BPS-05631124</t>
  </si>
  <si>
    <t>BPS-02332224</t>
  </si>
  <si>
    <t>BPS-05131324</t>
  </si>
  <si>
    <t>BPS-00932224</t>
  </si>
  <si>
    <t>BPS-14231424</t>
  </si>
  <si>
    <t>BPS-08631224</t>
  </si>
  <si>
    <t>BPS-04834124</t>
  </si>
  <si>
    <t>BPS-02322124</t>
  </si>
  <si>
    <t>BPS-06034224</t>
  </si>
  <si>
    <t>BPS-04921124</t>
  </si>
  <si>
    <t>BPS-10721424</t>
  </si>
  <si>
    <t>BPS-09834224</t>
  </si>
  <si>
    <t>BPS-00522224</t>
  </si>
  <si>
    <t>BPS-05321124</t>
  </si>
  <si>
    <t>BPS-08922224</t>
  </si>
  <si>
    <t>BPS-13521224</t>
  </si>
  <si>
    <t>BPS-01723224</t>
  </si>
  <si>
    <t>BPS-00221424</t>
  </si>
  <si>
    <t>BPS-05721124</t>
  </si>
  <si>
    <t>BPS-11023124</t>
  </si>
  <si>
    <t>BPS-07832124</t>
  </si>
  <si>
    <t>BPS-01121124</t>
  </si>
  <si>
    <t>BPS-00824224</t>
  </si>
  <si>
    <t>BPS-04931324</t>
  </si>
  <si>
    <t>BPS-14731124</t>
  </si>
  <si>
    <t>BPS-13233224</t>
  </si>
  <si>
    <t>BPS-12223124</t>
  </si>
  <si>
    <t>BPS-04234224</t>
  </si>
  <si>
    <t>BPS-01533124</t>
  </si>
  <si>
    <t>BPS-14831124</t>
  </si>
  <si>
    <t>BPS-07732324</t>
  </si>
  <si>
    <t>BPS-07134124</t>
  </si>
  <si>
    <t>BPS-01234124</t>
  </si>
  <si>
    <t>BPS-10131424</t>
  </si>
  <si>
    <t>BPS-02631224</t>
  </si>
  <si>
    <t>BPS-00722224</t>
  </si>
  <si>
    <t>BPS-10031124</t>
  </si>
  <si>
    <t>BPS-08632324</t>
  </si>
  <si>
    <t>BPS-11723124</t>
  </si>
  <si>
    <t>BPS-07833124</t>
  </si>
  <si>
    <t>BPS-07622224</t>
  </si>
  <si>
    <t>BPS-12121224</t>
  </si>
  <si>
    <t>BPS-00122224</t>
  </si>
  <si>
    <t>BPS-04024124</t>
  </si>
  <si>
    <t>BPS-13433124</t>
  </si>
  <si>
    <t>BPS-13532224</t>
  </si>
  <si>
    <t>BPS-01333124</t>
  </si>
  <si>
    <t>BPS-00431324</t>
  </si>
  <si>
    <t>BPS-00731324</t>
  </si>
  <si>
    <t>BPS-14234224</t>
  </si>
  <si>
    <t>BPS-13832124</t>
  </si>
  <si>
    <t>BPS-14221424</t>
  </si>
  <si>
    <t>BPS-13232224</t>
  </si>
  <si>
    <t>BPS-08531324</t>
  </si>
  <si>
    <t>BPS-11131424</t>
  </si>
  <si>
    <t>BPS-11831124</t>
  </si>
  <si>
    <t>BPS-12832324</t>
  </si>
  <si>
    <t>BPS-14931224</t>
  </si>
  <si>
    <t>BPS-08824224</t>
  </si>
  <si>
    <t>BPS-09622324</t>
  </si>
  <si>
    <t>BPS-09422324</t>
  </si>
  <si>
    <t>BPS-10631424</t>
  </si>
  <si>
    <t>BPS-05223124</t>
  </si>
  <si>
    <t>BPS-01033224</t>
  </si>
  <si>
    <t>BPS-03033224</t>
  </si>
  <si>
    <t>BPS-07133124</t>
  </si>
  <si>
    <t>BPS-05022224</t>
  </si>
  <si>
    <t>BPS-12022324</t>
  </si>
  <si>
    <t>BPS-10234124</t>
  </si>
  <si>
    <t>BPS-05631324</t>
  </si>
  <si>
    <t>BPS-04023124</t>
  </si>
  <si>
    <t>BPS-14332224</t>
  </si>
  <si>
    <t>BPS-04431324</t>
  </si>
  <si>
    <t>BPS-06831224</t>
  </si>
  <si>
    <t>BPS-06433124</t>
  </si>
  <si>
    <t>BPS-08321424</t>
  </si>
  <si>
    <t>BPS-13034224</t>
  </si>
  <si>
    <t>BPS-13431424</t>
  </si>
  <si>
    <t>BPS-00831424</t>
  </si>
  <si>
    <t>BPS-08631324</t>
  </si>
  <si>
    <t>BPS-06922124</t>
  </si>
  <si>
    <t>BPS-04624224</t>
  </si>
  <si>
    <t>BPS-01121224</t>
  </si>
  <si>
    <t>BPS-05032124</t>
  </si>
  <si>
    <t>BPS-07133224</t>
  </si>
  <si>
    <t>BPS-14521224</t>
  </si>
  <si>
    <t>BPS-02634124</t>
  </si>
  <si>
    <t>BPS-09734124</t>
  </si>
  <si>
    <t>BPS-02021424</t>
  </si>
  <si>
    <t>BPS-01933124</t>
  </si>
  <si>
    <t>BPS-06934224</t>
  </si>
  <si>
    <t>BPS-03332224</t>
  </si>
  <si>
    <t>BPS-15033224</t>
  </si>
  <si>
    <t>BPS-08024224</t>
  </si>
  <si>
    <t>BPS-12224224</t>
  </si>
  <si>
    <t>BPS-00222224</t>
  </si>
  <si>
    <t>BPS-00221224</t>
  </si>
  <si>
    <t>BPS-13734224</t>
  </si>
  <si>
    <t>BPS-01221324</t>
  </si>
  <si>
    <t>BPS-07022124</t>
  </si>
  <si>
    <t>BPS-05233124</t>
  </si>
  <si>
    <t>BPS-06123124</t>
  </si>
  <si>
    <t>BPS-11231224</t>
  </si>
  <si>
    <t>BPS-05824124</t>
  </si>
  <si>
    <t>BPS-12132324</t>
  </si>
  <si>
    <t>BPS-03921324</t>
  </si>
  <si>
    <t>BPS-11921324</t>
  </si>
  <si>
    <t>BPS-06931224</t>
  </si>
  <si>
    <t>BPS-00132124</t>
  </si>
  <si>
    <t>BPS-11034124</t>
  </si>
  <si>
    <t>BPS-11022124</t>
  </si>
  <si>
    <t>BPS-02321124</t>
  </si>
  <si>
    <t>BPS-00331324</t>
  </si>
  <si>
    <t>BPS-08331124</t>
  </si>
  <si>
    <t>BPS-08533124</t>
  </si>
  <si>
    <t>BPS-14132224</t>
  </si>
  <si>
    <t>BPS-13934224</t>
  </si>
  <si>
    <t>BPS-06124224</t>
  </si>
  <si>
    <t>BPS-09333224</t>
  </si>
  <si>
    <t>BPS-01721324</t>
  </si>
  <si>
    <t>BPS-12631424</t>
  </si>
  <si>
    <t>BPS-01923124</t>
  </si>
  <si>
    <t>BPS-04932224</t>
  </si>
  <si>
    <t>BPS-01221224</t>
  </si>
  <si>
    <t>BPS-14622124</t>
  </si>
  <si>
    <t>BPS-01631124</t>
  </si>
  <si>
    <t>BPS-09431424</t>
  </si>
  <si>
    <t>BPS-04831424</t>
  </si>
  <si>
    <t>BPS-12431424</t>
  </si>
  <si>
    <t>BPS-14734124</t>
  </si>
  <si>
    <t>BPS-11432124</t>
  </si>
  <si>
    <t>BPS-10821124</t>
  </si>
  <si>
    <t>BPS-12023124</t>
  </si>
  <si>
    <t>BPS-01124124</t>
  </si>
  <si>
    <t>BPS-13932124</t>
  </si>
  <si>
    <t>BPS-14532324</t>
  </si>
  <si>
    <t>BPS-10833124</t>
  </si>
  <si>
    <t>BPS-03234124</t>
  </si>
  <si>
    <t>BPS-03824124</t>
  </si>
  <si>
    <t>BPS-09024124</t>
  </si>
  <si>
    <t>BPS-14523224</t>
  </si>
  <si>
    <t>BPS-03832124</t>
  </si>
  <si>
    <t>BPS-11233224</t>
  </si>
  <si>
    <t>BPS-12331324</t>
  </si>
  <si>
    <t>BPS-01221424</t>
  </si>
  <si>
    <t>BPS-06533224</t>
  </si>
  <si>
    <t>BPS-03122124</t>
  </si>
  <si>
    <t>BPS-02222124</t>
  </si>
  <si>
    <t>BPS-02134224</t>
  </si>
  <si>
    <t>BPS-12524124</t>
  </si>
  <si>
    <t>BPS-12632124</t>
  </si>
  <si>
    <t>BPS-13031424</t>
  </si>
  <si>
    <t>BPS-10133224</t>
  </si>
  <si>
    <t>BPS-14924124</t>
  </si>
  <si>
    <t>BPS-13931124</t>
  </si>
  <si>
    <t>BPS-06324224</t>
  </si>
  <si>
    <t>BPS-04632324</t>
  </si>
  <si>
    <t>BPS-05332224</t>
  </si>
  <si>
    <t>BPS-13121224</t>
  </si>
  <si>
    <t>BPS-02833124</t>
  </si>
  <si>
    <t>BPS-11933124</t>
  </si>
  <si>
    <t>BPS-00634124</t>
  </si>
  <si>
    <t>BPS-14732224</t>
  </si>
  <si>
    <t>BPS-14332124</t>
  </si>
  <si>
    <t>BPS-09721324</t>
  </si>
  <si>
    <t>BPS-09234124</t>
  </si>
  <si>
    <t>BPS-05924224</t>
  </si>
  <si>
    <t>BPS-05732324</t>
  </si>
  <si>
    <t>BPS-13922124</t>
  </si>
  <si>
    <t>BPS-03131324</t>
  </si>
  <si>
    <t>BPS-06322124</t>
  </si>
  <si>
    <t>BPS-09234224</t>
  </si>
  <si>
    <t>BPS-03531424</t>
  </si>
  <si>
    <t>BPS-08533224</t>
  </si>
  <si>
    <t>BPS-11522124</t>
  </si>
  <si>
    <t>BPS-01022224</t>
  </si>
  <si>
    <t>BPS-05724124</t>
  </si>
  <si>
    <t>BPS-10034224</t>
  </si>
  <si>
    <t>BPS-03722324</t>
  </si>
  <si>
    <t>BPS-02731224</t>
  </si>
  <si>
    <t>BPS-12421424</t>
  </si>
  <si>
    <t>BPS-14033124</t>
  </si>
  <si>
    <t>BPS-12222124</t>
  </si>
  <si>
    <t>BPS-09522324</t>
  </si>
  <si>
    <t>BPS-11832324</t>
  </si>
  <si>
    <t>BPS-12523224</t>
  </si>
  <si>
    <t>BPS-11921424</t>
  </si>
  <si>
    <t>BPS-03123224</t>
  </si>
  <si>
    <t>BPS-08632124</t>
  </si>
  <si>
    <t>BPS-09233224</t>
  </si>
  <si>
    <t>BPS-12031224</t>
  </si>
  <si>
    <t>BPS-01923224</t>
  </si>
  <si>
    <t>BPS-07532224</t>
  </si>
  <si>
    <t>BPS-06523124</t>
  </si>
  <si>
    <t>BPS-13921424</t>
  </si>
  <si>
    <t>BPS-04031424</t>
  </si>
  <si>
    <t>BPS-00531124</t>
  </si>
  <si>
    <t>BPS-07022324</t>
  </si>
  <si>
    <t>BPS-13421324</t>
  </si>
  <si>
    <t>BPS-08722124</t>
  </si>
  <si>
    <t>BPS-07624224</t>
  </si>
  <si>
    <t>BPS-05521124</t>
  </si>
  <si>
    <t>BPS-07532124</t>
  </si>
  <si>
    <t>BPS-05633124</t>
  </si>
  <si>
    <t>BPS-11431324</t>
  </si>
  <si>
    <t>BPS-07021124</t>
  </si>
  <si>
    <t>BPS-07934224</t>
  </si>
  <si>
    <t>BPS-10232224</t>
  </si>
  <si>
    <t>BPS-12621124</t>
  </si>
  <si>
    <t>BPS-01722124</t>
  </si>
  <si>
    <t>BPS-11933224</t>
  </si>
  <si>
    <t>BPS-11521124</t>
  </si>
  <si>
    <t>BPS-02221324</t>
  </si>
  <si>
    <t>BPS-10421224</t>
  </si>
  <si>
    <t>BPS-11823124</t>
  </si>
  <si>
    <t>BPS-00721124</t>
  </si>
  <si>
    <t>BPS-15021424</t>
  </si>
  <si>
    <t>BPS-12122324</t>
  </si>
  <si>
    <t>BPS-11434124</t>
  </si>
  <si>
    <t>BPS-06621224</t>
  </si>
  <si>
    <t>BPS-02721324</t>
  </si>
  <si>
    <t>BPS-01634224</t>
  </si>
  <si>
    <t>BPS-07134224</t>
  </si>
  <si>
    <t>BPS-00931124</t>
  </si>
  <si>
    <t>BPS-00234124</t>
  </si>
  <si>
    <t>BPS-00731124</t>
  </si>
  <si>
    <t>BPS-10933224</t>
  </si>
  <si>
    <t>BPS-09521424</t>
  </si>
  <si>
    <t>BPS-04224224</t>
  </si>
  <si>
    <t>BPS-11533224</t>
  </si>
  <si>
    <t>BPS-13122324</t>
  </si>
  <si>
    <t>BPS-07224124</t>
  </si>
  <si>
    <t>BPS-11331324</t>
  </si>
  <si>
    <t>BPS-09631324</t>
  </si>
  <si>
    <t>BPS-05432224</t>
  </si>
  <si>
    <t>BPS-09224224</t>
  </si>
  <si>
    <t>BPS-10334124</t>
  </si>
  <si>
    <t>BPS-14433124</t>
  </si>
  <si>
    <t>BPS-10324224</t>
  </si>
  <si>
    <t>BPS-09931324</t>
  </si>
  <si>
    <t>BPS-14224124</t>
  </si>
  <si>
    <t>BPS-09232224</t>
  </si>
  <si>
    <t>BPS-14834224</t>
  </si>
  <si>
    <t>BPS-09032124</t>
  </si>
  <si>
    <t>BPS-07634224</t>
  </si>
  <si>
    <t>BPS-00823224</t>
  </si>
  <si>
    <t>BPS-02422224</t>
  </si>
  <si>
    <t>BPS-01431324</t>
  </si>
  <si>
    <t>BPS-08534124</t>
  </si>
  <si>
    <t>BPS-06422124</t>
  </si>
  <si>
    <t>BPS-10031324</t>
  </si>
  <si>
    <t>BPS-15032224</t>
  </si>
  <si>
    <t>BPS-02032324</t>
  </si>
  <si>
    <t>BPS-11031224</t>
  </si>
  <si>
    <t>BPS-12922224</t>
  </si>
  <si>
    <t>BPS-01722224</t>
  </si>
  <si>
    <t>BPS-03032224</t>
  </si>
  <si>
    <t>BPS-01921324</t>
  </si>
  <si>
    <t>BPS-10733224</t>
  </si>
  <si>
    <t>BPS-11224224</t>
  </si>
  <si>
    <t>BPS-00531324</t>
  </si>
  <si>
    <t>BPS-02432224</t>
  </si>
  <si>
    <t>BPS-05531424</t>
  </si>
  <si>
    <t>BPS-03221224</t>
  </si>
  <si>
    <t>BPS-11231324</t>
  </si>
  <si>
    <t>BPS-00121424</t>
  </si>
  <si>
    <t>BPS-14824124</t>
  </si>
  <si>
    <t>BPS-10022324</t>
  </si>
  <si>
    <t>BPS-02022224</t>
  </si>
  <si>
    <t>BPS-02731124</t>
  </si>
  <si>
    <t>BPS-11734124</t>
  </si>
  <si>
    <t>BPS-03922224</t>
  </si>
  <si>
    <t>BPS-09722224</t>
  </si>
  <si>
    <t>BPS-11022224</t>
  </si>
  <si>
    <t>BPS-02031324</t>
  </si>
  <si>
    <t>BPS-08224224</t>
  </si>
  <si>
    <t>BPS-07921224</t>
  </si>
  <si>
    <t>BPS-05024224</t>
  </si>
  <si>
    <t>BPS-02321324</t>
  </si>
  <si>
    <t>BPS-02432324</t>
  </si>
  <si>
    <t>BPS-02131124</t>
  </si>
  <si>
    <t>BPS-14323124</t>
  </si>
  <si>
    <t>BPS-10321324</t>
  </si>
  <si>
    <t>BPS-08723224</t>
  </si>
  <si>
    <t>BPS-11134124</t>
  </si>
  <si>
    <t>BPS-03533124</t>
  </si>
  <si>
    <t>BPS-14121124</t>
  </si>
  <si>
    <t>BPS-08423224</t>
  </si>
  <si>
    <t>BPS-04333124</t>
  </si>
  <si>
    <t>BPS-06224224</t>
  </si>
  <si>
    <t>BPS-01622224</t>
  </si>
  <si>
    <t>BPS-01021424</t>
  </si>
  <si>
    <t>BPS-14531424</t>
  </si>
  <si>
    <t>BPS-09034124</t>
  </si>
  <si>
    <t>BPS-00822124</t>
  </si>
  <si>
    <t>BPS-09132324</t>
  </si>
  <si>
    <t>BPS-03321124</t>
  </si>
  <si>
    <t>BPS-07932324</t>
  </si>
  <si>
    <t>BPS-11723224</t>
  </si>
  <si>
    <t>BPS-13421124</t>
  </si>
  <si>
    <t>BPS-14733224</t>
  </si>
  <si>
    <t>BPS-13331424</t>
  </si>
  <si>
    <t>BPS-12532224</t>
  </si>
  <si>
    <t>BPS-07031324</t>
  </si>
  <si>
    <t>BPS-01822324</t>
  </si>
  <si>
    <t>BPS-06521324</t>
  </si>
  <si>
    <t>BPS-12134224</t>
  </si>
  <si>
    <t>BPS-10832124</t>
  </si>
  <si>
    <t>BPS-00921424</t>
  </si>
  <si>
    <t>BPS-08834124</t>
  </si>
  <si>
    <t>BPS-00121224</t>
  </si>
  <si>
    <t>BPS-03231324</t>
  </si>
  <si>
    <t>BPS-00131224</t>
  </si>
  <si>
    <t>BPS-13533124</t>
  </si>
  <si>
    <t>BPS-11524224</t>
  </si>
  <si>
    <t>BPS-08521424</t>
  </si>
  <si>
    <t>BPS-09934224</t>
  </si>
  <si>
    <t>BPS-12724224</t>
  </si>
  <si>
    <t>BPS-01424124</t>
  </si>
  <si>
    <t>BPS-09433124</t>
  </si>
  <si>
    <t>BPS-04634124</t>
  </si>
  <si>
    <t>BPS-00124124</t>
  </si>
  <si>
    <t>BPS-04133124</t>
  </si>
  <si>
    <t>BPS-08831424</t>
  </si>
  <si>
    <t>BPS-06634224</t>
  </si>
  <si>
    <t>BPS-07931424</t>
  </si>
  <si>
    <t>BPS-12821424</t>
  </si>
  <si>
    <t>BPS-08122124</t>
  </si>
  <si>
    <t>BPS-03924224</t>
  </si>
  <si>
    <t>BPS-09831224</t>
  </si>
  <si>
    <t>BPS-07934124</t>
  </si>
  <si>
    <t>BPS-10423224</t>
  </si>
  <si>
    <t>BPS-09622124</t>
  </si>
  <si>
    <t>BPS-07724124</t>
  </si>
  <si>
    <t>BPS-01321424</t>
  </si>
  <si>
    <t>BPS-08921324</t>
  </si>
  <si>
    <t>BPS-00724224</t>
  </si>
  <si>
    <t>BPS-01824224</t>
  </si>
  <si>
    <t>BPS-06132324</t>
  </si>
  <si>
    <t>BPS-14121224</t>
  </si>
  <si>
    <t>BPS-05723224</t>
  </si>
  <si>
    <t>BPS-11121224</t>
  </si>
  <si>
    <t>BPS-13721424</t>
  </si>
  <si>
    <t>BPS-07022224</t>
  </si>
  <si>
    <t>BPS-04822224</t>
  </si>
  <si>
    <t>BPS-03723224</t>
  </si>
  <si>
    <t>BPS-14622224</t>
  </si>
  <si>
    <t>BPS-00924124</t>
  </si>
  <si>
    <t>BPS-14724224</t>
  </si>
  <si>
    <t>BPS-01322224</t>
  </si>
  <si>
    <t>BPS-05722124</t>
  </si>
  <si>
    <t>BPS-14221124</t>
  </si>
  <si>
    <t>BPS-02433124</t>
  </si>
  <si>
    <t>BPS-07922224</t>
  </si>
  <si>
    <t>BPS-12521324</t>
  </si>
  <si>
    <t>BPS-04832224</t>
  </si>
  <si>
    <t>BPS-05621324</t>
  </si>
  <si>
    <t>BPS-13021424</t>
  </si>
  <si>
    <t>BPS-10521224</t>
  </si>
  <si>
    <t>BPS-05321424</t>
  </si>
  <si>
    <t>BPS-06931124</t>
  </si>
  <si>
    <t>BPS-14134224</t>
  </si>
  <si>
    <t>BPS-06932124</t>
  </si>
  <si>
    <t>BPS-04122124</t>
  </si>
  <si>
    <t>BPS-01531324</t>
  </si>
  <si>
    <t>BPS-09021324</t>
  </si>
  <si>
    <t>BPS-07733224</t>
  </si>
  <si>
    <t>BPS-10432324</t>
  </si>
  <si>
    <t>BPS-13523124</t>
  </si>
  <si>
    <t>BPS-11232224</t>
  </si>
  <si>
    <t>BPS-08434124</t>
  </si>
  <si>
    <t>BPS-04621124</t>
  </si>
  <si>
    <t>BPS-02721124</t>
  </si>
  <si>
    <t>BPS-00221324</t>
  </si>
  <si>
    <t>BPS-03634124</t>
  </si>
  <si>
    <t>BPS-04722224</t>
  </si>
  <si>
    <t>BPS-10723124</t>
  </si>
  <si>
    <t>BPS-14924224</t>
  </si>
  <si>
    <t>BPS-02221424</t>
  </si>
  <si>
    <t>BPS-07823124</t>
  </si>
  <si>
    <t>BPS-00331224</t>
  </si>
  <si>
    <t>BPS-01332324</t>
  </si>
  <si>
    <t>BPS-02532124</t>
  </si>
  <si>
    <t>BPS-02032124</t>
  </si>
  <si>
    <t>BPS-02222324</t>
  </si>
  <si>
    <t>BPS-07624124</t>
  </si>
  <si>
    <t>BPS-08731424</t>
  </si>
  <si>
    <t>BPS-01632324</t>
  </si>
  <si>
    <t>BPS-07832224</t>
  </si>
  <si>
    <t>BPS-09532124</t>
  </si>
  <si>
    <t>BPS-14132124</t>
  </si>
  <si>
    <t>BPS-03831124</t>
  </si>
  <si>
    <t>BPS-12734124</t>
  </si>
  <si>
    <t>BPS-02923124</t>
  </si>
  <si>
    <t>BPS-02932324</t>
  </si>
  <si>
    <t>BPS-11521224</t>
  </si>
  <si>
    <t>BPS-04534124</t>
  </si>
  <si>
    <t>BPS-08523124</t>
  </si>
  <si>
    <t>BPS-12022224</t>
  </si>
  <si>
    <t>BPS-08621424</t>
  </si>
  <si>
    <t>BPS-10022124</t>
  </si>
  <si>
    <t>BPS-05921224</t>
  </si>
  <si>
    <t>BPS-08431324</t>
  </si>
  <si>
    <t>BPS-15031124</t>
  </si>
  <si>
    <t>BPS-09424124</t>
  </si>
  <si>
    <t>BPS-12832224</t>
  </si>
  <si>
    <t>BPS-09621124</t>
  </si>
  <si>
    <t>BPS-06131124</t>
  </si>
  <si>
    <t>BPS-14623124</t>
  </si>
  <si>
    <t>BPS-08721324</t>
  </si>
  <si>
    <t>BPS-14322324</t>
  </si>
  <si>
    <t>BPS-11332324</t>
  </si>
  <si>
    <t>BPS-05823224</t>
  </si>
  <si>
    <t>BPS-14231324</t>
  </si>
  <si>
    <t>BPS-02223124</t>
  </si>
  <si>
    <t>BPS-00832224</t>
  </si>
  <si>
    <t>BPS-14731324</t>
  </si>
  <si>
    <t>BPS-02123124</t>
  </si>
  <si>
    <t>BPS-13631324</t>
  </si>
  <si>
    <t>BPS-02631324</t>
  </si>
  <si>
    <t>BPS-03933124</t>
  </si>
  <si>
    <t>BPS-09121424</t>
  </si>
  <si>
    <t>BPS-07334124</t>
  </si>
  <si>
    <t>BPS-02022324</t>
  </si>
  <si>
    <t>BPS-08834224</t>
  </si>
  <si>
    <t>BPS-06222124</t>
  </si>
  <si>
    <t>BPS-09832124</t>
  </si>
  <si>
    <t>BPS-07521124</t>
  </si>
  <si>
    <t>BPS-04332124</t>
  </si>
  <si>
    <t>BPS-00922124</t>
  </si>
  <si>
    <t>BPS-12634224</t>
  </si>
  <si>
    <t>BPS-09523124</t>
  </si>
  <si>
    <t>BPS-01621224</t>
  </si>
  <si>
    <t>BPS-08124124</t>
  </si>
  <si>
    <t>BPS-14024224</t>
  </si>
  <si>
    <t>BPS-12431124</t>
  </si>
  <si>
    <t>BPS-03134124</t>
  </si>
  <si>
    <t>BPS-08624124</t>
  </si>
  <si>
    <t>BPS-12131124</t>
  </si>
  <si>
    <t>BPS-09723224</t>
  </si>
  <si>
    <t>BPS-04333224</t>
  </si>
  <si>
    <t>BPS-10432124</t>
  </si>
  <si>
    <t>BPS-08732324</t>
  </si>
  <si>
    <t>BPS-04021324</t>
  </si>
  <si>
    <t>BPS-13231324</t>
  </si>
  <si>
    <t>BPS-14423224</t>
  </si>
  <si>
    <t>BPS-08432324</t>
  </si>
  <si>
    <t>BPS-11332224</t>
  </si>
  <si>
    <t>BPS-10322224</t>
  </si>
  <si>
    <t>BPS-04221324</t>
  </si>
  <si>
    <t>BPS-02533224</t>
  </si>
  <si>
    <t>BPS-08131224</t>
  </si>
  <si>
    <t>BPS-07232224</t>
  </si>
  <si>
    <t>BPS-06024124</t>
  </si>
  <si>
    <t>BPS-08633124</t>
  </si>
  <si>
    <t>BPS-04633124</t>
  </si>
  <si>
    <t>BPS-12921424</t>
  </si>
  <si>
    <t>BPS-14932224</t>
  </si>
  <si>
    <t>BPS-08034124</t>
  </si>
  <si>
    <t>BPS-14832224</t>
  </si>
  <si>
    <t>BPS-06721124</t>
  </si>
  <si>
    <t>BPS-12522224</t>
  </si>
  <si>
    <t>BPS-03324224</t>
  </si>
  <si>
    <t>BPS-02332324</t>
  </si>
  <si>
    <t>BPS-09533224</t>
  </si>
  <si>
    <t>BPS-03331324</t>
  </si>
  <si>
    <t>BPS-06524124</t>
  </si>
  <si>
    <t>BPS-03722224</t>
  </si>
  <si>
    <t>BPS-09523224</t>
  </si>
  <si>
    <t>BPS-10531324</t>
  </si>
  <si>
    <t>BPS-04132224</t>
  </si>
  <si>
    <t>BPS-01132124</t>
  </si>
  <si>
    <t>BPS-11821424</t>
  </si>
  <si>
    <t>BPS-09734224</t>
  </si>
  <si>
    <t>BPS-11722124</t>
  </si>
  <si>
    <t>BPS-01722324</t>
  </si>
  <si>
    <t>BPS-05432324</t>
  </si>
  <si>
    <t>BPS-02332124</t>
  </si>
  <si>
    <t>BPS-12832124</t>
  </si>
  <si>
    <t>BPS-00234224</t>
  </si>
  <si>
    <t>BPS-06931324</t>
  </si>
  <si>
    <t>BPS-06123224</t>
  </si>
  <si>
    <t>BPS-00732324</t>
  </si>
  <si>
    <t>BPS-07623224</t>
  </si>
  <si>
    <t>BPS-09331224</t>
  </si>
  <si>
    <t>BPS-10831124</t>
  </si>
  <si>
    <t>BPS-14124224</t>
  </si>
  <si>
    <t>BPS-13831224</t>
  </si>
  <si>
    <t>BPS-11122224</t>
  </si>
  <si>
    <t>BPS-07921324</t>
  </si>
  <si>
    <t>BPS-06224124</t>
  </si>
  <si>
    <t>BPS-14823224</t>
  </si>
  <si>
    <t>BPS-04531424</t>
  </si>
  <si>
    <t>BPS-01631324</t>
  </si>
  <si>
    <t>BPS-02922224</t>
  </si>
  <si>
    <t>BPS-02231324</t>
  </si>
  <si>
    <t>BPS-11934124</t>
  </si>
  <si>
    <t>BPS-13021124</t>
  </si>
  <si>
    <t>BPS-11033124</t>
  </si>
  <si>
    <t>BPS-07722324</t>
  </si>
  <si>
    <t>BPS-08021324</t>
  </si>
  <si>
    <t>BPS-10931424</t>
  </si>
  <si>
    <t>BPS-01634124</t>
  </si>
  <si>
    <t>BPS-06731424</t>
  </si>
  <si>
    <t>BPS-11122124</t>
  </si>
  <si>
    <t>BPS-02824124</t>
  </si>
  <si>
    <t>BPS-04922224</t>
  </si>
  <si>
    <t>BPS-03334124</t>
  </si>
  <si>
    <t>BPS-12721324</t>
  </si>
  <si>
    <t>BPS-10033124</t>
  </si>
  <si>
    <t>BPS-03431224</t>
  </si>
  <si>
    <t>BPS-13933224</t>
  </si>
  <si>
    <t>BPS-06324124</t>
  </si>
  <si>
    <t>BPS-02921324</t>
  </si>
  <si>
    <t>BPS-13522324</t>
  </si>
  <si>
    <t>BPS-03321424</t>
  </si>
  <si>
    <t>BPS-11722224</t>
  </si>
  <si>
    <t>BPS-11324124</t>
  </si>
  <si>
    <t>BPS-12521124</t>
  </si>
  <si>
    <t>BPS-00634224</t>
  </si>
  <si>
    <t>BPS-02334224</t>
  </si>
  <si>
    <t>BPS-09534224</t>
  </si>
  <si>
    <t>BPS-11631124</t>
  </si>
  <si>
    <t>BPS-04731224</t>
  </si>
  <si>
    <t>BPS-13622224</t>
  </si>
  <si>
    <t>BPS-02534124</t>
  </si>
  <si>
    <t>BPS-04524124</t>
  </si>
  <si>
    <t>BPS-00233224</t>
  </si>
  <si>
    <t>BPS-11632324</t>
  </si>
  <si>
    <t>BPS-04421124</t>
  </si>
  <si>
    <t>BPS-13123224</t>
  </si>
  <si>
    <t>BPS-06031424</t>
  </si>
  <si>
    <t>BPS-01831224</t>
  </si>
  <si>
    <t>BPS-02623224</t>
  </si>
  <si>
    <t>BPS-09831124</t>
  </si>
  <si>
    <t>BPS-04531224</t>
  </si>
  <si>
    <t>BPS-07721424</t>
  </si>
  <si>
    <t>BPS-10224224</t>
  </si>
  <si>
    <t>BPS-04923124</t>
  </si>
  <si>
    <t>BPS-06834124</t>
  </si>
  <si>
    <t>BPS-03732324</t>
  </si>
  <si>
    <t>BPS-05721324</t>
  </si>
  <si>
    <t>BPS-07332324</t>
  </si>
  <si>
    <t>BPS-12831224</t>
  </si>
  <si>
    <t>BPS-09532224</t>
  </si>
  <si>
    <t>BPS-06923224</t>
  </si>
  <si>
    <t>BPS-04923224</t>
  </si>
  <si>
    <t>BPS-04823224</t>
  </si>
  <si>
    <t>BPS-03931424</t>
  </si>
  <si>
    <t>BPS-04124224</t>
  </si>
  <si>
    <t>BPS-12421224</t>
  </si>
  <si>
    <t>BPS-03823124</t>
  </si>
  <si>
    <t>BPS-00121124</t>
  </si>
  <si>
    <t>BPS-00921224</t>
  </si>
  <si>
    <t>BPS-04731424</t>
  </si>
  <si>
    <t>BPS-07031424</t>
  </si>
  <si>
    <t>BPS-04021124</t>
  </si>
  <si>
    <t>BPS-08132224</t>
  </si>
  <si>
    <t>BPS-12021324</t>
  </si>
  <si>
    <t>BPS-08121324</t>
  </si>
  <si>
    <t>BPS-12232324</t>
  </si>
  <si>
    <t>BPS-03233224</t>
  </si>
  <si>
    <t>BPS-14423124</t>
  </si>
  <si>
    <t>BPS-08422324</t>
  </si>
  <si>
    <t>BPS-08634124</t>
  </si>
  <si>
    <t>BPS-01023124</t>
  </si>
  <si>
    <t>BPS-06731224</t>
  </si>
  <si>
    <t>BPS-02632224</t>
  </si>
  <si>
    <t>BPS-14032324</t>
  </si>
  <si>
    <t>BPS-11421324</t>
  </si>
  <si>
    <t>BPS-00721424</t>
  </si>
  <si>
    <t>BPS-07524224</t>
  </si>
  <si>
    <t>BPS-11021224</t>
  </si>
  <si>
    <t>BPS-14822224</t>
  </si>
  <si>
    <t>BPS-13734124</t>
  </si>
  <si>
    <t>BPS-00934124</t>
  </si>
  <si>
    <t>BPS-08831224</t>
  </si>
  <si>
    <t>BPS-11823224</t>
  </si>
  <si>
    <t>BPS-08622324</t>
  </si>
  <si>
    <t>BPS-14721324</t>
  </si>
  <si>
    <t>BPS-01324224</t>
  </si>
  <si>
    <t>BPS-08423124</t>
  </si>
  <si>
    <t>BPS-05824224</t>
  </si>
  <si>
    <t>BPS-10124124</t>
  </si>
  <si>
    <t>BPS-05821124</t>
  </si>
  <si>
    <t>BPS-14023124</t>
  </si>
  <si>
    <t>BPS-04822124</t>
  </si>
  <si>
    <t>BPS-10732224</t>
  </si>
  <si>
    <t>BPS-07922324</t>
  </si>
  <si>
    <t>BPS-03121324</t>
  </si>
  <si>
    <t>BPS-05533224</t>
  </si>
  <si>
    <t>BPS-05434224</t>
  </si>
  <si>
    <t>BPS-12322124</t>
  </si>
  <si>
    <t>BPS-12421124</t>
  </si>
  <si>
    <t>BPS-09332224</t>
  </si>
  <si>
    <t>BPS-05134224</t>
  </si>
  <si>
    <t>BPS-10831224</t>
  </si>
  <si>
    <t>BPS-13923124</t>
  </si>
  <si>
    <t>BPS-03431424</t>
  </si>
  <si>
    <t>BPS-07032324</t>
  </si>
  <si>
    <t>BPS-04033124</t>
  </si>
  <si>
    <t>BPS-09524124</t>
  </si>
  <si>
    <t>BPS-00731224</t>
  </si>
  <si>
    <t>BPS-08021424</t>
  </si>
  <si>
    <t>BPS-10122124</t>
  </si>
  <si>
    <t>BPS-12021424</t>
  </si>
  <si>
    <t>BPS-03834224</t>
  </si>
  <si>
    <t>BPS-03031424</t>
  </si>
  <si>
    <t>BPS-10134124</t>
  </si>
  <si>
    <t>BPS-14921124</t>
  </si>
  <si>
    <t>BPS-14222324</t>
  </si>
  <si>
    <t>BPS-07222324</t>
  </si>
  <si>
    <t>BPS-00323124</t>
  </si>
  <si>
    <t>BPS-01534124</t>
  </si>
  <si>
    <t>BPS-07831424</t>
  </si>
  <si>
    <t>BPS-15032324</t>
  </si>
  <si>
    <t>BPS-04823124</t>
  </si>
  <si>
    <t>BPS-03721124</t>
  </si>
  <si>
    <t>BPS-07424224</t>
  </si>
  <si>
    <t>BPS-13531224</t>
  </si>
  <si>
    <t>BPS-12231224</t>
  </si>
  <si>
    <t>BPS-03733224</t>
  </si>
  <si>
    <t>BPS-09432124</t>
  </si>
  <si>
    <t>BPS-11622324</t>
  </si>
  <si>
    <t>BPS-12623224</t>
  </si>
  <si>
    <t>BPS-09833224</t>
  </si>
  <si>
    <t>BPS-03731324</t>
  </si>
  <si>
    <t>BPS-03031324</t>
  </si>
  <si>
    <t>BPS-08622224</t>
  </si>
  <si>
    <t>BPS-07631424</t>
  </si>
  <si>
    <t>BPS-07831224</t>
  </si>
  <si>
    <t>BPS-04732324</t>
  </si>
  <si>
    <t>BPS-00831124</t>
  </si>
  <si>
    <t>BPS-05832224</t>
  </si>
  <si>
    <t>BPS-03732224</t>
  </si>
  <si>
    <t>BPS-00834124</t>
  </si>
  <si>
    <t>BPS-07533124</t>
  </si>
  <si>
    <t>BPS-12221324</t>
  </si>
  <si>
    <t>BPS-11132324</t>
  </si>
  <si>
    <t>BPS-08722224</t>
  </si>
  <si>
    <t>BPS-02122324</t>
  </si>
  <si>
    <t>BPS-03932124</t>
  </si>
  <si>
    <t>BPS-14034224</t>
  </si>
  <si>
    <t>BPS-11632124</t>
  </si>
  <si>
    <t>BPS-12723224</t>
  </si>
  <si>
    <t>BPS-14432224</t>
  </si>
  <si>
    <t>BPS-08022224</t>
  </si>
  <si>
    <t>BPS-15023224</t>
  </si>
  <si>
    <t>BPS-02724124</t>
  </si>
  <si>
    <t>BPS-10332124</t>
  </si>
  <si>
    <t>BPS-13521124</t>
  </si>
  <si>
    <t>BPS-10223124</t>
  </si>
  <si>
    <t>BPS-06234124</t>
  </si>
  <si>
    <t>BPS-13122124</t>
  </si>
  <si>
    <t>BPS-12632224</t>
  </si>
  <si>
    <t>BPS-03434124</t>
  </si>
  <si>
    <t>BPS-02333224</t>
  </si>
  <si>
    <t>BPS-13634224</t>
  </si>
  <si>
    <t>BPS-04523224</t>
  </si>
  <si>
    <t>BPS-13534124</t>
  </si>
  <si>
    <t>BPS-08322224</t>
  </si>
  <si>
    <t>BPS-02233124</t>
  </si>
  <si>
    <t>BPS-06834224</t>
  </si>
  <si>
    <t>BPS-09631124</t>
  </si>
  <si>
    <t>BPS-06832224</t>
  </si>
  <si>
    <t>BPS-14321224</t>
  </si>
  <si>
    <t>BPS-12334224</t>
  </si>
  <si>
    <t>BPS-13032124</t>
  </si>
  <si>
    <t>BPS-01833224</t>
  </si>
  <si>
    <t>BPS-01322324</t>
  </si>
  <si>
    <t>BPS-06333224</t>
  </si>
  <si>
    <t>BPS-09922124</t>
  </si>
  <si>
    <t>BPS-12734224</t>
  </si>
  <si>
    <t>BPS-12021224</t>
  </si>
  <si>
    <t>BPS-09323224</t>
  </si>
  <si>
    <t>BPS-08832324</t>
  </si>
  <si>
    <t>BPS-12233124</t>
  </si>
  <si>
    <t>BPS-10522224</t>
  </si>
  <si>
    <t>BPS-03923124</t>
  </si>
  <si>
    <t>BPS-07521324</t>
  </si>
  <si>
    <t>BPS-04323224</t>
  </si>
  <si>
    <t>BPS-11932324</t>
  </si>
  <si>
    <t>BPS-14422124</t>
  </si>
  <si>
    <t>BPS-08623224</t>
  </si>
  <si>
    <t>BPS-10233124</t>
  </si>
  <si>
    <t>BPS-04821424</t>
  </si>
  <si>
    <t>BPS-07231324</t>
  </si>
  <si>
    <t>BPS-02421424</t>
  </si>
  <si>
    <t>BPS-05524224</t>
  </si>
  <si>
    <t>BPS-01331424</t>
  </si>
  <si>
    <t>BPS-09231424</t>
  </si>
  <si>
    <t>BPS-12934224</t>
  </si>
  <si>
    <t>BPS-10634224</t>
  </si>
  <si>
    <t>BPS-09131424</t>
  </si>
  <si>
    <t>BPS-10422324</t>
  </si>
  <si>
    <t>BPS-06633124</t>
  </si>
  <si>
    <t>BPS-05124224</t>
  </si>
  <si>
    <t>BPS-10731324</t>
  </si>
  <si>
    <t>BPS-07924224</t>
  </si>
  <si>
    <t>BPS-13422224</t>
  </si>
  <si>
    <t>BPS-06521124</t>
  </si>
  <si>
    <t>BPS-09022324</t>
  </si>
  <si>
    <t>BPS-13724224</t>
  </si>
  <si>
    <t>BPS-10021324</t>
  </si>
  <si>
    <t>BPS-12634124</t>
  </si>
  <si>
    <t>BPS-01022324</t>
  </si>
  <si>
    <t>BPS-12332324</t>
  </si>
  <si>
    <t>BPS-04721224</t>
  </si>
  <si>
    <t>BPS-10833224</t>
  </si>
  <si>
    <t>BPS-08622124</t>
  </si>
  <si>
    <t>BPS-09322124</t>
  </si>
  <si>
    <t>BPS-06624224</t>
  </si>
  <si>
    <t>BPS-00133124</t>
  </si>
  <si>
    <t>BPS-11424224</t>
  </si>
  <si>
    <t>BPS-05822324</t>
  </si>
  <si>
    <t>BPS-04233224</t>
  </si>
  <si>
    <t>BPS-03623224</t>
  </si>
  <si>
    <t>BPS-12934124</t>
  </si>
  <si>
    <t>BPS-06333124</t>
  </si>
  <si>
    <t>BPS-14831324</t>
  </si>
  <si>
    <t>BPS-07921424</t>
  </si>
  <si>
    <t>BPS-09034224</t>
  </si>
  <si>
    <t>BPS-09521124</t>
  </si>
  <si>
    <t>BPS-14122324</t>
  </si>
  <si>
    <t>BPS-11631424</t>
  </si>
  <si>
    <t>BPS-12234124</t>
  </si>
  <si>
    <t>BPS-12332224</t>
  </si>
  <si>
    <t>BPS-09822324</t>
  </si>
  <si>
    <t>BPS-03522324</t>
  </si>
  <si>
    <t>BPS-03533224</t>
  </si>
  <si>
    <t>BPS-09732324</t>
  </si>
  <si>
    <t>BPS-04124124</t>
  </si>
  <si>
    <t>BPS-03934124</t>
  </si>
  <si>
    <t>BPS-04031224</t>
  </si>
  <si>
    <t>BPS-07521224</t>
  </si>
  <si>
    <t>BPS-02324124</t>
  </si>
  <si>
    <t>BPS-03222124</t>
  </si>
  <si>
    <t>BPS-03823224</t>
  </si>
  <si>
    <t>BPS-02522324</t>
  </si>
  <si>
    <t>BPS-00521424</t>
  </si>
  <si>
    <t>BPS-07621124</t>
  </si>
  <si>
    <t>BPS-05632224</t>
  </si>
  <si>
    <t>BPS-10724224</t>
  </si>
  <si>
    <t>BPS-11322324</t>
  </si>
  <si>
    <t>BPS-13831324</t>
  </si>
  <si>
    <t>BPS-09021224</t>
  </si>
  <si>
    <t>BPS-15034224</t>
  </si>
  <si>
    <t>BPS-09424224</t>
  </si>
  <si>
    <t>BPS-12222224</t>
  </si>
  <si>
    <t>BPS-08234224</t>
  </si>
  <si>
    <t>BPS-10434124</t>
  </si>
  <si>
    <t>BPS-09134124</t>
  </si>
  <si>
    <t>BPS-07524124</t>
  </si>
  <si>
    <t>BPS-04034124</t>
  </si>
  <si>
    <t>BPS-07923124</t>
  </si>
  <si>
    <t>BPS-09624224</t>
  </si>
  <si>
    <t>BPS-10721324</t>
  </si>
  <si>
    <t>BPS-12123124</t>
  </si>
  <si>
    <t>BPS-04533124</t>
  </si>
  <si>
    <t>BPS-06621124</t>
  </si>
  <si>
    <t>BPS-04232324</t>
  </si>
  <si>
    <t>BPS-11331224</t>
  </si>
  <si>
    <t>BPS-12532324</t>
  </si>
  <si>
    <t>BPS-11822224</t>
  </si>
  <si>
    <t>BPS-14024124</t>
  </si>
  <si>
    <t>BPS-09232324</t>
  </si>
  <si>
    <t>BPS-02733124</t>
  </si>
  <si>
    <t>BPS-06332124</t>
  </si>
  <si>
    <t>BPS-11623124</t>
  </si>
  <si>
    <t>BPS-04631224</t>
  </si>
  <si>
    <t>BPS-04023224</t>
  </si>
  <si>
    <t>BPS-03334224</t>
  </si>
  <si>
    <t>BPS-11831324</t>
  </si>
  <si>
    <t>BPS-04431124</t>
  </si>
  <si>
    <t>BPS-00532324</t>
  </si>
  <si>
    <t>BPS-07722124</t>
  </si>
  <si>
    <t>BPS-01433124</t>
  </si>
  <si>
    <t>BPS-13624124</t>
  </si>
  <si>
    <t>BPS-01632124</t>
  </si>
  <si>
    <t>BPS-00721324</t>
  </si>
  <si>
    <t>BPS-08331424</t>
  </si>
  <si>
    <t>BPS-06432124</t>
  </si>
  <si>
    <t>BPS-04221224</t>
  </si>
  <si>
    <t>BPS-11131224</t>
  </si>
  <si>
    <t>BPS-04122224</t>
  </si>
  <si>
    <t>BPS-01034224</t>
  </si>
  <si>
    <t>BPS-11533124</t>
  </si>
  <si>
    <t>BPS-04322224</t>
  </si>
  <si>
    <t>BPS-06734224</t>
  </si>
  <si>
    <t>BPS-04024224</t>
  </si>
  <si>
    <t>BPS-01524124</t>
  </si>
  <si>
    <t>BPS-04322124</t>
  </si>
  <si>
    <t>BPS-06221224</t>
  </si>
  <si>
    <t>BPS-08923224</t>
  </si>
  <si>
    <t>BPS-14133124</t>
  </si>
  <si>
    <t>BPS-11833124</t>
  </si>
  <si>
    <t>BPS-07523124</t>
  </si>
  <si>
    <t>BPS-10421424</t>
  </si>
  <si>
    <t>BPS-09524224</t>
  </si>
  <si>
    <t>BPS-14734224</t>
  </si>
  <si>
    <t>BPS-02924224</t>
  </si>
  <si>
    <t>BPS-05734124</t>
  </si>
  <si>
    <t>BPS-13422324</t>
  </si>
  <si>
    <t>BPS-01931124</t>
  </si>
  <si>
    <t>BPS-01131424</t>
  </si>
  <si>
    <t>BPS-03224124</t>
  </si>
  <si>
    <t>BPS-05224124</t>
  </si>
  <si>
    <t>BPS-09133224</t>
  </si>
  <si>
    <t>BPS-09031124</t>
  </si>
  <si>
    <t>BPS-03532324</t>
  </si>
  <si>
    <t>BPS-01431124</t>
  </si>
  <si>
    <t>BPS-12731324</t>
  </si>
  <si>
    <t>BPS-08821424</t>
  </si>
  <si>
    <t>BPS-01823124</t>
  </si>
  <si>
    <t>BPS-12333224</t>
  </si>
  <si>
    <t>BPS-04231424</t>
  </si>
  <si>
    <t>BPS-01523224</t>
  </si>
  <si>
    <t>BPS-13321224</t>
  </si>
  <si>
    <t>BPS-14533224</t>
  </si>
  <si>
    <t>BPS-11731324</t>
  </si>
  <si>
    <t>BPS-00631324</t>
  </si>
  <si>
    <t>BPS-11624224</t>
  </si>
  <si>
    <t>BPS-13921224</t>
  </si>
  <si>
    <t>BPS-09821224</t>
  </si>
  <si>
    <t>BPS-13222224</t>
  </si>
  <si>
    <t>BPS-05522124</t>
  </si>
  <si>
    <t>BPS-12322324</t>
  </si>
  <si>
    <t>BPS-00421424</t>
  </si>
  <si>
    <t>BPS-01124224</t>
  </si>
  <si>
    <t>BPS-11632224</t>
  </si>
  <si>
    <t>BPS-09822124</t>
  </si>
  <si>
    <t>BPS-05623124</t>
  </si>
  <si>
    <t>BPS-08822324</t>
  </si>
  <si>
    <t>BPS-08831324</t>
  </si>
  <si>
    <t>BPS-12223224</t>
  </si>
  <si>
    <t>BPS-05732124</t>
  </si>
  <si>
    <t>BPS-11021324</t>
  </si>
  <si>
    <t>BPS-09923124</t>
  </si>
  <si>
    <t>BPS-06222324</t>
  </si>
  <si>
    <t>BPS-07322124</t>
  </si>
  <si>
    <t>BPS-14632324</t>
  </si>
  <si>
    <t>BPS-10732324</t>
  </si>
  <si>
    <t>BPS-14522224</t>
  </si>
  <si>
    <t>BPS-06534224</t>
  </si>
  <si>
    <t>BPS-09022124</t>
  </si>
  <si>
    <t>BPS-02624224</t>
  </si>
  <si>
    <t>BPS-00324224</t>
  </si>
  <si>
    <t>BPS-00433224</t>
  </si>
  <si>
    <t>BPS-08821224</t>
  </si>
  <si>
    <t>BPS-10323224</t>
  </si>
  <si>
    <t>BPS-08032124</t>
  </si>
  <si>
    <t>BPS-07321424</t>
  </si>
  <si>
    <t>BPS-10521324</t>
  </si>
  <si>
    <t>BPS-10532124</t>
  </si>
  <si>
    <t>BPS-14921424</t>
  </si>
  <si>
    <t>BPS-11122324</t>
  </si>
  <si>
    <t>BPS-02923224</t>
  </si>
  <si>
    <t>BPS-09222324</t>
  </si>
  <si>
    <t>BPS-09922324</t>
  </si>
  <si>
    <t>BPS-01232324</t>
  </si>
  <si>
    <t>BPS-05121324</t>
  </si>
  <si>
    <t>BPS-06734124</t>
  </si>
  <si>
    <t>BPS-08432124</t>
  </si>
  <si>
    <t>BPS-02531224</t>
  </si>
  <si>
    <t>BPS-14732324</t>
  </si>
  <si>
    <t>BPS-09121224</t>
  </si>
  <si>
    <t>BPS-03921424</t>
  </si>
  <si>
    <t>BPS-04534224</t>
  </si>
  <si>
    <t>BPS-09321424</t>
  </si>
  <si>
    <t>BPS-04521224</t>
  </si>
  <si>
    <t>BPS-11931424</t>
  </si>
  <si>
    <t>BPS-12931224</t>
  </si>
  <si>
    <t>BPS-13424124</t>
  </si>
  <si>
    <t>BPS-08832224</t>
  </si>
  <si>
    <t>BPS-07932124</t>
  </si>
  <si>
    <t>BPS-10531224</t>
  </si>
  <si>
    <t>BPS-07422124</t>
  </si>
  <si>
    <t>BPS-11024224</t>
  </si>
  <si>
    <t>BPS-06822224</t>
  </si>
  <si>
    <t>BPS-10531424</t>
  </si>
  <si>
    <t>BPS-06121224</t>
  </si>
  <si>
    <t>BPS-04422324</t>
  </si>
  <si>
    <t>BPS-01922224</t>
  </si>
  <si>
    <t>BPS-01134124</t>
  </si>
  <si>
    <t>BPS-01123224</t>
  </si>
  <si>
    <t>BPS-00332224</t>
  </si>
  <si>
    <t>BPS-04132124</t>
  </si>
  <si>
    <t>BPS-15034124</t>
  </si>
  <si>
    <t>BPS-09621224</t>
  </si>
  <si>
    <t>BPS-03223224</t>
  </si>
  <si>
    <t>BPS-09821124</t>
  </si>
  <si>
    <t>BPS-09334224</t>
  </si>
  <si>
    <t>BPS-02934124</t>
  </si>
  <si>
    <t>BPS-14324224</t>
  </si>
  <si>
    <t>BPS-06223224</t>
  </si>
  <si>
    <t>BPS-05532124</t>
  </si>
  <si>
    <t>BPS-09932224</t>
  </si>
  <si>
    <t>BPS-14621124</t>
  </si>
  <si>
    <t>BPS-02734124</t>
  </si>
  <si>
    <t>BPS-09331424</t>
  </si>
  <si>
    <t>BPS-14123224</t>
  </si>
  <si>
    <t>BPS-14931424</t>
  </si>
  <si>
    <t>BPS-11534224</t>
  </si>
  <si>
    <t>BPS-03821224</t>
  </si>
  <si>
    <t>BPS-12321324</t>
  </si>
  <si>
    <t>BPS-14434124</t>
  </si>
  <si>
    <t>BPS-04221124</t>
  </si>
  <si>
    <t>BPS-09032224</t>
  </si>
  <si>
    <t>BPS-06632124</t>
  </si>
  <si>
    <t>BPS-12533224</t>
  </si>
  <si>
    <t>BPS-02431424</t>
  </si>
  <si>
    <t>BPS-05531224</t>
  </si>
  <si>
    <t>BPS-09231324</t>
  </si>
  <si>
    <t>BPS-07024124</t>
  </si>
  <si>
    <t>BPS-02331224</t>
  </si>
  <si>
    <t>BPS-13321424</t>
  </si>
  <si>
    <t>BPS-04321424</t>
  </si>
  <si>
    <t>BPS-01422124</t>
  </si>
  <si>
    <t>BPS-09731224</t>
  </si>
  <si>
    <t>BPS-11624124</t>
  </si>
  <si>
    <t>BPS-01422224</t>
  </si>
  <si>
    <t>BPS-05331324</t>
  </si>
  <si>
    <t>BPS-10431224</t>
  </si>
  <si>
    <t>BPS-02132224</t>
  </si>
  <si>
    <t>BPS-06231324</t>
  </si>
  <si>
    <t>BPS-13923224</t>
  </si>
  <si>
    <t>BPS-07131324</t>
  </si>
  <si>
    <t>BPS-04921424</t>
  </si>
  <si>
    <t>BPS-10923124</t>
  </si>
  <si>
    <t>BPS-13833224</t>
  </si>
  <si>
    <t>BPS-04731124</t>
  </si>
  <si>
    <t>BPS-07631324</t>
  </si>
  <si>
    <t>BPS-11621224</t>
  </si>
  <si>
    <t>BPS-09733224</t>
  </si>
  <si>
    <t>BPS-08524124</t>
  </si>
  <si>
    <t>BPS-07731424</t>
  </si>
  <si>
    <t>BPS-05424124</t>
  </si>
  <si>
    <t>BPS-12132124</t>
  </si>
  <si>
    <t>BPS-02933124</t>
  </si>
  <si>
    <t>BPS-14631424</t>
  </si>
  <si>
    <t>BPS-12922324</t>
  </si>
  <si>
    <t>BPS-12722124</t>
  </si>
  <si>
    <t>BPS-06821324</t>
  </si>
  <si>
    <t>BPS-10221124</t>
  </si>
  <si>
    <t>BPS-12624124</t>
  </si>
  <si>
    <t>BPS-02831224</t>
  </si>
  <si>
    <t>BPS-09533124</t>
  </si>
  <si>
    <t>BPS-13521324</t>
  </si>
  <si>
    <t>BPS-04432324</t>
  </si>
  <si>
    <t>BPS-14934224</t>
  </si>
  <si>
    <t>BPS-05221224</t>
  </si>
  <si>
    <t>BPS-03022224</t>
  </si>
  <si>
    <t>BPS-03331424</t>
  </si>
  <si>
    <t>BPS-11331424</t>
  </si>
  <si>
    <t>BPS-03021124</t>
  </si>
  <si>
    <t>BPS-05121424</t>
  </si>
  <si>
    <t>BPS-10522324</t>
  </si>
  <si>
    <t>BPS-12533124</t>
  </si>
  <si>
    <t>BPS-13132324</t>
  </si>
  <si>
    <t>BPS-04623124</t>
  </si>
  <si>
    <t>BPS-03124224</t>
  </si>
  <si>
    <t>BPS-03534124</t>
  </si>
  <si>
    <t>BPS-02232224</t>
  </si>
  <si>
    <t>BPS-13931324</t>
  </si>
  <si>
    <t>BPS-05933224</t>
  </si>
  <si>
    <t>BPS-12422324</t>
  </si>
  <si>
    <t>BPS-14221324</t>
  </si>
  <si>
    <t>BPS-09824224</t>
  </si>
  <si>
    <t>BPS-11621424</t>
  </si>
  <si>
    <t>BPS-00624124</t>
  </si>
  <si>
    <t>BPS-03323124</t>
  </si>
  <si>
    <t>BPS-06431224</t>
  </si>
  <si>
    <t>BPS-10333124</t>
  </si>
  <si>
    <t>BPS-05534224</t>
  </si>
  <si>
    <t>BPS-03631224</t>
  </si>
  <si>
    <t>BPS-13924224</t>
  </si>
  <si>
    <t>BPS-07923224</t>
  </si>
  <si>
    <t>BPS-10621124</t>
  </si>
  <si>
    <t>BPS-06424124</t>
  </si>
  <si>
    <t>BPS-08721224</t>
  </si>
  <si>
    <t>BPS-05234124</t>
  </si>
  <si>
    <t>BPS-10532224</t>
  </si>
  <si>
    <t>BPS-03432124</t>
  </si>
  <si>
    <t>BPS-05323224</t>
  </si>
  <si>
    <t>BPS-01822224</t>
  </si>
  <si>
    <t>BPS-13224224</t>
  </si>
  <si>
    <t>BPS-07633224</t>
  </si>
  <si>
    <t>BPS-10121124</t>
  </si>
  <si>
    <t>BPS-11424124</t>
  </si>
  <si>
    <t>BPS-11124124</t>
  </si>
  <si>
    <t>BPS-13022224</t>
  </si>
  <si>
    <t>BPS-13022124</t>
  </si>
  <si>
    <t>BPS-01532224</t>
  </si>
  <si>
    <t>BPS-14031124</t>
  </si>
  <si>
    <t>BPS-03822324</t>
  </si>
  <si>
    <t>BPS-07732124</t>
  </si>
  <si>
    <t>BPS-14521324</t>
  </si>
  <si>
    <t>BPS-00233124</t>
  </si>
  <si>
    <t>BPS-13321124</t>
  </si>
  <si>
    <t>BPS-08133224</t>
  </si>
  <si>
    <t>BPS-05331224</t>
  </si>
  <si>
    <t>BPS-01434124</t>
  </si>
  <si>
    <t>BPS-10322324</t>
  </si>
  <si>
    <t>BPS-13433224</t>
  </si>
  <si>
    <t>BPS-05934224</t>
  </si>
  <si>
    <t>BPS-00621224</t>
  </si>
  <si>
    <t>BPS-09522224</t>
  </si>
  <si>
    <t>BPS-02131424</t>
  </si>
  <si>
    <t>BPS-06134224</t>
  </si>
  <si>
    <t>BPS-01833124</t>
  </si>
  <si>
    <t>BPS-01421224</t>
  </si>
  <si>
    <t>BPS-07334224</t>
  </si>
  <si>
    <t>BPS-06221324</t>
  </si>
  <si>
    <t>BPS-00321124</t>
  </si>
  <si>
    <t>BPS-11022324</t>
  </si>
  <si>
    <t>BPS-01431424</t>
  </si>
  <si>
    <t>BPS-06321424</t>
  </si>
  <si>
    <t>BPS-00723224</t>
  </si>
  <si>
    <t>BPS-08324124</t>
  </si>
  <si>
    <t>BPS-11834224</t>
  </si>
  <si>
    <t>BPS-13021324</t>
  </si>
  <si>
    <t>BPS-09222224</t>
  </si>
  <si>
    <t>BPS-05221424</t>
  </si>
  <si>
    <t>BPS-06531424</t>
  </si>
  <si>
    <t>BPS-02031424</t>
  </si>
  <si>
    <t>BPS-05622124</t>
  </si>
  <si>
    <t>BPS-00932124</t>
  </si>
  <si>
    <t>BPS-01732324</t>
  </si>
  <si>
    <t>BPS-13334124</t>
  </si>
  <si>
    <t>BPS-05922124</t>
  </si>
  <si>
    <t>BPS-03422224</t>
  </si>
  <si>
    <t>BPS-03532224</t>
  </si>
  <si>
    <t>BPS-13431124</t>
  </si>
  <si>
    <t>BPS-03833224</t>
  </si>
  <si>
    <t>BPS-12721424</t>
  </si>
  <si>
    <t>BPS-14631124</t>
  </si>
  <si>
    <t>BPS-08931124</t>
  </si>
  <si>
    <t>BPS-05121224</t>
  </si>
  <si>
    <t>BPS-04331224</t>
  </si>
  <si>
    <t>BPS-00723124</t>
  </si>
  <si>
    <t>BPS-14431224</t>
  </si>
  <si>
    <t>BPS-03232224</t>
  </si>
  <si>
    <t>BPS-06131224</t>
  </si>
  <si>
    <t>BPS-10434224</t>
  </si>
  <si>
    <t>BPS-05231224</t>
  </si>
  <si>
    <t>BPS-09132124</t>
  </si>
  <si>
    <t>BPS-10322124</t>
  </si>
  <si>
    <t>BPS-06021224</t>
  </si>
  <si>
    <t>BPS-01631424</t>
  </si>
  <si>
    <t>BPS-09121124</t>
  </si>
  <si>
    <t>BPS-00334224</t>
  </si>
  <si>
    <t>BPS-13231424</t>
  </si>
  <si>
    <t>BPS-03333124</t>
  </si>
  <si>
    <t>BPS-00421324</t>
  </si>
  <si>
    <t>BPS-12921124</t>
  </si>
  <si>
    <t>BPS-08822224</t>
  </si>
  <si>
    <t>BPS-00834224</t>
  </si>
  <si>
    <t>BPS-01233124</t>
  </si>
  <si>
    <t>BPS-14931324</t>
  </si>
  <si>
    <t>BPS-02034224</t>
  </si>
  <si>
    <t>BPS-09221224</t>
  </si>
  <si>
    <t>BPS-13631424</t>
  </si>
  <si>
    <t>BPS-02321224</t>
  </si>
  <si>
    <t>BPS-01432324</t>
  </si>
  <si>
    <t>BPS-09124124</t>
  </si>
  <si>
    <t>BPS-13621224</t>
  </si>
  <si>
    <t>BPS-08432224</t>
  </si>
  <si>
    <t>BPS-11824124</t>
  </si>
  <si>
    <t>BPS-05132124</t>
  </si>
  <si>
    <t>BPS-03134224</t>
  </si>
  <si>
    <t>BPS-03621424</t>
  </si>
  <si>
    <t>BPS-10034124</t>
  </si>
  <si>
    <t>BPS-00422124</t>
  </si>
  <si>
    <t>BPS-11622224</t>
  </si>
  <si>
    <t>BPS-12323124</t>
  </si>
  <si>
    <t>BPS-12622224</t>
  </si>
  <si>
    <t>BPS-13332124</t>
  </si>
  <si>
    <t>BPS-13022324</t>
  </si>
  <si>
    <t>BPS-09331324</t>
  </si>
  <si>
    <t>BPS-10632124</t>
  </si>
  <si>
    <t>BPS-03723124</t>
  </si>
  <si>
    <t>BPS-04532224</t>
  </si>
  <si>
    <t>BPS-06931424</t>
  </si>
  <si>
    <t>BPS-07322224</t>
  </si>
  <si>
    <t>BPS-07121124</t>
  </si>
  <si>
    <t>BPS-04232124</t>
  </si>
  <si>
    <t>BPS-11731224</t>
  </si>
  <si>
    <t>BPS-07821424</t>
  </si>
  <si>
    <t>BPS-07434124</t>
  </si>
  <si>
    <t>BPS-12023224</t>
  </si>
  <si>
    <t>BPS-02531324</t>
  </si>
  <si>
    <t>BPS-04531124</t>
  </si>
  <si>
    <t>BPS-00534224</t>
  </si>
  <si>
    <t>BPS-13331224</t>
  </si>
  <si>
    <t>BPS-04421324</t>
  </si>
  <si>
    <t>BPS-10331224</t>
  </si>
  <si>
    <t>BPS-02132124</t>
  </si>
  <si>
    <t>BPS-08431124</t>
  </si>
  <si>
    <t>BPS-14134124</t>
  </si>
  <si>
    <t>BPS-11821124</t>
  </si>
  <si>
    <t>BPS-06124124</t>
  </si>
  <si>
    <t>BPS-08532324</t>
  </si>
  <si>
    <t>BPS-12631324</t>
  </si>
  <si>
    <t>BPS-14021124</t>
  </si>
  <si>
    <t>BPS-07433124</t>
  </si>
  <si>
    <t>BPS-08822124</t>
  </si>
  <si>
    <t>BPS-10331124</t>
  </si>
  <si>
    <t>BPS-06732324</t>
  </si>
  <si>
    <t>BPS-03931124</t>
  </si>
  <si>
    <t>BPS-04031124</t>
  </si>
  <si>
    <t>BPS-06032124</t>
  </si>
  <si>
    <t>BPS-00322224</t>
  </si>
  <si>
    <t>BPS-09423224</t>
  </si>
  <si>
    <t>BPS-02922324</t>
  </si>
  <si>
    <t>BPS-07331424</t>
  </si>
  <si>
    <t>BPS-06031224</t>
  </si>
  <si>
    <t>BPS-09831324</t>
  </si>
  <si>
    <t>BPS-02633124</t>
  </si>
  <si>
    <t>BPS-12621224</t>
  </si>
  <si>
    <t>BPS-12822224</t>
  </si>
  <si>
    <t>BPS-09823124</t>
  </si>
  <si>
    <t>BPS-15022124</t>
  </si>
  <si>
    <t>BPS-13032224</t>
  </si>
  <si>
    <t>BPS-14721124</t>
  </si>
  <si>
    <t>BPS-05721424</t>
  </si>
  <si>
    <t>BPS-13033224</t>
  </si>
  <si>
    <t>BPS-05622324</t>
  </si>
  <si>
    <t>BPS-13532124</t>
  </si>
  <si>
    <t>BPS-14023224</t>
  </si>
  <si>
    <t>BPS-06824124</t>
  </si>
  <si>
    <t>BPS-11524124</t>
  </si>
  <si>
    <t>BPS-13031124</t>
  </si>
  <si>
    <t>BPS-03421324</t>
  </si>
  <si>
    <t>BPS-08332324</t>
  </si>
  <si>
    <t>BPS-11222224</t>
  </si>
  <si>
    <t>BPS-12931324</t>
  </si>
  <si>
    <t>BPS-00824124</t>
  </si>
  <si>
    <t>BPS-12924224</t>
  </si>
  <si>
    <t>BPS-13631224</t>
  </si>
  <si>
    <t>BPS-11123124</t>
  </si>
  <si>
    <t>BPS-06631124</t>
  </si>
  <si>
    <t>BPS-02421124</t>
  </si>
  <si>
    <t>BPS-11023224</t>
  </si>
  <si>
    <t>BPS-02823124</t>
  </si>
  <si>
    <t>BPS-03633224</t>
  </si>
  <si>
    <t>BPS-01033124</t>
  </si>
  <si>
    <t>BPS-07834224</t>
  </si>
  <si>
    <t>BPS-08421224</t>
  </si>
  <si>
    <t>BPS-04431424</t>
  </si>
  <si>
    <t>BPS-12722324</t>
  </si>
  <si>
    <t>BPS-06331124</t>
  </si>
  <si>
    <t>BPS-11332124</t>
  </si>
  <si>
    <t>BPS-09921224</t>
  </si>
  <si>
    <t>BPS-09322224</t>
  </si>
  <si>
    <t>BPS-01233224</t>
  </si>
  <si>
    <t>BPS-06623224</t>
  </si>
  <si>
    <t>BPS-00823124</t>
  </si>
  <si>
    <t>BPS-10822124</t>
  </si>
  <si>
    <t>BPS-10824224</t>
  </si>
  <si>
    <t>BPS-08121424</t>
  </si>
  <si>
    <t>BPS-12723124</t>
  </si>
  <si>
    <t>BPS-00533224</t>
  </si>
  <si>
    <t>BPS-13622324</t>
  </si>
  <si>
    <t>BPS-14322124</t>
  </si>
  <si>
    <t>BPS-12131324</t>
  </si>
  <si>
    <t>BPS-02831424</t>
  </si>
  <si>
    <t>BPS-11032224</t>
  </si>
  <si>
    <t>BPS-13121424</t>
  </si>
  <si>
    <t>BPS-04522224</t>
  </si>
  <si>
    <t>BPS-14623224</t>
  </si>
  <si>
    <t>BPS-06922324</t>
  </si>
  <si>
    <t>BPS-10134224</t>
  </si>
  <si>
    <t>BPS-12933224</t>
  </si>
  <si>
    <t>BPS-13932324</t>
  </si>
  <si>
    <t>BPS-08331224</t>
  </si>
  <si>
    <t>BPS-03024124</t>
  </si>
  <si>
    <t>BPS-01732224</t>
  </si>
  <si>
    <t>BPS-15022224</t>
  </si>
  <si>
    <t>BPS-09031424</t>
  </si>
  <si>
    <t>BPS-10032324</t>
  </si>
  <si>
    <t>BPS-14531224</t>
  </si>
  <si>
    <t>BPS-13731224</t>
  </si>
  <si>
    <t>BPS-07321224</t>
  </si>
  <si>
    <t>BPS-02622124</t>
  </si>
  <si>
    <t>BPS-02933224</t>
  </si>
  <si>
    <t>BPS-09833124</t>
  </si>
  <si>
    <t>BPS-05922224</t>
  </si>
  <si>
    <t>BPS-10631124</t>
  </si>
  <si>
    <t>BPS-06132124</t>
  </si>
  <si>
    <t>BPS-13234224</t>
  </si>
  <si>
    <t>BPS-08932224</t>
  </si>
  <si>
    <t>BPS-13223224</t>
  </si>
  <si>
    <t>BPS-10624224</t>
  </si>
  <si>
    <t>BPS-04433124</t>
  </si>
  <si>
    <t>BPS-01224224</t>
  </si>
  <si>
    <t>BPS-07031124</t>
  </si>
  <si>
    <t>BPS-07621224</t>
  </si>
  <si>
    <t>BPS-08921224</t>
  </si>
  <si>
    <t>BPS-06933224</t>
  </si>
  <si>
    <t>BPS-03323224</t>
  </si>
  <si>
    <t>BPS-10231224</t>
  </si>
  <si>
    <t>BPS-03821324</t>
  </si>
  <si>
    <t>BPS-01624224</t>
  </si>
  <si>
    <t>BPS-13023224</t>
  </si>
  <si>
    <t>BPS-02334124</t>
  </si>
  <si>
    <t>BPS-02732324</t>
  </si>
  <si>
    <t>BPS-01724124</t>
  </si>
  <si>
    <t>BPS-05023224</t>
  </si>
  <si>
    <t>BPS-06521224</t>
  </si>
  <si>
    <t>BPS-12024224</t>
  </si>
  <si>
    <t>BPS-04323124</t>
  </si>
  <si>
    <t>BPS-06923124</t>
  </si>
  <si>
    <t>BPS-03123124</t>
  </si>
  <si>
    <t>BPS-09421424</t>
  </si>
  <si>
    <t>BPS-02023224</t>
  </si>
  <si>
    <t>BPS-05232224</t>
  </si>
  <si>
    <t>BPS-07931224</t>
  </si>
  <si>
    <t>BPS-02024124</t>
  </si>
  <si>
    <t>BPS-05523124</t>
  </si>
  <si>
    <t>BPS-04532124</t>
  </si>
  <si>
    <t>BPS-00733124</t>
  </si>
  <si>
    <t>BPS-11534124</t>
  </si>
  <si>
    <t>BPS-09434224</t>
  </si>
  <si>
    <t>BPS-00734124</t>
  </si>
  <si>
    <t>BPS-03132224</t>
  </si>
  <si>
    <t>BPS-14921224</t>
  </si>
  <si>
    <t>BPS-10222124</t>
  </si>
  <si>
    <t>BPS-10021224</t>
  </si>
  <si>
    <t>BPS-04122324</t>
  </si>
  <si>
    <t>BPS-04933124</t>
  </si>
  <si>
    <t>BPS-05423224</t>
  </si>
  <si>
    <t>BPS-01821324</t>
  </si>
  <si>
    <t>BPS-02723124</t>
  </si>
  <si>
    <t>BPS-04123224</t>
  </si>
  <si>
    <t>BPS-04932124</t>
  </si>
  <si>
    <t>BPS-08422124</t>
  </si>
  <si>
    <t>BPS-04831124</t>
  </si>
  <si>
    <t>BPS-14922124</t>
  </si>
  <si>
    <t>BPS-07831124</t>
  </si>
  <si>
    <t>BPS-14022124</t>
  </si>
  <si>
    <t>BPS-01221124</t>
  </si>
  <si>
    <t>BPS-13432324</t>
  </si>
  <si>
    <t>BPS-09433224</t>
  </si>
  <si>
    <t>BPS-08624224</t>
  </si>
  <si>
    <t>BPS-02124124</t>
  </si>
  <si>
    <t>BPS-10623224</t>
  </si>
  <si>
    <t>BPS-10131324</t>
  </si>
  <si>
    <t>BPS-01322124</t>
  </si>
  <si>
    <t>BPS-07331324</t>
  </si>
  <si>
    <t>BPS-10021124</t>
  </si>
  <si>
    <t>BPS-06432224</t>
  </si>
  <si>
    <t>BPS-08233224</t>
  </si>
  <si>
    <t>BPS-04231124</t>
  </si>
  <si>
    <t>BPS-05623224</t>
  </si>
  <si>
    <t>BPS-00732224</t>
  </si>
  <si>
    <t>BPS-03531124</t>
  </si>
  <si>
    <t>BPS-13533224</t>
  </si>
  <si>
    <t>BPS-10422224</t>
  </si>
  <si>
    <t>BPS-10424124</t>
  </si>
  <si>
    <t>BPS-02831324</t>
  </si>
  <si>
    <t>BPS-06221124</t>
  </si>
  <si>
    <t>BPS-03023124</t>
  </si>
  <si>
    <t>BPS-13921124</t>
  </si>
  <si>
    <t>BPS-07534124</t>
  </si>
  <si>
    <t>BPS-02133124</t>
  </si>
  <si>
    <t>BPS-02821124</t>
  </si>
  <si>
    <t>BPS-15021224</t>
  </si>
  <si>
    <t>BPS-04631124</t>
  </si>
  <si>
    <t>BPS-03922324</t>
  </si>
  <si>
    <t>BPS-06721424</t>
  </si>
  <si>
    <t>BPS-09531124</t>
  </si>
  <si>
    <t>BPS-01434224</t>
  </si>
  <si>
    <t>BPS-11924224</t>
  </si>
  <si>
    <t>BPS-08733124</t>
  </si>
  <si>
    <t>BPS-12633124</t>
  </si>
  <si>
    <t>BPS-08332224</t>
  </si>
  <si>
    <t>BPS-07723124</t>
  </si>
  <si>
    <t>BPS-14231124</t>
  </si>
  <si>
    <t>BPS-00632124</t>
  </si>
  <si>
    <t>BPS-05031424</t>
  </si>
  <si>
    <t>BPS-07324124</t>
  </si>
  <si>
    <t>BPS-00621324</t>
  </si>
  <si>
    <t>BPS-01132224</t>
  </si>
  <si>
    <t>BPS-00721224</t>
  </si>
  <si>
    <t>BPS-12923224</t>
  </si>
  <si>
    <t>BPS-06722324</t>
  </si>
  <si>
    <t>BPS-09332124</t>
  </si>
  <si>
    <t>BPS-02521124</t>
  </si>
  <si>
    <t>BPS-01131224</t>
  </si>
  <si>
    <t>BPS-05421424</t>
  </si>
  <si>
    <t>BPS-01922124</t>
  </si>
  <si>
    <t>BPS-03524124</t>
  </si>
  <si>
    <t>BPS-06321124</t>
  </si>
  <si>
    <t>BPS-06823224</t>
  </si>
  <si>
    <t>BPS-07222124</t>
  </si>
  <si>
    <t>BPS-12032124</t>
  </si>
  <si>
    <t>BPS-01232124</t>
  </si>
  <si>
    <t>BPS-13933124</t>
  </si>
  <si>
    <t>BPS-06122224</t>
  </si>
  <si>
    <t>BPS-10132324</t>
  </si>
  <si>
    <t>BPS-11634224</t>
  </si>
  <si>
    <t>BPS-12032324</t>
  </si>
  <si>
    <t>BPS-02122124</t>
  </si>
  <si>
    <t>BPS-04121324</t>
  </si>
  <si>
    <t>BPS-01133224</t>
  </si>
  <si>
    <t>BPS-09631424</t>
  </si>
  <si>
    <t>BPS-01223124</t>
  </si>
  <si>
    <t>BPS-05232124</t>
  </si>
  <si>
    <t>BPS-09432224</t>
  </si>
  <si>
    <t>BPS-13733224</t>
  </si>
  <si>
    <t>BPS-12631224</t>
  </si>
  <si>
    <t>BPS-01724224</t>
  </si>
  <si>
    <t>BPS-08023224</t>
  </si>
  <si>
    <t>BPS-13822124</t>
  </si>
  <si>
    <t>BPS-05821224</t>
  </si>
  <si>
    <t>BPS-04223124</t>
  </si>
  <si>
    <t>BPS-12034224</t>
  </si>
  <si>
    <t>BPS-05122324</t>
  </si>
  <si>
    <t>BPS-01531124</t>
  </si>
  <si>
    <t>BPS-08933224</t>
  </si>
  <si>
    <t>BPS-07032124</t>
  </si>
  <si>
    <t>BPS-09324124</t>
  </si>
  <si>
    <t>BPS-03834124</t>
  </si>
  <si>
    <t>BPS-06331224</t>
  </si>
  <si>
    <t>BPS-08734224</t>
  </si>
  <si>
    <t>BPS-08123224</t>
  </si>
  <si>
    <t>BPS-13723124</t>
  </si>
  <si>
    <t>BPS-12821124</t>
  </si>
  <si>
    <t>BPS-04531324</t>
  </si>
  <si>
    <t>BPS-07034224</t>
  </si>
  <si>
    <t>BPS-11532324</t>
  </si>
  <si>
    <t>BPS-14522324</t>
  </si>
  <si>
    <t>BPS-02833224</t>
  </si>
  <si>
    <t>BPS-03821424</t>
  </si>
  <si>
    <t>BPS-09333124</t>
  </si>
  <si>
    <t>BPS-13623124</t>
  </si>
  <si>
    <t>BPS-05821424</t>
  </si>
  <si>
    <t>BPS-03424124</t>
  </si>
  <si>
    <t>BPS-08133124</t>
  </si>
  <si>
    <t>BPS-14222124</t>
  </si>
  <si>
    <t>BPS-14633124</t>
  </si>
  <si>
    <t>BPS-05234224</t>
  </si>
  <si>
    <t>BPS-02532324</t>
  </si>
  <si>
    <t>BPS-04231224</t>
  </si>
  <si>
    <t>BPS-06721324</t>
  </si>
  <si>
    <t>BPS-01823224</t>
  </si>
  <si>
    <t>BPS-11531124</t>
  </si>
  <si>
    <t>BPS-10533124</t>
  </si>
  <si>
    <t>BPS-07533224</t>
  </si>
  <si>
    <t>BPS-14624124</t>
  </si>
  <si>
    <t>BPS-03431324</t>
  </si>
  <si>
    <t>BPS-10731424</t>
  </si>
  <si>
    <t>BPS-07234124</t>
  </si>
  <si>
    <t>BPS-05923124</t>
  </si>
  <si>
    <t>BPS-10022224</t>
  </si>
  <si>
    <t>BPS-13633124</t>
  </si>
  <si>
    <t>BPS-11221424</t>
  </si>
  <si>
    <t>BPS-01824124</t>
  </si>
  <si>
    <t>BPS-06234224</t>
  </si>
  <si>
    <t>BPS-10632324</t>
  </si>
  <si>
    <t>BPS-01531224</t>
  </si>
  <si>
    <t>BPS-09131224</t>
  </si>
  <si>
    <t>BPS-03532124</t>
  </si>
  <si>
    <t>BPS-11131124</t>
  </si>
  <si>
    <t>BPS-10333224</t>
  </si>
  <si>
    <t>BPS-03333224</t>
  </si>
  <si>
    <t>BPS-01932224</t>
  </si>
  <si>
    <t>BPS-07731324</t>
  </si>
  <si>
    <t>BPS-09631224</t>
  </si>
  <si>
    <t>BPS-01731224</t>
  </si>
  <si>
    <t>BPS-14723124</t>
  </si>
  <si>
    <t>BPS-10934224</t>
  </si>
  <si>
    <t>BPS-06431424</t>
  </si>
  <si>
    <t>BPS-13931224</t>
  </si>
  <si>
    <t>BPS-14823124</t>
  </si>
  <si>
    <t>BPS-10523124</t>
  </si>
  <si>
    <t>BPS-14934124</t>
  </si>
  <si>
    <t>BPS-06032224</t>
  </si>
  <si>
    <t>BPS-02822224</t>
  </si>
  <si>
    <t>BPS-07821124</t>
  </si>
  <si>
    <t>BPS-11924124</t>
  </si>
  <si>
    <t>BPS-06323224</t>
  </si>
  <si>
    <t>BPS-05731224</t>
  </si>
  <si>
    <t>BPS-07734124</t>
  </si>
  <si>
    <t>BPS-14032124</t>
  </si>
  <si>
    <t>BPS-10433124</t>
  </si>
  <si>
    <t>BPS-06623124</t>
  </si>
  <si>
    <t>BPS-06622124</t>
  </si>
  <si>
    <t>BPS-11433124</t>
  </si>
  <si>
    <t>BPS-13823224</t>
  </si>
  <si>
    <t>BPS-11721224</t>
  </si>
  <si>
    <t>BPS-08231124</t>
  </si>
  <si>
    <t>BPS-01321324</t>
  </si>
  <si>
    <t>BPS-02931324</t>
  </si>
  <si>
    <t>BPS-00334124</t>
  </si>
  <si>
    <t>BPS-09033124</t>
  </si>
  <si>
    <t>BPS-08922324</t>
  </si>
  <si>
    <t>BPS-05231124</t>
  </si>
  <si>
    <t>BPS-03021424</t>
  </si>
  <si>
    <t>BPS-03424224</t>
  </si>
  <si>
    <t>BPS-13821324</t>
  </si>
  <si>
    <t>BPS-04423124</t>
  </si>
  <si>
    <t>BPS-01524224</t>
  </si>
  <si>
    <t>BPS-01931224</t>
  </si>
  <si>
    <t>BPS-06231124</t>
  </si>
  <si>
    <t>BPS-10231424</t>
  </si>
  <si>
    <t>BPS-00232324</t>
  </si>
  <si>
    <t>BPS-09321224</t>
  </si>
  <si>
    <t>BPS-08524224</t>
  </si>
  <si>
    <t>BPS-06322324</t>
  </si>
  <si>
    <t>BPS-05021424</t>
  </si>
  <si>
    <t>BPS-06522324</t>
  </si>
  <si>
    <t>BPS-12732224</t>
  </si>
  <si>
    <t>BPS-10922124</t>
  </si>
  <si>
    <t>BPS-10931324</t>
  </si>
  <si>
    <t>BPS-13621124</t>
  </si>
  <si>
    <t>BPS-10332324</t>
  </si>
  <si>
    <t>BPS-00132324</t>
  </si>
  <si>
    <t>BPS-02021124</t>
  </si>
  <si>
    <t>BPS-01134224</t>
  </si>
  <si>
    <t>BPS-01832324</t>
  </si>
  <si>
    <t>BPS-14021424</t>
  </si>
  <si>
    <t>BPS-06323124</t>
  </si>
  <si>
    <t>BPS-11822124</t>
  </si>
  <si>
    <t>BPS-11021124</t>
  </si>
  <si>
    <t>BPS-03621324</t>
  </si>
  <si>
    <t>BPS-12822324</t>
  </si>
  <si>
    <t>BPS-12821224</t>
  </si>
  <si>
    <t>BPS-01522124</t>
  </si>
  <si>
    <t>BPS-10622124</t>
  </si>
  <si>
    <t>BPS-07521424</t>
  </si>
  <si>
    <t>BPS-04021224</t>
  </si>
  <si>
    <t>BPS-04722124</t>
  </si>
  <si>
    <t>BPS-00533124</t>
  </si>
  <si>
    <t>BPS-04231324</t>
  </si>
  <si>
    <t>BPS-11721124</t>
  </si>
  <si>
    <t>BPS-14421424</t>
  </si>
  <si>
    <t>BPS-14434224</t>
  </si>
  <si>
    <t>BPS-09532324</t>
  </si>
  <si>
    <t>BPS-07021424</t>
  </si>
  <si>
    <t>BPS-07232324</t>
  </si>
  <si>
    <t>BPS-03623124</t>
  </si>
  <si>
    <t>BPS-07924124</t>
  </si>
  <si>
    <t>BPS-10231124</t>
  </si>
  <si>
    <t>BPS-11132224</t>
  </si>
  <si>
    <t>BPS-08523224</t>
  </si>
  <si>
    <t>BPS-01822124</t>
  </si>
  <si>
    <t>BPS-07121224</t>
  </si>
  <si>
    <t>BPS-04933224</t>
  </si>
  <si>
    <t>BPS-08832124</t>
  </si>
  <si>
    <t>BPS-09122324</t>
  </si>
  <si>
    <t>BPS-08221124</t>
  </si>
  <si>
    <t>BPS-14333124</t>
  </si>
  <si>
    <t>BPS-07024224</t>
  </si>
  <si>
    <t>BPS-00832324</t>
  </si>
  <si>
    <t>BPS-09031224</t>
  </si>
  <si>
    <t>BPS-05331424</t>
  </si>
  <si>
    <t>BPS-05032324</t>
  </si>
  <si>
    <t>BPS-01234224</t>
  </si>
  <si>
    <t>BPS-09032324</t>
  </si>
  <si>
    <t>BPS-14533124</t>
  </si>
  <si>
    <t>BPS-01333224</t>
  </si>
  <si>
    <t>BPS-13221424</t>
  </si>
  <si>
    <t>BPS-02323224</t>
  </si>
  <si>
    <t>BPS-09922224</t>
  </si>
  <si>
    <t>BPS-14621224</t>
  </si>
  <si>
    <t>BPS-09724224</t>
  </si>
  <si>
    <t>BPS-08231324</t>
  </si>
  <si>
    <t>BPS-08222324</t>
  </si>
  <si>
    <t>BPS-03633124</t>
  </si>
  <si>
    <t>BPS-03621124</t>
  </si>
  <si>
    <t>BPS-02424124</t>
  </si>
  <si>
    <t>BPS-10431324</t>
  </si>
  <si>
    <t>BPS-00432324</t>
  </si>
  <si>
    <t>BPS-03631324</t>
  </si>
  <si>
    <t>BPS-06532124</t>
  </si>
  <si>
    <t>BPS-03422324</t>
  </si>
  <si>
    <t>BPS-01521224</t>
  </si>
  <si>
    <t>BPS-10732124</t>
  </si>
  <si>
    <t>BPS-09621424</t>
  </si>
  <si>
    <t>BPS-03933224</t>
  </si>
  <si>
    <t>BPS-01421124</t>
  </si>
  <si>
    <t>BPS-12321424</t>
  </si>
  <si>
    <t>BPS-10224124</t>
  </si>
  <si>
    <t>BPS-12031124</t>
  </si>
  <si>
    <t>BPS-14821424</t>
  </si>
  <si>
    <t>BPS-07332224</t>
  </si>
  <si>
    <t>BPS-13621324</t>
  </si>
  <si>
    <t>BPS-04622224</t>
  </si>
  <si>
    <t>BPS-14534124</t>
  </si>
  <si>
    <t>BPS-09233124</t>
  </si>
  <si>
    <t>BPS-01522324</t>
  </si>
  <si>
    <t>BPS-06431124</t>
  </si>
  <si>
    <t>BPS-02834124</t>
  </si>
  <si>
    <t>BPS-03322124</t>
  </si>
  <si>
    <t>BPS-08431224</t>
  </si>
  <si>
    <t>BPS-14223124</t>
  </si>
  <si>
    <t>BPS-02634224</t>
  </si>
  <si>
    <t>BPS-12831124</t>
  </si>
  <si>
    <t>BPS-13931424</t>
  </si>
  <si>
    <t>BPS-11523224</t>
  </si>
  <si>
    <t>BPS-10633124</t>
  </si>
  <si>
    <t>BPS-02523124</t>
  </si>
  <si>
    <t>BPS-03022324</t>
  </si>
  <si>
    <t>BPS-00622324</t>
  </si>
  <si>
    <t>BPS-00333224</t>
  </si>
  <si>
    <t>BPS-13824224</t>
  </si>
  <si>
    <t>BPS-01522224</t>
  </si>
  <si>
    <t>BPS-08124224</t>
  </si>
  <si>
    <t>BPS-12423124</t>
  </si>
  <si>
    <t>BPS-11233124</t>
  </si>
  <si>
    <t>BPS-04921224</t>
  </si>
  <si>
    <t>BPS-13732324</t>
  </si>
  <si>
    <t>BPS-09822224</t>
  </si>
  <si>
    <t>BPS-13131324</t>
  </si>
  <si>
    <t>BPS-13721324</t>
  </si>
  <si>
    <t>BPS-04524224</t>
  </si>
  <si>
    <t>BPS-00121324</t>
  </si>
  <si>
    <t>BPS-14331124</t>
  </si>
  <si>
    <t>BPS-15023124</t>
  </si>
  <si>
    <t>BPS-03332124</t>
  </si>
  <si>
    <t>BPS-08024124</t>
  </si>
  <si>
    <t>BPS-05122224</t>
  </si>
  <si>
    <t>BPS-14524224</t>
  </si>
  <si>
    <t>BPS-05533124</t>
  </si>
  <si>
    <t>BPS-06031124</t>
  </si>
  <si>
    <t>BPS-10832224</t>
  </si>
  <si>
    <t>BPS-09933124</t>
  </si>
  <si>
    <t>BPS-01421324</t>
  </si>
  <si>
    <t>BPS-02121424</t>
  </si>
  <si>
    <t>BPS-05431324</t>
  </si>
  <si>
    <t>BPS-12221224</t>
  </si>
  <si>
    <t>BPS-00222324</t>
  </si>
  <si>
    <t>BPS-08932124</t>
  </si>
  <si>
    <t>BPS-03221424</t>
  </si>
  <si>
    <t>BPS-00434224</t>
  </si>
  <si>
    <t>BPS-10831424</t>
  </si>
  <si>
    <t>BPS-04622124</t>
  </si>
  <si>
    <t>BPS-04332324</t>
  </si>
  <si>
    <t>BPS-10722224</t>
  </si>
  <si>
    <t>BPS-14721224</t>
  </si>
  <si>
    <t>BPS-10931124</t>
  </si>
  <si>
    <t>BPS-07224224</t>
  </si>
  <si>
    <t>BPS-10121224</t>
  </si>
  <si>
    <t>BPS-06223124</t>
  </si>
  <si>
    <t>BPS-14633224</t>
  </si>
  <si>
    <t>BPS-11223124</t>
  </si>
  <si>
    <t>BPS-11422324</t>
  </si>
  <si>
    <t>BPS-04432224</t>
  </si>
  <si>
    <t>BPS-10131224</t>
  </si>
  <si>
    <t>BPS-14321424</t>
  </si>
  <si>
    <t>BPS-02331424</t>
  </si>
  <si>
    <t>BPS-01122324</t>
  </si>
  <si>
    <t>BPS-09321124</t>
  </si>
  <si>
    <t>BPS-13523224</t>
  </si>
  <si>
    <t>BPS-03833124</t>
  </si>
  <si>
    <t>BPS-14221224</t>
  </si>
  <si>
    <t>BPS-07731224</t>
  </si>
  <si>
    <t>BPS-14133224</t>
  </si>
  <si>
    <t>BPS-01723124</t>
  </si>
  <si>
    <t>BPS-00321324</t>
  </si>
  <si>
    <t>BPS-06121424</t>
  </si>
  <si>
    <t>BPS-09634124</t>
  </si>
  <si>
    <t>BPS-03632324</t>
  </si>
  <si>
    <t>BPS-05521424</t>
  </si>
  <si>
    <t>BPS-04324224</t>
  </si>
  <si>
    <t>BPS-07632324</t>
  </si>
  <si>
    <t>BPS-11421224</t>
  </si>
  <si>
    <t>BPS-03233124</t>
  </si>
  <si>
    <t>BPS-06631424</t>
  </si>
  <si>
    <t>BPS-09522124</t>
  </si>
  <si>
    <t>BPS-14821324</t>
  </si>
  <si>
    <t>BPS-11031124</t>
  </si>
  <si>
    <t>BPS-10932224</t>
  </si>
  <si>
    <t>BPS-02221224</t>
  </si>
  <si>
    <t>BPS-03731124</t>
  </si>
  <si>
    <t>BPS-02434224</t>
  </si>
  <si>
    <t>BPS-08621124</t>
  </si>
  <si>
    <t>BPS-11824224</t>
  </si>
  <si>
    <t>BPS-15021324</t>
  </si>
  <si>
    <t>BPS-13323124</t>
  </si>
  <si>
    <t>BPS-07822124</t>
  </si>
  <si>
    <t>BPS-13033124</t>
  </si>
  <si>
    <t>BPS-12033224</t>
  </si>
  <si>
    <t>BPS-08534224</t>
  </si>
  <si>
    <t>BPS-01532124</t>
  </si>
  <si>
    <t>BPS-09721424</t>
  </si>
  <si>
    <t>BPS-14121424</t>
  </si>
  <si>
    <t>BPS-05021324</t>
  </si>
  <si>
    <t>BPS-05131124</t>
  </si>
  <si>
    <t>BPS-02621424</t>
  </si>
  <si>
    <t>BPS-01733224</t>
  </si>
  <si>
    <t>BPS-00231324</t>
  </si>
  <si>
    <t>BPS-13431224</t>
  </si>
  <si>
    <t>BPS-07824224</t>
  </si>
  <si>
    <t>BPS-12423224</t>
  </si>
  <si>
    <t>BPS-07822224</t>
  </si>
  <si>
    <t>BPS-12124124</t>
  </si>
  <si>
    <t>BPS-04222324</t>
  </si>
  <si>
    <t>BPS-04833224</t>
  </si>
  <si>
    <t>BPS-05033224</t>
  </si>
  <si>
    <t>BPS-03221324</t>
  </si>
  <si>
    <t>BPS-01133124</t>
  </si>
  <si>
    <t>BPS-06134124</t>
  </si>
  <si>
    <t>BPS-01231124</t>
  </si>
  <si>
    <t>BPS-14131324</t>
  </si>
  <si>
    <t>BPS-12632324</t>
  </si>
  <si>
    <t>BPS-14331324</t>
  </si>
  <si>
    <t>BPS-11034224</t>
  </si>
  <si>
    <t>BPS-10421124</t>
  </si>
  <si>
    <t>BPS-01521424</t>
  </si>
  <si>
    <t>BPS-06024224</t>
  </si>
  <si>
    <t>BPS-07432124</t>
  </si>
  <si>
    <t>BPS-13832324</t>
  </si>
  <si>
    <t>BPS-07931124</t>
  </si>
  <si>
    <t>BPS-11222324</t>
  </si>
  <si>
    <t>BPS-11821324</t>
  </si>
  <si>
    <t>BPS-08924124</t>
  </si>
  <si>
    <t>BPS-05822224</t>
  </si>
  <si>
    <t>BPS-11522324</t>
  </si>
  <si>
    <t>BPS-00532224</t>
  </si>
  <si>
    <t>BPS-09224124</t>
  </si>
  <si>
    <t>BPS-09421324</t>
  </si>
  <si>
    <t>BPS-03832224</t>
  </si>
  <si>
    <t>BPS-13024224</t>
  </si>
  <si>
    <t>BPS-00632324</t>
  </si>
  <si>
    <t>BPS-00122324</t>
  </si>
  <si>
    <t>BPS-05024124</t>
  </si>
  <si>
    <t>BPS-11732224</t>
  </si>
  <si>
    <t>BPS-00431424</t>
  </si>
  <si>
    <t>BPS-11221124</t>
  </si>
  <si>
    <t>BPS-14731424</t>
  </si>
  <si>
    <t>BPS-12131424</t>
  </si>
  <si>
    <t>BPS-09124224</t>
  </si>
  <si>
    <t>BPS-14031224</t>
  </si>
  <si>
    <t>BPS-05931224</t>
  </si>
  <si>
    <t>BPS-02424224</t>
  </si>
  <si>
    <t>BPS-02422324</t>
  </si>
  <si>
    <t>BPS-01223224</t>
  </si>
  <si>
    <t>BPS-13231124</t>
  </si>
  <si>
    <t>BPS-04822324</t>
  </si>
  <si>
    <t>BPS-09823224</t>
  </si>
  <si>
    <t>BPS-08934224</t>
  </si>
  <si>
    <t>BPS-05734224</t>
  </si>
  <si>
    <t>BPS-01933224</t>
  </si>
  <si>
    <t>BPS-09632324</t>
  </si>
  <si>
    <t>BPS-12923124</t>
  </si>
  <si>
    <t>BPS-12431224</t>
  </si>
  <si>
    <t>BPS-03432324</t>
  </si>
  <si>
    <t>BPS-09422124</t>
  </si>
  <si>
    <t>BPS-05031124</t>
  </si>
  <si>
    <t>BPS-12421324</t>
  </si>
  <si>
    <t>BPS-05621424</t>
  </si>
  <si>
    <t>BPS-04931124</t>
  </si>
  <si>
    <t>BPS-00631124</t>
  </si>
  <si>
    <t>BPS-14433224</t>
  </si>
  <si>
    <t>BPS-04034224</t>
  </si>
  <si>
    <t>BPS-12422124</t>
  </si>
  <si>
    <t>BPS-09321324</t>
  </si>
  <si>
    <t>BPS-07531424</t>
  </si>
  <si>
    <t>BPS-04622324</t>
  </si>
  <si>
    <t>BPS-14723224</t>
  </si>
  <si>
    <t>BPS-07622324</t>
  </si>
  <si>
    <t>BPS-11431224</t>
  </si>
  <si>
    <t>BPS-01421424</t>
  </si>
  <si>
    <t>BPS-01632224</t>
  </si>
  <si>
    <t>BPS-08631124</t>
  </si>
  <si>
    <t>BPS-02723224</t>
  </si>
  <si>
    <t>BPS-01122224</t>
  </si>
  <si>
    <t>BPS-13833124</t>
  </si>
  <si>
    <t>BPS-06321224</t>
  </si>
  <si>
    <t>BPS-12932224</t>
  </si>
  <si>
    <t>BPS-09421224</t>
  </si>
  <si>
    <t>BPS-11633224</t>
  </si>
  <si>
    <t>BPS-01222224</t>
  </si>
  <si>
    <t>BPS-14822324</t>
  </si>
  <si>
    <t>BPS-01023224</t>
  </si>
  <si>
    <t>BPS-01731124</t>
  </si>
  <si>
    <t>BPS-00833124</t>
  </si>
  <si>
    <t>BPS-12532124</t>
  </si>
  <si>
    <t>BPS-04134124</t>
  </si>
  <si>
    <t>BPS-14622324</t>
  </si>
  <si>
    <t>BPS-10933124</t>
  </si>
  <si>
    <t>BPS-03021324</t>
  </si>
  <si>
    <t>BPS-08122224</t>
  </si>
  <si>
    <t>BPS-13834124</t>
  </si>
  <si>
    <t>BPS-06331324</t>
  </si>
  <si>
    <t>BPS-06121124</t>
  </si>
  <si>
    <t>BPS-10924224</t>
  </si>
  <si>
    <t>BPS-10223224</t>
  </si>
  <si>
    <t>BPS-01021324</t>
  </si>
  <si>
    <t>BPS-13724124</t>
  </si>
  <si>
    <t>BPS-06624124</t>
  </si>
  <si>
    <t>BPS-08632224</t>
  </si>
  <si>
    <t>BPS-09924224</t>
  </si>
  <si>
    <t>BPS-04633224</t>
  </si>
  <si>
    <t>BPS-07724224</t>
  </si>
  <si>
    <t>BPS-01631224</t>
  </si>
  <si>
    <t>BPS-13722324</t>
  </si>
  <si>
    <t>BPS-06421124</t>
  </si>
  <si>
    <t>BPS-02232324</t>
  </si>
  <si>
    <t>BPS-06621324</t>
  </si>
  <si>
    <t>BPS-12933124</t>
  </si>
  <si>
    <t>BPS-11221324</t>
  </si>
  <si>
    <t>BPS-02622324</t>
  </si>
  <si>
    <t>BPS-10023224</t>
  </si>
  <si>
    <t>BPS-00524224</t>
  </si>
  <si>
    <t>BPS-01222124</t>
  </si>
  <si>
    <t>BPS-03624224</t>
  </si>
  <si>
    <t>BPS-11322124</t>
  </si>
  <si>
    <t>BPS-00623224</t>
  </si>
  <si>
    <t>BPS-05924124</t>
  </si>
  <si>
    <t>BPS-13922324</t>
  </si>
  <si>
    <t>BPS-10222324</t>
  </si>
  <si>
    <t>BPS-00223224</t>
  </si>
  <si>
    <t>BPS-06334124</t>
  </si>
  <si>
    <t>BPS-02621324</t>
  </si>
  <si>
    <t>BPS-11234124</t>
  </si>
  <si>
    <t>BPS-08021224</t>
  </si>
  <si>
    <t>BPS-11833224</t>
  </si>
  <si>
    <t>BPS-05624124</t>
  </si>
  <si>
    <t>BPS-09324224</t>
  </si>
  <si>
    <t>BPS-11931324</t>
  </si>
  <si>
    <t>BPS-01533224</t>
  </si>
  <si>
    <t>BPS-10921124</t>
  </si>
  <si>
    <t>BPS-09633224</t>
  </si>
  <si>
    <t>BPS-12123224</t>
  </si>
  <si>
    <t>BPS-15021124</t>
  </si>
  <si>
    <t>BPS-12631124</t>
  </si>
  <si>
    <t>BPS-12932124</t>
  </si>
  <si>
    <t>BPS-09123224</t>
  </si>
  <si>
    <t>BPS-11121124</t>
  </si>
  <si>
    <t>BPS-14531124</t>
  </si>
  <si>
    <t>BPS-08522224</t>
  </si>
  <si>
    <t>BPS-04732224</t>
  </si>
  <si>
    <t>BPS-09531424</t>
  </si>
  <si>
    <t>BPS-10934124</t>
  </si>
  <si>
    <t>BPS-07531224</t>
  </si>
  <si>
    <t>BPS-14632124</t>
  </si>
  <si>
    <t>BPS-02534224</t>
  </si>
  <si>
    <t>BPS-07721124</t>
  </si>
  <si>
    <t>BPS-02924124</t>
  </si>
  <si>
    <t>BPS-14234124</t>
  </si>
  <si>
    <t>BPS-00434124</t>
  </si>
  <si>
    <t>BPS-01623224</t>
  </si>
  <si>
    <t>BPS-04424224</t>
  </si>
  <si>
    <t>BPS-07921124</t>
  </si>
  <si>
    <t>BPS-03921224</t>
  </si>
  <si>
    <t>BPS-13632124</t>
  </si>
  <si>
    <t>BPS-04824124</t>
  </si>
  <si>
    <t>BPS-05722324</t>
  </si>
  <si>
    <t>BPS-06233124</t>
  </si>
  <si>
    <t>BPS-02523224</t>
  </si>
  <si>
    <t>BPS-12531124</t>
  </si>
  <si>
    <t>BPS-11932124</t>
  </si>
  <si>
    <t>BPS-10031424</t>
  </si>
  <si>
    <t>BPS-02922124</t>
  </si>
  <si>
    <t>BPS-11232124</t>
  </si>
  <si>
    <t>BPS-05231324</t>
  </si>
  <si>
    <t>BPS-08631424</t>
  </si>
  <si>
    <t>BPS-01521124</t>
  </si>
  <si>
    <t>BPS-11822324</t>
  </si>
  <si>
    <t>BPS-04631424</t>
  </si>
  <si>
    <t>BPS-11333124</t>
  </si>
  <si>
    <t>BPS-10921224</t>
  </si>
  <si>
    <t>BPS-05831424</t>
  </si>
  <si>
    <t>BPS-12633224</t>
  </si>
  <si>
    <t>BPS-11531224</t>
  </si>
  <si>
    <t>BPS-13134124</t>
  </si>
  <si>
    <t>BPS-08731124</t>
  </si>
  <si>
    <t>BPS-04132324</t>
  </si>
  <si>
    <t>BPS-10531124</t>
  </si>
  <si>
    <t>BPS-14431124</t>
  </si>
  <si>
    <t>BPS-10931224</t>
  </si>
  <si>
    <t>BPS-04521124</t>
  </si>
  <si>
    <t>BPS-14321124</t>
  </si>
  <si>
    <t>BPS-10923224</t>
  </si>
  <si>
    <t>BPS-08331324</t>
  </si>
  <si>
    <t>BPS-02521224</t>
  </si>
  <si>
    <t>BPS-03023224</t>
  </si>
  <si>
    <t>BPS-04621224</t>
  </si>
  <si>
    <t>BPS-09531324</t>
  </si>
  <si>
    <t>BPS-07632224</t>
  </si>
  <si>
    <t>BPS-09723124</t>
  </si>
  <si>
    <t>BPS-09934124</t>
  </si>
  <si>
    <t>Business Question A</t>
  </si>
  <si>
    <t>Pertanyaan</t>
  </si>
  <si>
    <t>Jawaban</t>
  </si>
  <si>
    <r>
      <t xml:space="preserve">1. Top 3 Kota/Kabupaten dengan </t>
    </r>
    <r>
      <rPr>
        <rFont val="Arial"/>
        <b/>
        <color theme="1"/>
      </rPr>
      <t>Laju Inflasi M-t-M</t>
    </r>
    <r>
      <rPr>
        <rFont val="Arial"/>
        <color theme="1"/>
      </rPr>
      <t xml:space="preserve"> tertinggi pada bulan Maret 2024?</t>
    </r>
  </si>
  <si>
    <r>
      <rPr>
        <rFont val="Arial"/>
        <b/>
        <color theme="1"/>
      </rPr>
      <t>Top 3 Kota/Kabupaten</t>
    </r>
    <r>
      <rPr>
        <rFont val="Arial"/>
        <color theme="1"/>
      </rPr>
      <t xml:space="preserve"> dengan </t>
    </r>
    <r>
      <rPr>
        <rFont val="Arial"/>
        <b/>
        <color theme="1"/>
      </rPr>
      <t>Laju Inflasi M-t-M</t>
    </r>
    <r>
      <rPr>
        <rFont val="Arial"/>
        <color theme="1"/>
      </rPr>
      <t xml:space="preserve"> pada bulan </t>
    </r>
    <r>
      <rPr>
        <rFont val="Arial"/>
        <b/>
        <color theme="1"/>
      </rPr>
      <t>Maret</t>
    </r>
    <r>
      <rPr>
        <rFont val="Arial"/>
        <color theme="1"/>
      </rPr>
      <t xml:space="preserve"> ialah:</t>
    </r>
    <r>
      <rPr>
        <rFont val="Arial"/>
        <b/>
        <color theme="1"/>
      </rPr>
      <t xml:space="preserve"> Kota Tangerang</t>
    </r>
    <r>
      <rPr>
        <rFont val="Arial"/>
        <color theme="1"/>
      </rPr>
      <t xml:space="preserve">, </t>
    </r>
    <r>
      <rPr>
        <rFont val="Arial"/>
        <b/>
        <color theme="1"/>
      </rPr>
      <t>Kota Denpasar</t>
    </r>
    <r>
      <rPr>
        <rFont val="Arial"/>
        <color theme="1"/>
      </rPr>
      <t xml:space="preserve">, </t>
    </r>
    <r>
      <rPr>
        <rFont val="Arial"/>
        <b/>
        <color theme="1"/>
      </rPr>
      <t>Kab Lampung Timur</t>
    </r>
  </si>
  <si>
    <r>
      <t xml:space="preserve">2. Kota/Kabupaten mana yang memiliki rata-rata </t>
    </r>
    <r>
      <rPr>
        <rFont val="Arial"/>
        <b/>
        <color theme="1"/>
      </rPr>
      <t>Perubahan Poin IHK</t>
    </r>
    <r>
      <rPr>
        <rFont val="Arial"/>
        <color theme="1"/>
      </rPr>
      <t xml:space="preserve"> tertinggi pada bulan Maret 2024?</t>
    </r>
  </si>
  <si>
    <r>
      <rPr>
        <rFont val="Arial"/>
        <b/>
        <color theme="1"/>
      </rPr>
      <t>Kota</t>
    </r>
    <r>
      <rPr>
        <rFont val="Arial"/>
        <color theme="1"/>
      </rPr>
      <t xml:space="preserve"> dengan </t>
    </r>
    <r>
      <rPr>
        <rFont val="Arial"/>
        <b/>
        <color theme="1"/>
      </rPr>
      <t>rata-rata Perubahan Poin IHK</t>
    </r>
    <r>
      <rPr>
        <rFont val="Arial"/>
        <color theme="1"/>
      </rPr>
      <t xml:space="preserve"> </t>
    </r>
    <r>
      <rPr>
        <rFont val="Arial"/>
        <b/>
        <color theme="1"/>
      </rPr>
      <t>tertinggi</t>
    </r>
    <r>
      <rPr>
        <rFont val="Arial"/>
        <color theme="1"/>
      </rPr>
      <t xml:space="preserve"> pada </t>
    </r>
    <r>
      <rPr>
        <rFont val="Arial"/>
        <b/>
        <color theme="1"/>
      </rPr>
      <t>Maret 2024</t>
    </r>
    <r>
      <rPr>
        <rFont val="Arial"/>
        <color theme="1"/>
      </rPr>
      <t xml:space="preserve"> ialah </t>
    </r>
    <r>
      <rPr>
        <rFont val="Arial"/>
        <b/>
        <color theme="1"/>
      </rPr>
      <t>Kab Lampung Timur</t>
    </r>
    <r>
      <rPr>
        <rFont val="Arial"/>
        <color theme="1"/>
      </rPr>
      <t>,</t>
    </r>
  </si>
  <si>
    <r>
      <t xml:space="preserve">3. Kota/Kabupaten yang mengalami </t>
    </r>
    <r>
      <rPr>
        <rFont val="Arial"/>
        <b/>
        <color theme="1"/>
      </rPr>
      <t>Deflasi</t>
    </r>
    <r>
      <rPr>
        <rFont val="Arial"/>
        <color theme="1"/>
      </rPr>
      <t xml:space="preserve"> paling dalam untuk tiap kategori pada Februari 2024?</t>
    </r>
  </si>
  <si>
    <r>
      <rPr>
        <rFont val="Arial"/>
        <b/>
        <color theme="1"/>
      </rPr>
      <t>Kota/Kabupaten</t>
    </r>
    <r>
      <rPr>
        <rFont val="Arial"/>
        <color theme="1"/>
      </rPr>
      <t xml:space="preserve"> dengan </t>
    </r>
    <r>
      <rPr>
        <rFont val="Arial"/>
        <b/>
        <color theme="1"/>
      </rPr>
      <t>Deflasi paling dalam</t>
    </r>
    <r>
      <rPr>
        <rFont val="Arial"/>
        <color theme="1"/>
      </rPr>
      <t xml:space="preserve"> pada</t>
    </r>
    <r>
      <rPr>
        <rFont val="Arial"/>
        <b/>
        <color theme="1"/>
      </rPr>
      <t xml:space="preserve"> tiap kategori </t>
    </r>
    <r>
      <rPr>
        <rFont val="Arial"/>
        <color theme="1"/>
      </rPr>
      <t xml:space="preserve">periode </t>
    </r>
    <r>
      <rPr>
        <rFont val="Arial"/>
        <b/>
        <color theme="1"/>
      </rPr>
      <t>Februari 2024</t>
    </r>
    <r>
      <rPr>
        <rFont val="Arial"/>
        <color theme="1"/>
      </rPr>
      <t xml:space="preserve"> ialah sebagai berikut: 1. Kategori Alas Kaki (Kab Hulu Sungai Tengah; 2. Kategori Furniture (Kab Karo); 3. Kategori Kendaraan (Kab Karo); 4. Kategori Listrik (Kab Karo); 5. Kategori Makanan (Kab Maluku Tengah); 6. Kategori Minuman (Kab Toli Toli); 7. Kategori Pakaian (Kab Muara Enim); 8. Kategori Pendidikan (Kab Nabire); 9. Kategori Produk Kesehatan (Mamuju); 10. Kategori Rekreasi (Kab Maluku Tengah)</t>
    </r>
  </si>
  <si>
    <t xml:space="preserve"> </t>
  </si>
  <si>
    <r>
      <t xml:space="preserve">4. Indikasi cepat, berapa rata-rata Laju Inflasi (M-t-M) untuk kategori </t>
    </r>
    <r>
      <rPr>
        <rFont val="Arial"/>
        <b/>
        <color theme="1"/>
      </rPr>
      <t>Minuman</t>
    </r>
    <r>
      <rPr>
        <rFont val="Arial"/>
        <color theme="1"/>
      </rPr>
      <t xml:space="preserve"> di seluruh provinsi pada bulan Februari 2024?</t>
    </r>
  </si>
  <si>
    <r>
      <rPr>
        <rFont val="Arial"/>
        <color theme="1"/>
      </rPr>
      <t xml:space="preserve">Berdasarkan analisis, </t>
    </r>
    <r>
      <rPr>
        <rFont val="Arial"/>
        <b/>
        <color theme="1"/>
      </rPr>
      <t>rata-rata Laju Inflasi</t>
    </r>
    <r>
      <rPr>
        <rFont val="Arial"/>
        <color theme="1"/>
      </rPr>
      <t xml:space="preserve"> ( M-t-M) untuk </t>
    </r>
    <r>
      <rPr>
        <rFont val="Arial"/>
        <b/>
        <color theme="1"/>
      </rPr>
      <t>kategori Minuman</t>
    </r>
    <r>
      <rPr>
        <rFont val="Arial"/>
        <color theme="1"/>
      </rPr>
      <t xml:space="preserve"> pada bulan </t>
    </r>
    <r>
      <rPr>
        <rFont val="Arial"/>
        <b/>
        <color theme="1"/>
      </rPr>
      <t>februari</t>
    </r>
    <r>
      <rPr>
        <rFont val="Arial"/>
        <color theme="1"/>
      </rPr>
      <t xml:space="preserve"> pada </t>
    </r>
    <r>
      <rPr>
        <rFont val="Arial"/>
        <b/>
        <color theme="1"/>
      </rPr>
      <t>seluruh provinsi</t>
    </r>
    <r>
      <rPr>
        <rFont val="Arial"/>
        <color theme="1"/>
      </rPr>
      <t xml:space="preserve"> ialah sebesar </t>
    </r>
    <r>
      <rPr>
        <rFont val="Arial"/>
        <b/>
        <color theme="1"/>
      </rPr>
      <t>0,102</t>
    </r>
  </si>
  <si>
    <r>
      <rPr>
        <rFont val="Arial"/>
        <color theme="1"/>
      </rPr>
      <t xml:space="preserve">5. Berapa persentase data yang memiliki status </t>
    </r>
    <r>
      <rPr>
        <rFont val="Arial"/>
        <b/>
        <color theme="1"/>
      </rPr>
      <t xml:space="preserve">Inflasi Normal </t>
    </r>
    <r>
      <rPr>
        <rFont val="Arial"/>
        <color theme="1"/>
      </rPr>
      <t>dibandingkan seluruh data?</t>
    </r>
  </si>
  <si>
    <r>
      <rPr>
        <rFont val="Arial"/>
        <color theme="1"/>
      </rPr>
      <t xml:space="preserve">Terdapat </t>
    </r>
    <r>
      <rPr>
        <rFont val="Arial"/>
        <b/>
        <color theme="1"/>
      </rPr>
      <t xml:space="preserve">21,58% status Inflasi Normal </t>
    </r>
    <r>
      <rPr>
        <rFont val="Arial"/>
        <color theme="1"/>
      </rPr>
      <t xml:space="preserve">dari keseluruhan data yang ada
</t>
    </r>
  </si>
  <si>
    <r>
      <rPr>
        <rFont val="Arial"/>
        <color theme="1"/>
      </rPr>
      <t xml:space="preserve">6. Kategori apa yang mengalami perubahan </t>
    </r>
    <r>
      <rPr>
        <rFont val="Arial"/>
        <b/>
        <color theme="1"/>
      </rPr>
      <t>Laju Inflasi (M-t-M)</t>
    </r>
    <r>
      <rPr>
        <rFont val="Arial"/>
        <color theme="1"/>
      </rPr>
      <t xml:space="preserve"> antar bulan terbesar, antara Februari dan Maret 2024?</t>
    </r>
  </si>
  <si>
    <r>
      <rPr>
        <rFont val="Arial"/>
        <b/>
        <color theme="1"/>
      </rPr>
      <t xml:space="preserve">Kategori </t>
    </r>
    <r>
      <rPr>
        <rFont val="Arial"/>
        <color theme="1"/>
      </rPr>
      <t xml:space="preserve">dengan </t>
    </r>
    <r>
      <rPr>
        <rFont val="Arial"/>
        <b/>
        <color theme="1"/>
      </rPr>
      <t>perubahan</t>
    </r>
    <r>
      <rPr>
        <rFont val="Arial"/>
        <color theme="1"/>
      </rPr>
      <t xml:space="preserve"> Laju Inflasi</t>
    </r>
    <r>
      <rPr>
        <rFont val="Arial"/>
        <b/>
        <color theme="1"/>
      </rPr>
      <t xml:space="preserve"> (M-t-M) terbesar </t>
    </r>
    <r>
      <rPr>
        <rFont val="Arial"/>
        <color theme="1"/>
      </rPr>
      <t xml:space="preserve">dari bulan </t>
    </r>
    <r>
      <rPr>
        <rFont val="Arial"/>
        <b/>
        <color theme="1"/>
      </rPr>
      <t>februari ke Maret</t>
    </r>
    <r>
      <rPr>
        <rFont val="Arial"/>
        <color theme="1"/>
      </rPr>
      <t xml:space="preserve"> ialah</t>
    </r>
    <r>
      <rPr>
        <rFont val="Arial"/>
        <b/>
        <color theme="1"/>
      </rPr>
      <t xml:space="preserve"> kategori Makanan, </t>
    </r>
    <r>
      <rPr>
        <rFont val="Arial"/>
        <color theme="1"/>
      </rPr>
      <t xml:space="preserve">dimana pada bulan </t>
    </r>
    <r>
      <rPr>
        <rFont val="Arial"/>
        <b/>
        <color theme="1"/>
      </rPr>
      <t xml:space="preserve">februari </t>
    </r>
    <r>
      <rPr>
        <rFont val="Arial"/>
        <color theme="1"/>
      </rPr>
      <t xml:space="preserve">laju </t>
    </r>
    <r>
      <rPr>
        <rFont val="Arial"/>
        <b/>
        <color theme="1"/>
      </rPr>
      <t xml:space="preserve">inflasi </t>
    </r>
    <r>
      <rPr>
        <rFont val="Arial"/>
        <color theme="1"/>
      </rPr>
      <t>(</t>
    </r>
    <r>
      <rPr>
        <rFont val="Arial"/>
        <b/>
        <color theme="1"/>
      </rPr>
      <t>M-t-M)-</t>
    </r>
    <r>
      <rPr>
        <rFont val="Arial"/>
        <color theme="1"/>
      </rPr>
      <t xml:space="preserve">nya berada pada </t>
    </r>
    <r>
      <rPr>
        <rFont val="Arial"/>
        <b/>
        <color theme="1"/>
      </rPr>
      <t>0,78</t>
    </r>
    <r>
      <rPr>
        <rFont val="Arial"/>
        <color theme="1"/>
      </rPr>
      <t xml:space="preserve"> sedangkan pada bulan </t>
    </r>
    <r>
      <rPr>
        <rFont val="Arial"/>
        <b/>
        <color theme="1"/>
      </rPr>
      <t>Maret</t>
    </r>
    <r>
      <rPr>
        <rFont val="Arial"/>
        <color theme="1"/>
      </rPr>
      <t>,</t>
    </r>
    <r>
      <rPr>
        <rFont val="Arial"/>
        <b/>
        <color theme="1"/>
      </rPr>
      <t xml:space="preserve"> laju inflasi (M-t-M)</t>
    </r>
    <r>
      <rPr>
        <rFont val="Arial"/>
        <color theme="1"/>
      </rPr>
      <t xml:space="preserve">-nya berada pada </t>
    </r>
    <r>
      <rPr>
        <rFont val="Arial"/>
        <b/>
        <color theme="1"/>
      </rPr>
      <t>1,45</t>
    </r>
    <r>
      <rPr>
        <rFont val="Arial"/>
        <color theme="1"/>
      </rPr>
      <t xml:space="preserve">. Dengan kata lain memiliki </t>
    </r>
    <r>
      <rPr>
        <rFont val="Arial"/>
        <b/>
        <color theme="1"/>
      </rPr>
      <t xml:space="preserve">selisih 0,67 </t>
    </r>
    <r>
      <rPr>
        <rFont val="Arial"/>
        <color theme="1"/>
      </rPr>
      <t xml:space="preserve">yang merupakan yang </t>
    </r>
    <r>
      <rPr>
        <rFont val="Arial"/>
        <b/>
        <color theme="1"/>
      </rPr>
      <t xml:space="preserve">terbesar </t>
    </r>
    <r>
      <rPr>
        <rFont val="Arial"/>
        <color theme="1"/>
      </rPr>
      <t xml:space="preserve">di </t>
    </r>
    <r>
      <rPr>
        <rFont val="Arial"/>
        <b/>
        <color theme="1"/>
      </rPr>
      <t>antara kategori</t>
    </r>
    <r>
      <rPr>
        <rFont val="Arial"/>
        <color theme="1"/>
      </rPr>
      <t xml:space="preserve"> lainnya.</t>
    </r>
  </si>
  <si>
    <r>
      <rPr>
        <rFont val="Arial"/>
        <color theme="1"/>
      </rPr>
      <t xml:space="preserve">7. Indikasi cepat, apakah rata-rata </t>
    </r>
    <r>
      <rPr>
        <rFont val="Arial"/>
        <b/>
        <color theme="1"/>
      </rPr>
      <t>Laju Inflasi (M-t-M)</t>
    </r>
    <r>
      <rPr>
        <rFont val="Arial"/>
        <color theme="1"/>
      </rPr>
      <t xml:space="preserve"> di Kota Jakarta lebih tinggi dibandingkan Kota Surabaya pada bulan Maret 2024?, Berapa selisihnya?</t>
    </r>
  </si>
  <si>
    <r>
      <rPr>
        <rFont val="Arial"/>
        <color theme="1"/>
      </rPr>
      <t xml:space="preserve">Berdasarkan analisis, Kota </t>
    </r>
    <r>
      <rPr>
        <rFont val="Arial"/>
        <b/>
        <color theme="1"/>
      </rPr>
      <t xml:space="preserve">Jakarta </t>
    </r>
    <r>
      <rPr>
        <rFont val="Arial"/>
        <color theme="1"/>
      </rPr>
      <t xml:space="preserve">memiliki </t>
    </r>
    <r>
      <rPr>
        <rFont val="Arial"/>
        <b/>
        <color theme="1"/>
      </rPr>
      <t>rata-rata Laju Inflasi (M-t-M) lebih rendah</t>
    </r>
    <r>
      <rPr>
        <rFont val="Arial"/>
        <color theme="1"/>
      </rPr>
      <t xml:space="preserve"> dari </t>
    </r>
    <r>
      <rPr>
        <rFont val="Arial"/>
        <b/>
        <color theme="1"/>
      </rPr>
      <t>Surabaya</t>
    </r>
    <r>
      <rPr>
        <rFont val="Arial"/>
        <color theme="1"/>
      </rPr>
      <t xml:space="preserve">, dimana </t>
    </r>
    <r>
      <rPr>
        <rFont val="Arial"/>
        <b/>
        <color theme="1"/>
      </rPr>
      <t xml:space="preserve">nilai rata-rata </t>
    </r>
    <r>
      <rPr>
        <rFont val="Arial"/>
        <color theme="1"/>
      </rPr>
      <t xml:space="preserve">Laju Inflasi (M-t-M) </t>
    </r>
    <r>
      <rPr>
        <rFont val="Arial"/>
        <b/>
        <color theme="1"/>
      </rPr>
      <t>jakarta</t>
    </r>
    <r>
      <rPr>
        <rFont val="Arial"/>
        <color theme="1"/>
      </rPr>
      <t xml:space="preserve"> sebesar</t>
    </r>
    <r>
      <rPr>
        <rFont val="Arial"/>
        <b/>
        <color theme="1"/>
      </rPr>
      <t xml:space="preserve"> 0,21</t>
    </r>
    <r>
      <rPr>
        <rFont val="Arial"/>
        <color theme="1"/>
      </rPr>
      <t xml:space="preserve">. Sedangkan </t>
    </r>
    <r>
      <rPr>
        <rFont val="Arial"/>
        <b/>
        <color theme="1"/>
      </rPr>
      <t>Surabaya</t>
    </r>
    <r>
      <rPr>
        <rFont val="Arial"/>
        <color theme="1"/>
      </rPr>
      <t xml:space="preserve"> memiliki </t>
    </r>
    <r>
      <rPr>
        <rFont val="Arial"/>
        <b/>
        <color theme="1"/>
      </rPr>
      <t>rata-rata Laju Inflasi (M-t-M)</t>
    </r>
    <r>
      <rPr>
        <rFont val="Arial"/>
        <color theme="1"/>
      </rPr>
      <t xml:space="preserve"> sebesar</t>
    </r>
    <r>
      <rPr>
        <rFont val="Arial"/>
        <b/>
        <color theme="1"/>
      </rPr>
      <t xml:space="preserve"> 0,37</t>
    </r>
    <r>
      <rPr>
        <rFont val="Arial"/>
        <color theme="1"/>
      </rPr>
      <t xml:space="preserve">. Terdapat </t>
    </r>
    <r>
      <rPr>
        <rFont val="Arial"/>
        <b/>
        <color theme="1"/>
      </rPr>
      <t>selisih 0,16</t>
    </r>
    <r>
      <rPr>
        <rFont val="Arial"/>
        <color theme="1"/>
      </rPr>
      <t xml:space="preserve"> diantara keduanya. </t>
    </r>
  </si>
  <si>
    <r>
      <rPr>
        <rFont val="Arial"/>
        <color theme="1"/>
      </rPr>
      <t xml:space="preserve">8. Provinsi mana yang paling sering mengalami </t>
    </r>
    <r>
      <rPr>
        <rFont val="Arial"/>
        <b/>
        <color theme="1"/>
      </rPr>
      <t xml:space="preserve">Perubahan Normal </t>
    </r>
    <r>
      <rPr>
        <rFont val="Arial"/>
        <color theme="1"/>
      </rPr>
      <t>pada bulan Februari 2024?</t>
    </r>
  </si>
  <si>
    <r>
      <rPr>
        <rFont val="Arial"/>
        <color theme="1"/>
      </rPr>
      <t xml:space="preserve">Provinsi </t>
    </r>
    <r>
      <rPr>
        <rFont val="Arial"/>
        <b/>
        <color theme="1"/>
      </rPr>
      <t>Jawa timur</t>
    </r>
    <r>
      <rPr>
        <rFont val="Arial"/>
        <color theme="1"/>
      </rPr>
      <t xml:space="preserve"> merupakan </t>
    </r>
    <r>
      <rPr>
        <rFont val="Arial"/>
        <b/>
        <color theme="1"/>
      </rPr>
      <t xml:space="preserve">provinsi </t>
    </r>
    <r>
      <rPr>
        <rFont val="Arial"/>
        <color theme="1"/>
      </rPr>
      <t>dengan</t>
    </r>
    <r>
      <rPr>
        <rFont val="Arial"/>
        <b/>
        <color theme="1"/>
      </rPr>
      <t xml:space="preserve"> frekuensi Perubahan Normal </t>
    </r>
    <r>
      <rPr>
        <rFont val="Arial"/>
        <color theme="1"/>
      </rPr>
      <t xml:space="preserve">paling </t>
    </r>
    <r>
      <rPr>
        <rFont val="Arial"/>
        <b/>
        <color theme="1"/>
      </rPr>
      <t>sering</t>
    </r>
    <r>
      <rPr>
        <rFont val="Arial"/>
        <color theme="1"/>
      </rPr>
      <t xml:space="preserve"> dengan jumlah </t>
    </r>
    <r>
      <rPr>
        <rFont val="Arial"/>
        <b/>
        <color theme="1"/>
      </rPr>
      <t>perubahan Normal</t>
    </r>
    <r>
      <rPr>
        <rFont val="Arial"/>
        <color theme="1"/>
      </rPr>
      <t xml:space="preserve"> sebanyak </t>
    </r>
    <r>
      <rPr>
        <rFont val="Arial"/>
        <b/>
        <color theme="1"/>
      </rPr>
      <t>104</t>
    </r>
    <r>
      <rPr>
        <rFont val="Arial"/>
        <color theme="1"/>
      </rPr>
      <t xml:space="preserve"> dengan persentase </t>
    </r>
    <r>
      <rPr>
        <rFont val="Arial"/>
        <b/>
        <color theme="1"/>
      </rPr>
      <t>7,17%</t>
    </r>
  </si>
  <si>
    <t>Business Question B</t>
  </si>
  <si>
    <t xml:space="preserve">1. Data Agregat
a. Jumlah Kota/Kabupaten
b. Jumlah Provinsi
c. Rata-rata Laju Inflasi M-t-M </t>
  </si>
  <si>
    <t>2. Tren Inflasi Nasional yang menampilkan rata-rata Laju Inflasi M-t-M Nasional dari Februari hingga Maret.</t>
  </si>
  <si>
    <t>3. Peta Panas Regional yang menunjukkan Nama Provinsi rata-rata Laju Inflasi M-t-M.</t>
  </si>
  <si>
    <t>4. Distribusi Peringatan Inflasi yang menampilkan persentase Kota/Kabupaten yang termasuk dalam Akselerasi Kuat vs. Akselerasi Persentase pada bulan terakhir.</t>
  </si>
  <si>
    <t>5. Perbandingan Sektor yang membandingkan rata-rata IHK Bulan Ini dan rata-rata IHK Bulan Lalu untuk 3 Tipe Sektor Ekonomi teratas.</t>
  </si>
  <si>
    <t>6. Hitungan Deflasi yang menampilkan jumlah Kota/Kabupaten yang mengalami Deflasi (gunakan Filter Kriteria Inflasi).</t>
  </si>
  <si>
    <t>7. Top 5 Kontributor Poin yang menunjukkan 5 Nama Kota/Kabupaten dengan rata-rata Perubahan Poin IHK M-t-M tertinggi.</t>
  </si>
  <si>
    <t xml:space="preserve">8. Kontrol Interaktif berdasarkan Nama Provinsi dan Kelompok Kategori </t>
  </si>
  <si>
    <r>
      <rPr>
        <rFont val="Arial"/>
        <color theme="1"/>
      </rPr>
      <t xml:space="preserve">1. Top 3 Kota/Kabupaten dengan </t>
    </r>
    <r>
      <rPr>
        <rFont val="Arial"/>
        <b/>
        <color theme="1"/>
      </rPr>
      <t>Laju Inflasi M-t-M</t>
    </r>
    <r>
      <rPr>
        <rFont val="Arial"/>
        <color theme="1"/>
      </rPr>
      <t xml:space="preserve"> tertinggi pada bulan Maret 2024?</t>
    </r>
  </si>
  <si>
    <r>
      <t xml:space="preserve">2. Kota/Kabupaten mana yang memiliki rata-rata </t>
    </r>
    <r>
      <rPr>
        <rFont val="Arial"/>
        <b/>
        <color theme="1"/>
      </rPr>
      <t>Perubahan Poin IHK</t>
    </r>
    <r>
      <rPr>
        <rFont val="Arial"/>
        <color theme="1"/>
      </rPr>
      <t xml:space="preserve"> tertinggi pada bulan Maret 2024?</t>
    </r>
  </si>
  <si>
    <r>
      <t xml:space="preserve">3. Kota/Kabupaten yang mengalami </t>
    </r>
    <r>
      <rPr>
        <rFont val="Arial"/>
        <b/>
        <color theme="1"/>
      </rPr>
      <t>Deflasi</t>
    </r>
    <r>
      <rPr>
        <rFont val="Arial"/>
        <color theme="1"/>
      </rPr>
      <t xml:space="preserve"> paling dalam untuk tiap kategori pada Februari 2024?</t>
    </r>
  </si>
  <si>
    <r>
      <t xml:space="preserve">4. Indikasi cepat, berapa rata-rata Laju Inflasi (M-t-M) untuk kategori </t>
    </r>
    <r>
      <rPr>
        <rFont val="Arial"/>
        <b/>
        <color theme="1"/>
      </rPr>
      <t>Minuman</t>
    </r>
    <r>
      <rPr>
        <rFont val="Arial"/>
        <color theme="1"/>
      </rPr>
      <t xml:space="preserve"> di seluruh provinsi pada bulan Februari 2024?</t>
    </r>
  </si>
  <si>
    <r>
      <rPr>
        <rFont val="Arial"/>
        <color theme="1"/>
      </rPr>
      <t xml:space="preserve">5. Berapa persentase data yang memiliki status </t>
    </r>
    <r>
      <rPr>
        <rFont val="Arial"/>
        <b/>
        <color theme="1"/>
      </rPr>
      <t xml:space="preserve">Inflasi Normal </t>
    </r>
    <r>
      <rPr>
        <rFont val="Arial"/>
        <color theme="1"/>
      </rPr>
      <t>dibandingkan seluruh data?</t>
    </r>
  </si>
  <si>
    <r>
      <rPr>
        <rFont val="Arial"/>
        <color theme="1"/>
      </rPr>
      <t xml:space="preserve">6. Kategori apa yang mengalami perubahan </t>
    </r>
    <r>
      <rPr>
        <rFont val="Arial"/>
        <b/>
        <color theme="1"/>
      </rPr>
      <t>Laju Inflasi (M-t-M)</t>
    </r>
    <r>
      <rPr>
        <rFont val="Arial"/>
        <color theme="1"/>
      </rPr>
      <t xml:space="preserve"> antar bulan terbesar, antara Februari dan Maret 2024?</t>
    </r>
  </si>
  <si>
    <r>
      <rPr>
        <rFont val="Arial"/>
        <color theme="1"/>
      </rPr>
      <t xml:space="preserve">7. Indikasi cepat, apakah rata-rata </t>
    </r>
    <r>
      <rPr>
        <rFont val="Arial"/>
        <b/>
        <color theme="1"/>
      </rPr>
      <t>Laju Inflasi (M-t-M)</t>
    </r>
    <r>
      <rPr>
        <rFont val="Arial"/>
        <color theme="1"/>
      </rPr>
      <t xml:space="preserve"> di Kota Jakarta lebih tinggi dibandingkan Kota Surabaya pada bulan Maret 2024?, Berapa selisihnya?</t>
    </r>
  </si>
  <si>
    <r>
      <rPr>
        <rFont val="Arial"/>
        <color theme="1"/>
      </rPr>
      <t xml:space="preserve">8. Provinsi mana yang paling sering mengalami </t>
    </r>
    <r>
      <rPr>
        <rFont val="Arial"/>
        <b/>
        <color theme="1"/>
      </rPr>
      <t xml:space="preserve">Perubahan Normal </t>
    </r>
    <r>
      <rPr>
        <rFont val="Arial"/>
        <color theme="1"/>
      </rPr>
      <t>pada bulan Februari 2024?</t>
    </r>
  </si>
  <si>
    <t>SUM of Laju Inflasi M-t-M</t>
  </si>
  <si>
    <t>AVERAGE of Perubahan Poin IHK</t>
  </si>
  <si>
    <t>AVERAGE of Laju Inflasi M-t-M</t>
  </si>
  <si>
    <t>COUNTA of Kriteria Inflasi</t>
  </si>
  <si>
    <t>COUNTA of Status Perubahan Harga Relatif</t>
  </si>
  <si>
    <t>Fluktuasi</t>
  </si>
  <si>
    <t>Selisih</t>
  </si>
  <si>
    <t>Grand Total</t>
  </si>
  <si>
    <t>Avg. Laju Inflasi M-t-M</t>
  </si>
  <si>
    <t>Avg. IHK Februari</t>
  </si>
  <si>
    <t>Avg. IHK Maret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</si>
</sst>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yyyy"/>
    <numFmt numFmtId="165" formatCode="0.000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i/>
      <sz val="8.0"/>
      <color theme="1"/>
      <name val="Arial"/>
      <scheme val="minor"/>
    </font>
    <font>
      <color theme="1"/>
      <name val="Arial"/>
    </font>
    <font>
      <i/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666666"/>
      </right>
      <bottom style="thin">
        <color rgb="FF999999"/>
      </bottom>
    </border>
    <border>
      <left style="thin">
        <color rgb="FF666666"/>
      </left>
      <right style="thin">
        <color rgb="FF666666"/>
      </right>
      <bottom style="thin">
        <color rgb="FF999999"/>
      </bottom>
    </border>
    <border>
      <left style="thin">
        <color rgb="FF666666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666666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666666"/>
      </right>
      <top style="thin">
        <color rgb="FF999999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999999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3" fontId="4" numFmtId="0" xfId="0" applyAlignment="1" applyBorder="1" applyFill="1" applyFont="1">
      <alignment horizontal="center" readingOrder="0" vertical="center"/>
    </xf>
    <xf borderId="2" fillId="3" fontId="5" numFmtId="0" xfId="0" applyAlignment="1" applyBorder="1" applyFont="1">
      <alignment readingOrder="0" shrinkToFit="0" vertical="center" wrapText="1"/>
    </xf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0" fillId="0" fontId="6" numFmtId="0" xfId="0" applyAlignment="1" applyFont="1">
      <alignment horizontal="center"/>
    </xf>
    <xf borderId="3" fillId="3" fontId="6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/>
    </xf>
    <xf borderId="9" fillId="4" fontId="6" numFmtId="0" xfId="0" applyAlignment="1" applyBorder="1" applyFill="1" applyFont="1">
      <alignment horizontal="center" readingOrder="0"/>
    </xf>
    <xf borderId="10" fillId="4" fontId="6" numFmtId="0" xfId="0" applyAlignment="1" applyBorder="1" applyFont="1">
      <alignment horizontal="center" readingOrder="0"/>
    </xf>
    <xf borderId="11" fillId="4" fontId="6" numFmtId="0" xfId="0" applyAlignment="1" applyBorder="1" applyFont="1">
      <alignment horizontal="center" readingOrder="0"/>
    </xf>
    <xf borderId="12" fillId="4" fontId="6" numFmtId="0" xfId="0" applyAlignment="1" applyBorder="1" applyFont="1">
      <alignment horizontal="center" readingOrder="0"/>
    </xf>
    <xf borderId="13" fillId="4" fontId="6" numFmtId="0" xfId="0" applyAlignment="1" applyBorder="1" applyFont="1">
      <alignment horizontal="center" readingOrder="0"/>
    </xf>
    <xf borderId="14" fillId="4" fontId="6" numFmtId="0" xfId="0" applyAlignment="1" applyBorder="1" applyFont="1">
      <alignment horizontal="center" readingOrder="0"/>
    </xf>
    <xf borderId="15" fillId="4" fontId="6" numFmtId="0" xfId="0" applyAlignment="1" applyBorder="1" applyFont="1">
      <alignment horizontal="center" readingOrder="0"/>
    </xf>
    <xf borderId="16" fillId="4" fontId="6" numFmtId="0" xfId="0" applyAlignment="1" applyBorder="1" applyFont="1">
      <alignment horizontal="center" readingOrder="0"/>
    </xf>
    <xf borderId="17" fillId="0" fontId="3" numFmtId="164" xfId="0" applyAlignment="1" applyBorder="1" applyFont="1" applyNumberFormat="1">
      <alignment vertical="center"/>
    </xf>
    <xf borderId="18" fillId="0" fontId="3" numFmtId="0" xfId="0" applyAlignment="1" applyBorder="1" applyFont="1">
      <alignment readingOrder="0" vertical="center"/>
    </xf>
    <xf borderId="11" fillId="0" fontId="3" numFmtId="0" xfId="0" applyAlignment="1" applyBorder="1" applyFont="1">
      <alignment horizontal="left" readingOrder="0" vertical="center"/>
    </xf>
    <xf borderId="19" fillId="0" fontId="3" numFmtId="0" xfId="0" applyAlignment="1" applyBorder="1" applyFont="1">
      <alignment readingOrder="0" vertical="center"/>
    </xf>
    <xf borderId="20" fillId="0" fontId="3" numFmtId="0" xfId="0" applyAlignment="1" applyBorder="1" applyFont="1">
      <alignment readingOrder="0" vertical="center"/>
    </xf>
    <xf borderId="21" fillId="0" fontId="3" numFmtId="0" xfId="0" applyAlignment="1" applyBorder="1" applyFont="1">
      <alignment readingOrder="0" vertical="center"/>
    </xf>
    <xf borderId="22" fillId="0" fontId="3" numFmtId="0" xfId="0" applyAlignment="1" applyBorder="1" applyFont="1">
      <alignment readingOrder="0" shrinkToFit="0" vertical="center" wrapText="1"/>
    </xf>
    <xf borderId="23" fillId="0" fontId="3" numFmtId="0" xfId="0" applyAlignment="1" applyBorder="1" applyFont="1">
      <alignment readingOrder="0" vertical="center"/>
    </xf>
    <xf borderId="24" fillId="0" fontId="3" numFmtId="0" xfId="0" applyAlignment="1" applyBorder="1" applyFont="1">
      <alignment readingOrder="0" shrinkToFit="0" vertical="center" wrapText="1"/>
    </xf>
    <xf borderId="25" fillId="0" fontId="3" numFmtId="164" xfId="0" applyAlignment="1" applyBorder="1" applyFont="1" applyNumberFormat="1">
      <alignment vertical="center"/>
    </xf>
    <xf borderId="26" fillId="0" fontId="3" numFmtId="0" xfId="0" applyAlignment="1" applyBorder="1" applyFont="1">
      <alignment readingOrder="0" vertical="center"/>
    </xf>
    <xf borderId="27" fillId="0" fontId="3" numFmtId="0" xfId="0" applyAlignment="1" applyBorder="1" applyFont="1">
      <alignment readingOrder="0" vertical="center"/>
    </xf>
    <xf borderId="28" fillId="0" fontId="3" numFmtId="0" xfId="0" applyAlignment="1" applyBorder="1" applyFont="1">
      <alignment readingOrder="0" vertical="center"/>
    </xf>
    <xf borderId="29" fillId="0" fontId="3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readingOrder="0" vertical="center"/>
    </xf>
    <xf borderId="31" fillId="0" fontId="3" numFmtId="0" xfId="0" applyAlignment="1" applyBorder="1" applyFont="1">
      <alignment readingOrder="0" shrinkToFit="0" vertical="center" wrapText="1"/>
    </xf>
    <xf borderId="25" fillId="0" fontId="3" numFmtId="164" xfId="0" applyBorder="1" applyFont="1" applyNumberFormat="1"/>
    <xf borderId="2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27" fillId="0" fontId="3" numFmtId="49" xfId="0" applyAlignment="1" applyBorder="1" applyFont="1" applyNumberFormat="1">
      <alignment readingOrder="0"/>
    </xf>
    <xf borderId="28" fillId="0" fontId="3" numFmtId="0" xfId="0" applyAlignment="1" applyBorder="1" applyFont="1">
      <alignment readingOrder="0"/>
    </xf>
    <xf borderId="31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readingOrder="0"/>
    </xf>
    <xf borderId="32" fillId="0" fontId="3" numFmtId="0" xfId="0" applyAlignment="1" applyBorder="1" applyFont="1">
      <alignment readingOrder="0"/>
    </xf>
    <xf borderId="33" fillId="0" fontId="3" numFmtId="0" xfId="0" applyAlignment="1" applyBorder="1" applyFont="1">
      <alignment readingOrder="0"/>
    </xf>
    <xf borderId="34" fillId="0" fontId="3" numFmtId="0" xfId="0" applyAlignment="1" applyBorder="1" applyFont="1">
      <alignment readingOrder="0" shrinkToFit="0" vertical="center" wrapText="1"/>
    </xf>
    <xf borderId="35" fillId="0" fontId="3" numFmtId="0" xfId="0" applyAlignment="1" applyBorder="1" applyFont="1">
      <alignment readingOrder="0" vertical="center"/>
    </xf>
    <xf borderId="36" fillId="0" fontId="3" numFmtId="0" xfId="0" applyAlignment="1" applyBorder="1" applyFont="1">
      <alignment readingOrder="0" vertical="center"/>
    </xf>
    <xf borderId="37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/>
    </xf>
    <xf borderId="38" fillId="0" fontId="3" numFmtId="0" xfId="0" applyAlignment="1" applyBorder="1" applyFont="1">
      <alignment readingOrder="0" vertical="center"/>
    </xf>
    <xf borderId="1" fillId="4" fontId="6" numFmtId="0" xfId="0" applyAlignment="1" applyBorder="1" applyFont="1">
      <alignment readingOrder="0" shrinkToFit="0" wrapText="1"/>
    </xf>
    <xf borderId="3" fillId="4" fontId="6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readingOrder="0" vertical="center"/>
    </xf>
    <xf borderId="19" fillId="0" fontId="3" numFmtId="0" xfId="0" applyAlignment="1" applyBorder="1" applyFont="1">
      <alignment readingOrder="0"/>
    </xf>
    <xf borderId="39" fillId="0" fontId="3" numFmtId="164" xfId="0" applyBorder="1" applyFont="1" applyNumberFormat="1"/>
    <xf borderId="40" fillId="0" fontId="3" numFmtId="0" xfId="0" applyAlignment="1" applyBorder="1" applyFont="1">
      <alignment readingOrder="0"/>
    </xf>
    <xf borderId="0" fillId="2" fontId="7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8" numFmtId="2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9" numFmtId="0" xfId="0" applyFont="1"/>
    <xf borderId="0" fillId="3" fontId="10" numFmtId="0" xfId="0" applyAlignment="1" applyFont="1">
      <alignment horizontal="center" shrinkToFit="0" wrapText="1"/>
    </xf>
    <xf borderId="0" fillId="0" fontId="9" numFmtId="164" xfId="0" applyAlignment="1" applyFont="1" applyNumberFormat="1">
      <alignment horizontal="left"/>
    </xf>
    <xf borderId="0" fillId="0" fontId="9" numFmtId="0" xfId="0" applyAlignment="1" applyFont="1">
      <alignment horizontal="left"/>
    </xf>
    <xf borderId="0" fillId="3" fontId="10" numFmtId="2" xfId="0" applyAlignment="1" applyFont="1" applyNumberFormat="1">
      <alignment horizontal="center" shrinkToFit="0" wrapText="1"/>
    </xf>
    <xf borderId="3" fillId="4" fontId="9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3" fillId="4" fontId="9" numFmtId="164" xfId="0" applyAlignment="1" applyBorder="1" applyFont="1" applyNumberFormat="1">
      <alignment horizontal="center" shrinkToFit="0" vertical="center" wrapText="1"/>
    </xf>
    <xf borderId="3" fillId="3" fontId="9" numFmtId="2" xfId="0" applyAlignment="1" applyBorder="1" applyFont="1" applyNumberFormat="1">
      <alignment horizontal="center" shrinkToFit="0" vertical="center" wrapText="1"/>
    </xf>
    <xf borderId="37" fillId="0" fontId="9" numFmtId="0" xfId="0" applyBorder="1" applyFont="1"/>
    <xf borderId="37" fillId="3" fontId="9" numFmtId="164" xfId="0" applyBorder="1" applyFont="1" applyNumberFormat="1"/>
    <xf borderId="37" fillId="0" fontId="9" numFmtId="0" xfId="0" applyAlignment="1" applyBorder="1" applyFont="1">
      <alignment horizontal="center" shrinkToFit="0" wrapText="1"/>
    </xf>
    <xf borderId="37" fillId="0" fontId="9" numFmtId="164" xfId="0" applyAlignment="1" applyBorder="1" applyFont="1" applyNumberFormat="1">
      <alignment horizontal="left"/>
    </xf>
    <xf borderId="37" fillId="3" fontId="9" numFmtId="0" xfId="0" applyBorder="1" applyFont="1"/>
    <xf borderId="37" fillId="0" fontId="9" numFmtId="0" xfId="0" applyAlignment="1" applyBorder="1" applyFont="1">
      <alignment horizontal="left"/>
    </xf>
    <xf borderId="37" fillId="0" fontId="9" numFmtId="0" xfId="0" applyAlignment="1" applyBorder="1" applyFont="1">
      <alignment horizontal="center"/>
    </xf>
    <xf borderId="37" fillId="3" fontId="9" numFmtId="2" xfId="0" applyBorder="1" applyFont="1" applyNumberFormat="1"/>
    <xf borderId="37" fillId="3" fontId="9" numFmtId="0" xfId="0" applyAlignment="1" applyBorder="1" applyFont="1">
      <alignment readingOrder="0"/>
    </xf>
    <xf borderId="37" fillId="0" fontId="9" numFmtId="4" xfId="0" applyAlignment="1" applyBorder="1" applyFont="1" applyNumberFormat="1">
      <alignment horizontal="left"/>
    </xf>
    <xf borderId="37" fillId="0" fontId="9" numFmtId="4" xfId="0" applyAlignment="1" applyBorder="1" applyFont="1" applyNumberFormat="1">
      <alignment horizontal="center"/>
    </xf>
    <xf borderId="37" fillId="3" fontId="9" numFmtId="4" xfId="0" applyBorder="1" applyFont="1" applyNumberFormat="1"/>
    <xf borderId="37" fillId="0" fontId="9" numFmtId="0" xfId="0" applyBorder="1" applyFont="1"/>
    <xf borderId="37" fillId="0" fontId="9" numFmtId="0" xfId="0" applyAlignment="1" applyBorder="1" applyFont="1">
      <alignment horizontal="left"/>
    </xf>
    <xf borderId="37" fillId="0" fontId="9" numFmtId="0" xfId="0" applyAlignment="1" applyBorder="1" applyFont="1">
      <alignment horizontal="center"/>
    </xf>
    <xf borderId="37" fillId="0" fontId="9" numFmtId="0" xfId="0" applyAlignment="1" applyBorder="1" applyFont="1">
      <alignment shrinkToFit="0" wrapText="1"/>
    </xf>
    <xf borderId="37" fillId="0" fontId="9" numFmtId="164" xfId="0" applyAlignment="1" applyBorder="1" applyFont="1" applyNumberFormat="1">
      <alignment horizontal="left" shrinkToFit="0" wrapText="1"/>
    </xf>
    <xf borderId="37" fillId="0" fontId="9" numFmtId="0" xfId="0" applyAlignment="1" applyBorder="1" applyFont="1">
      <alignment horizontal="left" shrinkToFit="0" wrapText="1"/>
    </xf>
    <xf borderId="37" fillId="0" fontId="9" numFmtId="0" xfId="0" applyAlignment="1" applyBorder="1" applyFont="1">
      <alignment horizontal="center" shrinkToFit="0" wrapText="1"/>
    </xf>
    <xf borderId="41" fillId="0" fontId="9" numFmtId="0" xfId="0" applyBorder="1" applyFont="1"/>
    <xf borderId="41" fillId="0" fontId="9" numFmtId="0" xfId="0" applyAlignment="1" applyBorder="1" applyFont="1">
      <alignment horizontal="center" shrinkToFit="0" wrapText="1"/>
    </xf>
    <xf borderId="41" fillId="0" fontId="9" numFmtId="164" xfId="0" applyAlignment="1" applyBorder="1" applyFont="1" applyNumberFormat="1">
      <alignment horizontal="left"/>
    </xf>
    <xf borderId="41" fillId="0" fontId="9" numFmtId="0" xfId="0" applyAlignment="1" applyBorder="1" applyFont="1">
      <alignment horizontal="left"/>
    </xf>
    <xf borderId="41" fillId="0" fontId="9" numFmtId="0" xfId="0" applyAlignment="1" applyBorder="1" applyFont="1">
      <alignment horizontal="center"/>
    </xf>
    <xf borderId="3" fillId="5" fontId="6" numFmtId="0" xfId="0" applyAlignment="1" applyBorder="1" applyFill="1" applyFont="1">
      <alignment horizontal="left" readingOrder="0" vertical="center"/>
    </xf>
    <xf borderId="2" fillId="5" fontId="6" numFmtId="0" xfId="0" applyAlignment="1" applyBorder="1" applyFont="1">
      <alignment horizontal="center" readingOrder="0" vertical="center"/>
    </xf>
    <xf borderId="42" fillId="0" fontId="9" numFmtId="0" xfId="0" applyAlignment="1" applyBorder="1" applyFont="1">
      <alignment readingOrder="0" vertical="center"/>
    </xf>
    <xf borderId="7" fillId="0" fontId="9" numFmtId="0" xfId="0" applyAlignment="1" applyBorder="1" applyFont="1">
      <alignment readingOrder="0" shrinkToFit="0" vertical="center" wrapText="1"/>
    </xf>
    <xf borderId="43" fillId="0" fontId="9" numFmtId="0" xfId="0" applyAlignment="1" applyBorder="1" applyFont="1">
      <alignment readingOrder="0" shrinkToFit="0" vertical="center" wrapText="1"/>
    </xf>
    <xf borderId="0" fillId="0" fontId="3" numFmtId="164" xfId="0" applyFont="1" applyNumberFormat="1"/>
    <xf borderId="0" fillId="0" fontId="3" numFmtId="4" xfId="0" applyFont="1" applyNumberFormat="1"/>
    <xf borderId="0" fillId="0" fontId="3" numFmtId="0" xfId="0" applyAlignment="1" applyFont="1">
      <alignment readingOrder="0"/>
    </xf>
    <xf borderId="43" fillId="0" fontId="9" numFmtId="0" xfId="0" applyAlignment="1" applyBorder="1" applyFont="1">
      <alignment shrinkToFit="0" vertical="center" wrapText="1"/>
    </xf>
    <xf borderId="44" fillId="0" fontId="9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3" numFmtId="0" xfId="0" applyFont="1"/>
    <xf borderId="0" fillId="6" fontId="3" numFmtId="164" xfId="0" applyFill="1" applyFont="1" applyNumberFormat="1"/>
    <xf borderId="0" fillId="6" fontId="3" numFmtId="2" xfId="0" applyFont="1" applyNumberFormat="1"/>
    <xf borderId="0" fillId="6" fontId="3" numFmtId="4" xfId="0" applyFont="1" applyNumberFormat="1"/>
    <xf borderId="0" fillId="0" fontId="3" numFmtId="2" xfId="0" applyFont="1" applyNumberFormat="1"/>
    <xf borderId="0" fillId="0" fontId="3" numFmtId="10" xfId="0" applyFont="1" applyNumberFormat="1"/>
    <xf borderId="0" fillId="4" fontId="3" numFmtId="0" xfId="0" applyFont="1"/>
    <xf borderId="0" fillId="7" fontId="3" numFmtId="0" xfId="0" applyAlignment="1" applyFill="1" applyFont="1">
      <alignment readingOrder="0"/>
    </xf>
    <xf borderId="0" fillId="6" fontId="3" numFmtId="0" xfId="0" applyFont="1"/>
    <xf borderId="0" fillId="6" fontId="3" numFmtId="10" xfId="0" applyFont="1" applyNumberFormat="1"/>
    <xf borderId="0" fillId="8" fontId="3" numFmtId="4" xfId="0" applyFill="1" applyFont="1" applyNumberFormat="1"/>
    <xf borderId="0" fillId="8" fontId="3" numFmtId="164" xfId="0" applyFont="1" applyNumberFormat="1"/>
    <xf borderId="0" fillId="8" fontId="3" numFmtId="2" xfId="0" applyFont="1" applyNumberFormat="1"/>
    <xf borderId="0" fillId="6" fontId="3" numFmtId="165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M3304" sheet="Dataset Indeks Harga Konsumen"/>
  </cacheSource>
  <cacheFields>
    <cacheField name="Kota/Kabupaten" numFmtId="0">
      <sharedItems>
        <s v="KAB LABUHANBATU"/>
        <s v="KOTA BOGOR"/>
        <s v="KOTA BEKASI"/>
        <s v="SINTANG"/>
        <s v="KOTA LUBUK LINGGAU"/>
        <s v="KOTA KEDIRI"/>
        <s v="KOTA PADANG"/>
        <s v="KAB SUKAMARA"/>
        <s v="KAB KAMPAR"/>
        <s v="KAB JAYAWIJAYA"/>
        <s v="KOTA JAYAPURA"/>
        <s v="SINGARAJA"/>
        <s v="TANJUNG"/>
        <s v="KOTA MANADO"/>
        <s v="PURWOKERTO"/>
        <s v="KAB NUNUKAN"/>
        <s v="LUWUK"/>
        <s v="KAB PENAJAM PASER UTARA"/>
        <s v="KOTA LHOKSEUMAWE"/>
        <s v="KAB PASAMAN BARAT"/>
        <s v="KAB WONOGIRI"/>
        <s v="MERAUKE"/>
        <s v="KAB REMBANG"/>
        <s v="KAB BANDUNG"/>
        <s v="KAB TIMOR TENGAH SELATAN"/>
        <s v="KOTA BANJARMASIN"/>
        <s v="KOTA BALIKPAPAN"/>
        <s v="KOTA BAU BAU"/>
        <s v="KOTA GORONTALO"/>
        <s v="KAB MINAHASA UTARA"/>
        <s v="KAB WONOSOBO"/>
        <s v="SUMENEP"/>
        <s v="KAB TANAH LAUT"/>
        <s v="KOTA JAMBI"/>
        <s v="JEMBER"/>
        <s v="KOTA TANJUNG PINANG"/>
        <s v="KAB MAJALENGKA"/>
        <s v="BULUKUMBA"/>
        <s v="KAB BERAU"/>
        <s v="KOTA BENGKULU"/>
        <s v="KAB NGADA"/>
        <s v="KAB LEBAK"/>
        <s v="KOTA SEMARANG"/>
        <s v="TEMBILAHAN"/>
        <s v="KOTA BATAM"/>
        <s v="KAB SUMBAWA"/>
        <s v="KOTA BUKITTINGGI"/>
        <s v="KOTA PEMATANGSIANTAR"/>
        <s v="SAMPIT"/>
        <s v="KOTA TUAL"/>
        <s v="KAB MESUJI"/>
        <s v="KOTA TASIKMALAYA"/>
        <s v="MANOKWARI"/>
        <s v="MEULABOH"/>
        <s v="CILACAP"/>
        <s v="KOTA BANDUNG"/>
        <s v="KOTABARU"/>
        <s v="KOTA SINGKAWANG"/>
        <s v="KAB HALMAHERA TENGAH"/>
        <s v="KOTA KOTAMOBAGU"/>
        <s v="KAB GORONTALO"/>
        <s v="KOTA MALANG"/>
        <s v="KAB NABIRE"/>
        <s v="KOTA TERNATE"/>
        <s v="KAB TULUNGAGUNG"/>
        <s v="KAB MUARA ENIM"/>
        <s v="KOTA CIREBON"/>
        <s v="KAB BANGKA BARAT"/>
        <s v="TANJUNG SELOR"/>
        <s v="WAINGAPU"/>
        <s v="KAB KETAPANG"/>
        <s v="KAB ACEH TAMIANG"/>
        <s v="KOTA DUMAI"/>
        <s v="KAB KAYONG UTARA"/>
        <s v="KOTA PROBOLINGGO"/>
        <s v="KOTA SURABAYA"/>
        <s v="TIMIKA"/>
        <s v="KAB GUNUNGKIDUL"/>
        <s v="KAB WAJO"/>
        <s v="KAB MALUKU TENGAH"/>
        <s v="KOTA PADANGSIDIMPUAN"/>
        <s v="BANYUWANGI"/>
        <s v="KAB MUKO MUKO"/>
        <s v="KAB KERINCI"/>
        <s v="KOTA CILEGON"/>
        <s v="KOTA MEDAN"/>
        <s v="TANJUNG PANDAN"/>
        <s v="MUARA BUNGO"/>
        <s v="KOTA DENPASAR"/>
        <s v="KAB MINAHASA SELATAN"/>
        <s v="KOTA PALU"/>
        <s v="KAB GRESIK"/>
        <s v="KOTA KUPANG"/>
        <s v="KUDUS"/>
        <s v="MAUMERE"/>
        <s v="KOTA YOGYAKARTA"/>
        <s v="KOTA PALEMBANG"/>
        <s v="KOTA TARAKAN"/>
        <s v="KAB SORONG SELATAN"/>
        <s v="KAB KARO"/>
        <s v="KOTA METRO"/>
        <s v="KOTA SUKABUMI"/>
        <s v="KAB KAPUAS"/>
        <s v="KOTA SORONG"/>
        <s v="KOTA PALANGKARAYA"/>
        <s v="KAB TABANAN"/>
        <s v="KAB BELITUNG TIMUR"/>
        <s v="KAB DHARMASRAYA"/>
        <s v="KOTA SIBOLGA"/>
        <s v="KAB KARIMUN"/>
        <s v="KAB LAMPUNG TIMUR"/>
        <s v="KOTA KENDARI"/>
        <s v="KOTA SURAKARTA"/>
        <s v="KOTA BANDA ACEH"/>
        <s v="KOTA PARE PARE"/>
        <s v="KAB SORONG"/>
        <s v="KOTA TANGERANG"/>
        <s v="WATAMPONE"/>
        <s v="KAB TOLI TOLI"/>
        <s v="KOTA DEPOK"/>
        <s v="KOTA BANDAR LAMPUNG"/>
        <s v="KAB ACEH TENGAH"/>
        <s v="KOTA PALOPO"/>
        <s v="KOTA MATARAM"/>
        <s v="KOTA SERANG"/>
        <s v="KAB SIDENRENG RAPPANG"/>
        <s v="KAB OGAN KOMERING ILIR"/>
        <s v="KOTA PEKANBARU"/>
        <s v="MAMUJU"/>
        <s v="KOTA MAKASSAR"/>
        <s v="KAB BOJONEGORO"/>
        <s v="KAB BADUNG"/>
        <s v="KAB HULU SUNGAI TENGAH"/>
        <s v="KOTA TEGAL"/>
        <s v="KOTA GUNUNGSITOLI"/>
        <s v="KOTA PANGKAL PINANG"/>
        <s v="KOTA MADIUN"/>
        <s v="KAB SUBANG"/>
        <s v="KOTA SAMARINDA"/>
        <s v="KOTA PONTIANAK"/>
        <s v="KAB LUWU TIMUR"/>
        <s v="KAB MOROWALI"/>
        <s v="KOTA AMBON"/>
        <s v="KAB DELI SERDANG"/>
        <s v="KOTA JAKARTA"/>
        <s v="KAB KOLAKA"/>
        <s v="KAB KONAWE"/>
        <s v="KAB PANDEGLANG"/>
        <s v="KAB MAJENE"/>
        <s v="KOTA BIMA"/>
      </sharedItems>
    </cacheField>
    <cacheField name="Proper" numFmtId="164">
      <sharedItems>
        <s v="Kab Labuhanbatu"/>
        <s v="Kota Bogor"/>
        <s v="Kota Bekasi"/>
        <s v="Sintang"/>
        <s v="Kota Lubuk Linggau"/>
        <s v="Kota Kediri"/>
        <s v="Kota Padang"/>
        <s v="Kab Sukamara"/>
        <s v="Kab Kampar"/>
        <s v="Kab Jayawijaya"/>
        <s v="Kota Jayapura"/>
        <s v="Singaraja"/>
        <s v="Tanjung"/>
        <s v="Kota Manado"/>
        <s v="Purwokerto"/>
        <s v="Kab Nunukan"/>
        <s v="Luwuk"/>
        <s v="Kab Penajam Paser Utara"/>
        <s v="Kota Lhokseumawe"/>
        <s v="Kab Pasaman Barat"/>
        <s v="Kab Wonogiri"/>
        <s v="Merauke"/>
        <s v="Kab Rembang"/>
        <s v="Kab Bandung"/>
        <s v="Kab Timor Tengah Selatan"/>
        <s v="Kota Banjarmasin"/>
        <s v="Kota Balikpapan"/>
        <s v="Kota Bau Bau"/>
        <s v="Kota Gorontalo"/>
        <s v="Kab Minahasa Utara"/>
        <s v="Kab Wonosobo"/>
        <s v="Sumenep"/>
        <s v="Kab Tanah Laut"/>
        <s v="Kota Jambi"/>
        <s v="Jember"/>
        <s v="Kota Tanjung Pinang"/>
        <s v="Kab Majalengka"/>
        <s v="Bulukumba"/>
        <s v="Kab Berau"/>
        <s v="Kota Bengkulu"/>
        <s v="Kab Ngada"/>
        <s v="Kab Lebak"/>
        <s v="Kota Semarang"/>
        <s v="Tembilahan"/>
        <s v="Kota Batam"/>
        <s v="Kab Sumbawa"/>
        <s v="Kota Bukittinggi"/>
        <s v="Kota Pematangsiantar"/>
        <s v="Sampit"/>
        <s v="Kota Tual"/>
        <s v="Kab Mesuji"/>
        <s v="Kota Tasikmalaya"/>
        <s v="Manokwari"/>
        <s v="Meulaboh"/>
        <s v="Cilacap"/>
        <s v="Kota Bandung"/>
        <s v="Kotabaru"/>
        <s v="Kota Singkawang"/>
        <s v="Kab Halmahera Tengah"/>
        <s v="Kota Kotamobagu"/>
        <s v="Kab Gorontalo"/>
        <s v="Kota Malang"/>
        <s v="Kab Nabire"/>
        <s v="Kota Ternate"/>
        <s v="Kab Tulungagung"/>
        <s v="Kab Muara Enim"/>
        <s v="Kota Cirebon"/>
        <s v="Kab Bangka Barat"/>
        <s v="Tanjung Selor"/>
        <s v="Waingapu"/>
        <s v="Kab Ketapang"/>
        <s v="Kab Aceh Tamiang"/>
        <s v="Kota Dumai"/>
        <s v="Kab Kayong Utara"/>
        <s v="Kota Probolinggo"/>
        <s v="Kota Surabaya"/>
        <s v="Timika"/>
        <s v="Kab Gunungkidul"/>
        <s v="Kab Wajo"/>
        <s v="Kab Maluku Tengah"/>
        <s v="Kota Padangsidimpuan"/>
        <s v="Banyuwangi"/>
        <s v="Kab Muko Muko"/>
        <s v="Kab Kerinci"/>
        <s v="Kota Cilegon"/>
        <s v="Kota Medan"/>
        <s v="Tanjung Pandan"/>
        <s v="Muara Bungo"/>
        <s v="Kota Denpasar"/>
        <s v="Kab Minahasa Selatan"/>
        <s v="Kota Palu"/>
        <s v="Kab Gresik"/>
        <s v="Kota Kupang"/>
        <s v="Kudus"/>
        <s v="Maumere"/>
        <s v="Kota Yogyakarta"/>
        <s v="Kota Palembang"/>
        <s v="Kota Tarakan"/>
        <s v="Kab Sorong Selatan"/>
        <s v="Kab Karo"/>
        <s v="Kota Metro"/>
        <s v="Kota Sukabumi"/>
        <s v="Kab Kapuas"/>
        <s v="Kota Sorong"/>
        <s v="Kota Palangkaraya"/>
        <s v="Kab Tabanan"/>
        <s v="Kab Belitung Timur"/>
        <s v="Kab Dharmasraya"/>
        <s v="Kota Sibolga"/>
        <s v="Kab Karimun"/>
        <s v="Kab Lampung Timur"/>
        <s v="Kota Kendari"/>
        <s v="Kota Surakarta"/>
        <s v="Kota Banda Aceh"/>
        <s v="Kota Pare Pare"/>
        <s v="Kab Sorong"/>
        <s v="Kota Tangerang"/>
        <s v="Watampone"/>
        <s v="Kab Toli Toli"/>
        <s v="Kota Depok"/>
        <s v="Kota Bandar Lampung"/>
        <s v="Kab Aceh Tengah"/>
        <s v="Kota Palopo"/>
        <s v="Kota Mataram"/>
        <s v="Kota Serang"/>
        <s v="Kab Sidenreng Rappang"/>
        <s v="Kab Ogan Komering Ilir"/>
        <s v="Kota Pekanbaru"/>
        <s v="Mamuju"/>
        <s v="Kota Makassar"/>
        <s v="Kab Bojonegoro"/>
        <s v="Kab Badung"/>
        <s v="Kab Hulu Sungai Tengah"/>
        <s v="Kota Tegal"/>
        <s v="Kota Gunungsitoli"/>
        <s v="Kota Pangkal Pinang"/>
        <s v="Kota Madiun"/>
        <s v="Kab Subang"/>
        <s v="Kota Samarinda"/>
        <s v="Kota Pontianak"/>
        <s v="Kab Luwu Timur"/>
        <s v="Kab Morowali"/>
        <s v="Kota Ambon"/>
        <s v="Kab Deli Serdang"/>
        <s v="Kota Jakarta"/>
        <s v="Kab Kolaka"/>
        <s v="Kab Konawe"/>
        <s v="Kab Pandeglang"/>
        <s v="Kab Majene"/>
        <s v="Kota Bima"/>
      </sharedItems>
    </cacheField>
    <cacheField name="Provinsi" numFmtId="164">
      <sharedItems>
        <s v="Sumatera Utara"/>
        <s v="Jawa Barat"/>
        <s v="Kalimantan Barat"/>
        <s v="Sumatera Selatan"/>
        <s v="Jawa Timur"/>
        <s v="Sumatera Barat"/>
        <s v="Kalimantan Tengah"/>
        <s v="Riau"/>
        <s v="Papua"/>
        <s v="Bali"/>
        <s v="Kalimantan Selatan"/>
        <s v="Sulawesi Utara"/>
        <s v="Jawa Tengah"/>
        <s v="Kalimantan Utara"/>
        <s v="Sulawesi Tengah"/>
        <s v="Kalimantan Timur"/>
        <s v="Aceh"/>
        <s v="Nusa Tenggara Timur (NTT)"/>
        <s v="Sulawesi Tenggara"/>
        <s v="Gorontalo"/>
        <s v="Jambi"/>
        <s v="Kepulauan Riau"/>
        <s v="Sulawesi Selatan"/>
        <s v="Bengkulu"/>
        <s v="Banten"/>
        <s v="Nusa Tenggara Barat (NTB)"/>
        <s v="Maluku"/>
        <s v="Lampung"/>
        <s v="Papua Barat Daya"/>
        <s v="Maluku Utara"/>
        <s v="Kepulauan Bangka Belitung"/>
        <s v="D.I. Yogyakarta"/>
        <s v="Sulawesi Barat"/>
        <s v="DKI Jakarta"/>
      </sharedItems>
    </cacheField>
    <cacheField name="Data ID" numFmtId="0">
      <sharedItems>
        <s v="BPS-00622224"/>
        <s v="BPS-04632224"/>
        <s v="BPS-05034124"/>
        <s v="BPS-09332324"/>
        <s v="BPS-02832324"/>
        <s v="BPS-07031224"/>
        <s v="BPS-01623124"/>
        <s v="BPS-09923224"/>
        <s v="BPS-01934224"/>
        <s v="BPS-15033124"/>
        <s v="BPS-14634224"/>
        <s v="BPS-08232224"/>
        <s v="BPS-10421324"/>
        <s v="BPS-11523124"/>
        <s v="BPS-05421324"/>
        <s v="BPS-11123224"/>
        <s v="BPS-11734224"/>
        <s v="BPS-01932324"/>
        <s v="BPS-10722124"/>
        <s v="BPS-00531224"/>
        <s v="BPS-01521324"/>
        <s v="BPS-05621224"/>
        <s v="BPS-14721424"/>
        <s v="BPS-02824224"/>
        <s v="BPS-05733124"/>
        <s v="BPS-04324124"/>
        <s v="BPS-05021224"/>
        <s v="BPS-05632124"/>
        <s v="BPS-08821124"/>
        <s v="BPS-05022124"/>
        <s v="BPS-10532324"/>
        <s v="BPS-10822324"/>
        <s v="BPS-13234124"/>
        <s v="BPS-13432124"/>
        <s v="BPS-10824124"/>
        <s v="BPS-11422124"/>
        <s v="BPS-05524124"/>
        <s v="BPS-06921224"/>
        <s v="BPS-10123124"/>
        <s v="BPS-07032224"/>
        <s v="BPS-02423224"/>
        <s v="BPS-04334124"/>
        <s v="BPS-06522124"/>
        <s v="BPS-04131424"/>
        <s v="BPS-04421424"/>
        <s v="BPS-12131224"/>
        <s v="BPS-10634124"/>
        <s v="BPS-03034124"/>
        <s v="BPS-09023224"/>
        <s v="BPS-07621424"/>
        <s v="BPS-04422124"/>
        <s v="BPS-06033124"/>
        <s v="BPS-01832124"/>
        <s v="BPS-04032224"/>
        <s v="BPS-08424224"/>
        <s v="BPS-01721124"/>
        <s v="BPS-01031424"/>
        <s v="BPS-09721124"/>
        <s v="BPS-13921324"/>
        <s v="BPS-05731324"/>
        <s v="BPS-03221124"/>
        <s v="BPS-05222124"/>
        <s v="BPS-14223224"/>
        <s v="BPS-00222124"/>
        <s v="BPS-05321224"/>
        <s v="BPS-04832324"/>
        <s v="BPS-10121424"/>
        <s v="BPS-10231324"/>
        <s v="BPS-09623224"/>
        <s v="BPS-14022324"/>
        <s v="BPS-11622124"/>
        <s v="BPS-13322124"/>
        <s v="BPS-07132124"/>
        <s v="BPS-14921324"/>
        <s v="BPS-14124124"/>
        <s v="BPS-06421224"/>
        <s v="BPS-11134224"/>
        <s v="BPS-13221224"/>
        <s v="BPS-04421224"/>
        <s v="BPS-02631124"/>
        <s v="BPS-11731424"/>
        <s v="BPS-05323124"/>
        <s v="BPS-04921324"/>
        <s v="BPS-14233224"/>
        <s v="BPS-03634224"/>
        <s v="BPS-09623124"/>
        <s v="BPS-11031424"/>
        <s v="BPS-08724124"/>
        <s v="BPS-12133124"/>
        <s v="BPS-06532224"/>
        <s v="BPS-09231124"/>
        <s v="BPS-00331124"/>
        <s v="BPS-02121124"/>
        <s v="BPS-09431124"/>
        <s v="BPS-07221324"/>
        <s v="BPS-12122224"/>
        <s v="BPS-04934124"/>
        <s v="BPS-07423224"/>
        <s v="BPS-14822124"/>
        <s v="BPS-10832324"/>
        <s v="BPS-06222224"/>
        <s v="BPS-12321224"/>
        <s v="BPS-05321324"/>
        <s v="BPS-01031124"/>
        <s v="BPS-04322324"/>
        <s v="BPS-13732224"/>
        <s v="BPS-04934224"/>
        <s v="BPS-08732124"/>
        <s v="BPS-07121324"/>
        <s v="BPS-01231424"/>
        <s v="BPS-06622224"/>
        <s v="BPS-08422224"/>
        <s v="BPS-02931224"/>
        <s v="BPS-02231224"/>
        <s v="BPS-07824124"/>
        <s v="BPS-07422224"/>
        <s v="BPS-01121324"/>
        <s v="BPS-03534224"/>
        <s v="BPS-04133224"/>
        <s v="BPS-12321124"/>
        <s v="BPS-07223124"/>
        <s v="BPS-02331124"/>
        <s v="BPS-03622124"/>
        <s v="BPS-08322324"/>
        <s v="BPS-01621324"/>
        <s v="BPS-11323124"/>
        <s v="BPS-07131424"/>
        <s v="BPS-13334224"/>
        <s v="BPS-12031324"/>
        <s v="BPS-14034124"/>
        <s v="BPS-06822324"/>
        <s v="BPS-09132224"/>
        <s v="BPS-06532324"/>
        <s v="BPS-02132324"/>
        <s v="BPS-09131124"/>
        <s v="BPS-10822224"/>
        <s v="BPS-09033224"/>
        <s v="BPS-05832324"/>
        <s v="BPS-08931424"/>
        <s v="BPS-11321324"/>
        <s v="BPS-06332324"/>
        <s v="BPS-08231424"/>
        <s v="BPS-02732224"/>
        <s v="BPS-02222224"/>
        <s v="BPS-11221224"/>
        <s v="BPS-04332224"/>
        <s v="BPS-03523124"/>
        <s v="BPS-14421324"/>
        <s v="BPS-05334224"/>
        <s v="BPS-00732124"/>
        <s v="BPS-14432124"/>
        <s v="BPS-05231424"/>
        <s v="BPS-01921124"/>
        <s v="BPS-02732124"/>
        <s v="BPS-03432224"/>
        <s v="BPS-04724224"/>
        <s v="BPS-04733224"/>
        <s v="BPS-06023224"/>
        <s v="BPS-14031424"/>
        <s v="BPS-11431124"/>
        <s v="BPS-01924224"/>
        <s v="BPS-05221124"/>
        <s v="BPS-09832224"/>
        <s v="BPS-11522224"/>
        <s v="BPS-08232124"/>
        <s v="BPS-01832224"/>
        <s v="BPS-07421124"/>
        <s v="BPS-11434224"/>
        <s v="BPS-12331424"/>
        <s v="BPS-11623224"/>
        <s v="BPS-10232124"/>
        <s v="BPS-02431224"/>
        <s v="BPS-01021224"/>
        <s v="BPS-07832324"/>
        <s v="BPS-14532124"/>
        <s v="BPS-10023124"/>
        <s v="BPS-05334124"/>
        <s v="BPS-08033124"/>
        <s v="BPS-03721324"/>
        <s v="BPS-00524124"/>
        <s v="BPS-01432124"/>
        <s v="BPS-03621224"/>
        <s v="BPS-00921324"/>
        <s v="BPS-03931224"/>
        <s v="BPS-03022124"/>
        <s v="BPS-00923124"/>
        <s v="BPS-13421424"/>
        <s v="BPS-03722124"/>
        <s v="BPS-03122324"/>
        <s v="BPS-13124124"/>
        <s v="BPS-07421424"/>
        <s v="BPS-14831424"/>
        <s v="BPS-05932224"/>
        <s v="BPS-00422224"/>
        <s v="BPS-13322324"/>
        <s v="BPS-07233124"/>
        <s v="BPS-07234224"/>
        <s v="BPS-08922124"/>
        <s v="BPS-12731124"/>
        <s v="BPS-03031224"/>
        <s v="BPS-03133224"/>
        <s v="BPS-11732324"/>
        <s v="BPS-05522224"/>
        <s v="BPS-11422224"/>
        <s v="BPS-02124224"/>
        <s v="BPS-10033224"/>
        <s v="BPS-01821224"/>
        <s v="BPS-14323224"/>
        <s v="BPS-07734224"/>
        <s v="BPS-08734124"/>
        <s v="BPS-09633124"/>
        <s v="BPS-11321224"/>
        <s v="BPS-03721224"/>
        <s v="BPS-05731424"/>
        <s v="BPS-09221124"/>
        <s v="BPS-04334224"/>
        <s v="BPS-13133124"/>
        <s v="BPS-12224124"/>
        <s v="BPS-01622124"/>
        <s v="BPS-11921224"/>
        <s v="BPS-07122224"/>
        <s v="BPS-05124124"/>
        <s v="BPS-09931124"/>
        <s v="BPS-07621324"/>
        <s v="BPS-03932224"/>
        <s v="BPS-00232124"/>
        <s v="BPS-05433124"/>
        <s v="BPS-06523224"/>
        <s v="BPS-03332324"/>
        <s v="BPS-02224124"/>
        <s v="BPS-13122224"/>
        <s v="BPS-08824124"/>
        <s v="BPS-03734224"/>
        <s v="BPS-06322224"/>
        <s v="BPS-05232324"/>
        <s v="BPS-08232324"/>
        <s v="BPS-03421224"/>
        <s v="BPS-14132324"/>
        <s v="BPS-14733124"/>
        <s v="BPS-00123124"/>
        <s v="BPS-12824124"/>
        <s v="BPS-08521324"/>
        <s v="BPS-09232124"/>
        <s v="BPS-08434224"/>
        <s v="BPS-04121224"/>
        <s v="BPS-07922124"/>
        <s v="BPS-08023124"/>
        <s v="BPS-08421424"/>
        <s v="BPS-05833124"/>
        <s v="BPS-09733124"/>
        <s v="BPS-12433224"/>
        <s v="BPS-01031324"/>
        <s v="BPS-02532224"/>
        <s v="BPS-02624124"/>
        <s v="BPS-02322224"/>
        <s v="BPS-05421224"/>
        <s v="BPS-04131324"/>
        <s v="BPS-08333224"/>
        <s v="BPS-00232224"/>
        <s v="BPS-02032224"/>
        <s v="BPS-07424124"/>
        <s v="BPS-08532124"/>
        <s v="BPS-02931124"/>
        <s v="BPS-00134124"/>
        <s v="BPS-10631324"/>
        <s v="BPS-06424224"/>
        <s v="BPS-03922124"/>
        <s v="BPS-02131224"/>
        <s v="BPS-11421124"/>
        <s v="BPS-13332324"/>
        <s v="BPS-04022224"/>
        <s v="BPS-04723124"/>
        <s v="BPS-14731224"/>
        <s v="BPS-13431324"/>
        <s v="BPS-14521424"/>
        <s v="BPS-09031324"/>
        <s v="BPS-06922224"/>
        <s v="BPS-13632324"/>
        <s v="BPS-01024124"/>
        <s v="BPS-05224224"/>
        <s v="BPS-03521224"/>
        <s v="BPS-04831224"/>
        <s v="BPS-03223124"/>
        <s v="BPS-12622324"/>
        <s v="BPS-06534124"/>
        <s v="BPS-04932324"/>
        <s v="BPS-03124124"/>
        <s v="BPS-12024124"/>
        <s v="BPS-03131224"/>
        <s v="BPS-07033124"/>
        <s v="BPS-06233224"/>
        <s v="BPS-06724224"/>
        <s v="BPS-05131424"/>
        <s v="BPS-08234124"/>
        <s v="BPS-02631424"/>
        <s v="BPS-08431424"/>
        <s v="BPS-02033224"/>
        <s v="BPS-14722324"/>
        <s v="BPS-13922224"/>
        <s v="BPS-13134224"/>
        <s v="BPS-01131124"/>
        <s v="BPS-02722224"/>
        <s v="BPS-08123124"/>
        <s v="BPS-11721424"/>
        <s v="BPS-08723124"/>
        <s v="BPS-10321424"/>
        <s v="BPS-09632124"/>
        <s v="BPS-06121324"/>
        <s v="BPS-09821424"/>
        <s v="BPS-13131424"/>
        <s v="BPS-01934124"/>
        <s v="BPS-06321324"/>
        <s v="BPS-01331224"/>
        <s v="BPS-14233124"/>
        <s v="BPS-02034124"/>
        <s v="BPS-00433124"/>
        <s v="BPS-12623124"/>
        <s v="BPS-12222324"/>
        <s v="BPS-02024224"/>
        <s v="BPS-01534224"/>
        <s v="BPS-05933124"/>
        <s v="BPS-13333124"/>
        <s v="BPS-06232324"/>
        <s v="BPS-09634224"/>
        <s v="BPS-01523124"/>
        <s v="BPS-11334124"/>
        <s v="BPS-07232124"/>
        <s v="BPS-07123224"/>
        <s v="BPS-12432324"/>
        <s v="BPS-12722224"/>
        <s v="BPS-02231424"/>
        <s v="BPS-11531424"/>
        <s v="BPS-09834124"/>
        <s v="BPS-03832324"/>
        <s v="BPS-07323224"/>
        <s v="BPS-02121324"/>
        <s v="BPS-14922224"/>
        <s v="BPS-07231424"/>
        <s v="BPS-06621424"/>
        <s v="BPS-10122224"/>
        <s v="BPS-02324224"/>
        <s v="BPS-08131324"/>
        <s v="BPS-12232224"/>
        <s v="BPS-01323224"/>
        <s v="BPS-03734124"/>
        <s v="BPS-06732224"/>
        <s v="BPS-08134124"/>
        <s v="BPS-13121124"/>
        <s v="BPS-08931224"/>
        <s v="BPS-06733124"/>
        <s v="BPS-12732324"/>
        <s v="BPS-15024224"/>
        <s v="BPS-07721324"/>
        <s v="BPS-09122124"/>
        <s v="BPS-13732124"/>
        <s v="BPS-11722324"/>
        <s v="BPS-03522124"/>
        <s v="BPS-11124224"/>
        <s v="BPS-01621124"/>
        <s v="BPS-07333224"/>
        <s v="BPS-03322224"/>
        <s v="BPS-12034124"/>
        <s v="BPS-03324124"/>
        <s v="BPS-14131224"/>
        <s v="BPS-07323124"/>
        <s v="BPS-03224224"/>
        <s v="BPS-00931424"/>
        <s v="BPS-11721324"/>
        <s v="BPS-02033124"/>
        <s v="BPS-11922324"/>
        <s v="BPS-10032224"/>
        <s v="BPS-11521324"/>
        <s v="BPS-08333124"/>
        <s v="BPS-05133224"/>
        <s v="BPS-13322224"/>
        <s v="BPS-04532324"/>
        <s v="BPS-05531124"/>
        <s v="BPS-15031224"/>
        <s v="BPS-11432324"/>
        <s v="BPS-10823124"/>
        <s v="BPS-05333224"/>
        <s v="BPS-06821224"/>
        <s v="BPS-10924124"/>
        <s v="BPS-04523124"/>
        <s v="BPS-10722324"/>
        <s v="BPS-14324124"/>
        <s v="BPS-13221324"/>
        <s v="BPS-05132324"/>
        <s v="BPS-13222324"/>
        <s v="BPS-09521224"/>
        <s v="BPS-01821424"/>
        <s v="BPS-14222224"/>
        <s v="BPS-05632324"/>
        <s v="BPS-07833224"/>
        <s v="BPS-08733224"/>
        <s v="BPS-04331124"/>
        <s v="BPS-07231124"/>
        <s v="BPS-13633224"/>
        <s v="BPS-02921424"/>
        <s v="BPS-10932124"/>
        <s v="BPS-01331124"/>
        <s v="BPS-14232124"/>
        <s v="BPS-10123224"/>
        <s v="BPS-12522124"/>
        <s v="BPS-12331224"/>
        <s v="BPS-09223124"/>
        <s v="BPS-11832224"/>
        <s v="BPS-07223224"/>
        <s v="BPS-08531424"/>
        <s v="BPS-14531324"/>
        <s v="BPS-11121424"/>
        <s v="BPS-05423124"/>
        <s v="BPS-03531224"/>
        <s v="BPS-03822224"/>
        <s v="BPS-08022124"/>
        <s v="BPS-10731124"/>
        <s v="BPS-14031324"/>
        <s v="BPS-09221424"/>
        <s v="BPS-03421424"/>
        <s v="BPS-10521124"/>
        <s v="BPS-07131124"/>
        <s v="BPS-10821224"/>
        <s v="BPS-00134224"/>
        <s v="BPS-14621324"/>
        <s v="BPS-03724124"/>
        <s v="BPS-10834124"/>
        <s v="BPS-09431224"/>
        <s v="BPS-08033224"/>
        <s v="BPS-03032124"/>
        <s v="BPS-06833224"/>
        <s v="BPS-14431324"/>
        <s v="BPS-14021324"/>
        <s v="BPS-08424124"/>
        <s v="BPS-07731124"/>
        <s v="BPS-06921324"/>
        <s v="BPS-13624224"/>
        <s v="BPS-01231224"/>
        <s v="BPS-00631424"/>
        <s v="BPS-12823224"/>
        <s v="BPS-07132324"/>
        <s v="BPS-11021424"/>
        <s v="BPS-14922324"/>
        <s v="BPS-08122324"/>
        <s v="BPS-04032124"/>
        <s v="BPS-05934124"/>
        <s v="BPS-03433124"/>
        <s v="BPS-02131324"/>
        <s v="BPS-14534224"/>
        <s v="BPS-13233124"/>
        <s v="BPS-09521324"/>
        <s v="BPS-06421424"/>
        <s v="BPS-03034224"/>
        <s v="BPS-05923224"/>
        <s v="BPS-13324224"/>
        <s v="BPS-10632224"/>
        <s v="BPS-02932124"/>
        <s v="BPS-06022124"/>
        <s v="BPS-06723124"/>
        <s v="BPS-04732124"/>
        <s v="BPS-03421124"/>
        <s v="BPS-03622324"/>
        <s v="BPS-00423124"/>
        <s v="BPS-11223224"/>
        <s v="BPS-01132324"/>
        <s v="BPS-11621324"/>
        <s v="BPS-05633224"/>
        <s v="BPS-11631324"/>
        <s v="BPS-05433224"/>
        <s v="BPS-03931324"/>
        <s v="BPS-13822224"/>
        <s v="BPS-10534124"/>
        <s v="BPS-01624124"/>
        <s v="BPS-10621424"/>
        <s v="BPS-04321124"/>
        <s v="BPS-09924124"/>
        <s v="BPS-07632124"/>
        <s v="BPS-05532324"/>
        <s v="BPS-07431324"/>
        <s v="BPS-07331124"/>
        <s v="BPS-02021324"/>
        <s v="BPS-03524224"/>
        <s v="BPS-14821124"/>
        <s v="BPS-02721424"/>
        <s v="BPS-00821124"/>
        <s v="BPS-02134124"/>
        <s v="BPS-02731324"/>
        <s v="BPS-01734124"/>
        <s v="BPS-04222224"/>
        <s v="BPS-05324224"/>
        <s v="BPS-02224224"/>
        <s v="BPS-10922224"/>
        <s v="BPS-08034224"/>
        <s v="BPS-06731124"/>
        <s v="BPS-07733124"/>
        <s v="BPS-02832124"/>
        <s v="BPS-13023124"/>
        <s v="BPS-02221124"/>
        <s v="BPS-04624124"/>
        <s v="BPS-01831124"/>
        <s v="BPS-01731424"/>
        <s v="BPS-13221124"/>
        <s v="BPS-06521424"/>
        <s v="BPS-10321224"/>
        <s v="BPS-06924124"/>
        <s v="BPS-02621224"/>
        <s v="BPS-03831224"/>
        <s v="BPS-01924124"/>
        <s v="BPS-12323224"/>
        <s v="BPS-08031224"/>
        <s v="BPS-14424224"/>
        <s v="BPS-04733124"/>
        <s v="BPS-12121124"/>
        <s v="BPS-02731424"/>
        <s v="BPS-02031124"/>
        <s v="BPS-06721224"/>
        <s v="BPS-08321224"/>
        <s v="BPS-14834124"/>
        <s v="BPS-09024224"/>
        <s v="BPS-07631224"/>
        <s v="BPS-08221324"/>
        <s v="BPS-08132324"/>
        <s v="BPS-03021224"/>
        <s v="BPS-00231424"/>
        <s v="BPS-02233224"/>
        <s v="BPS-00424224"/>
        <s v="BPS-12922124"/>
        <s v="BPS-11232324"/>
        <s v="BPS-12333124"/>
        <s v="BPS-06733224"/>
        <s v="BPS-00224124"/>
        <s v="BPS-06531124"/>
        <s v="BPS-11932224"/>
        <s v="BPS-11531324"/>
        <s v="BPS-13323224"/>
        <s v="BPS-00831224"/>
        <s v="BPS-07321124"/>
        <s v="BPS-04521324"/>
        <s v="BPS-07931324"/>
        <s v="BPS-05431124"/>
        <s v="BPS-03131124"/>
        <s v="BPS-11431424"/>
        <s v="BPS-10331324"/>
        <s v="BPS-07631124"/>
        <s v="BPS-01831324"/>
        <s v="BPS-12521224"/>
        <s v="BPS-10922324"/>
        <s v="BPS-04734124"/>
        <s v="BPS-07723224"/>
        <s v="BPS-07132224"/>
        <s v="BPS-07532324"/>
        <s v="BPS-09022224"/>
        <s v="BPS-01431224"/>
        <s v="BPS-05831324"/>
        <s v="BPS-12231424"/>
        <s v="BPS-11724224"/>
        <s v="BPS-14334224"/>
        <s v="BPS-00633124"/>
        <s v="BPS-12831324"/>
        <s v="BPS-14523124"/>
        <s v="BPS-03934224"/>
        <s v="BPS-08223224"/>
        <s v="BPS-08322124"/>
        <s v="BPS-07821324"/>
        <s v="BPS-09732224"/>
        <s v="BPS-04431224"/>
        <s v="BPS-10733124"/>
        <s v="BPS-13121324"/>
        <s v="BPS-00722324"/>
        <s v="BPS-02934224"/>
        <s v="BPS-06232224"/>
        <s v="BPS-10731224"/>
        <s v="BPS-02921124"/>
        <s v="BPS-14923124"/>
        <s v="BPS-07421224"/>
        <s v="BPS-07423124"/>
        <s v="BPS-09133124"/>
        <s v="BPS-07522224"/>
        <s v="BPS-03232124"/>
        <s v="BPS-11831424"/>
        <s v="BPS-10823224"/>
        <s v="BPS-06133224"/>
        <s v="BPS-00231224"/>
        <s v="BPS-02524224"/>
        <s v="BPS-11733224"/>
        <s v="BPS-10321124"/>
        <s v="BPS-02921224"/>
        <s v="BPS-12122124"/>
        <s v="BPS-12731424"/>
        <s v="BPS-05332324"/>
        <s v="BPS-13531424"/>
        <s v="BPS-04721424"/>
        <s v="BPS-11321424"/>
        <s v="BPS-06021124"/>
        <s v="BPS-13031224"/>
        <s v="BPS-05221324"/>
        <s v="BPS-02423124"/>
        <s v="BPS-05931324"/>
        <s v="BPS-06831424"/>
        <s v="BPS-13232124"/>
        <s v="BPS-01232224"/>
        <s v="BPS-05531324"/>
        <s v="BPS-04821224"/>
        <s v="BPS-04834224"/>
        <s v="BPS-08731224"/>
        <s v="BPS-07034124"/>
        <s v="BPS-06332224"/>
        <s v="BPS-07634124"/>
        <s v="BPS-06221424"/>
        <s v="BPS-06422224"/>
        <s v="BPS-05521224"/>
        <s v="BPS-05724224"/>
        <s v="BPS-12432224"/>
        <s v="BPS-03032324"/>
        <s v="BPS-03321324"/>
        <s v="BPS-10734124"/>
        <s v="BPS-08721424"/>
        <s v="BPS-13721224"/>
        <s v="BPS-13531124"/>
        <s v="BPS-05022324"/>
        <s v="BPS-06833124"/>
        <s v="BPS-04731324"/>
        <s v="BPS-11133224"/>
        <s v="BPS-05032224"/>
        <s v="BPS-01932124"/>
        <s v="BPS-09421124"/>
        <s v="BPS-07933124"/>
        <s v="BPS-13232324"/>
        <s v="BPS-07431424"/>
        <s v="BPS-10332224"/>
        <s v="BPS-13522124"/>
        <s v="BPS-09731324"/>
        <s v="BPS-01332124"/>
        <s v="BPS-12932324"/>
        <s v="BPS-09334124"/>
        <s v="BPS-03822124"/>
        <s v="BPS-05522324"/>
        <s v="BPS-02531124"/>
        <s v="BPS-12331124"/>
        <s v="BPS-14833124"/>
        <s v="BPS-13623224"/>
        <s v="BPS-10133124"/>
        <s v="BPS-02422124"/>
        <s v="BPS-10831324"/>
        <s v="BPS-04721124"/>
        <s v="BPS-06633224"/>
        <s v="BPS-10624124"/>
        <s v="BPS-03932324"/>
        <s v="BPS-07834124"/>
        <s v="BPS-06022324"/>
        <s v="BPS-10633224"/>
        <s v="BPS-09821324"/>
        <s v="BPS-00621124"/>
        <s v="BPS-03724224"/>
        <s v="BPS-12921224"/>
        <s v="BPS-02121224"/>
        <s v="BPS-11631224"/>
        <s v="BPS-10424224"/>
        <s v="BPS-03431124"/>
        <s v="BPS-02031224"/>
        <s v="BPS-07122324"/>
        <s v="BPS-09632224"/>
        <s v="BPS-07821224"/>
        <s v="BPS-10734224"/>
        <s v="BPS-09534124"/>
        <s v="BPS-11934224"/>
        <s v="BPS-01032224"/>
        <s v="BPS-14831224"/>
        <s v="BPS-07534224"/>
        <s v="BPS-00131324"/>
        <s v="BPS-11922224"/>
        <s v="BPS-05831224"/>
        <s v="BPS-06622324"/>
        <s v="BPS-11033224"/>
        <s v="BPS-08324224"/>
        <s v="BPS-11323224"/>
        <s v="BPS-13634124"/>
        <s v="BPS-12522324"/>
        <s v="BPS-13831124"/>
        <s v="BPS-13731124"/>
        <s v="BPS-08823224"/>
        <s v="BPS-03631424"/>
        <s v="BPS-06022224"/>
        <s v="BPS-13824124"/>
        <s v="BPS-03434224"/>
        <s v="BPS-08323224"/>
        <s v="BPS-07933224"/>
        <s v="BPS-14933124"/>
        <s v="BPS-07431224"/>
        <s v="BPS-00424124"/>
        <s v="BPS-09624124"/>
        <s v="BPS-00631224"/>
        <s v="BPS-12731224"/>
        <s v="BPS-03624124"/>
        <s v="BPS-04634224"/>
        <s v="BPS-12833224"/>
        <s v="BPS-13434124"/>
        <s v="BPS-08833124"/>
        <s v="BPS-02234224"/>
        <s v="BPS-12124224"/>
        <s v="BPS-09724124"/>
        <s v="BPS-12432124"/>
        <s v="BPS-05624224"/>
        <s v="BPS-12921324"/>
        <s v="BPS-06832124"/>
        <s v="BPS-12234224"/>
        <s v="BPS-10631224"/>
        <s v="BPS-14131124"/>
        <s v="BPS-01721424"/>
        <s v="BPS-03523224"/>
        <s v="BPS-14022224"/>
        <s v="BPS-02633224"/>
        <s v="BPS-00531424"/>
        <s v="BPS-12232124"/>
        <s v="BPS-08531124"/>
        <s v="BPS-08522324"/>
        <s v="BPS-13534224"/>
        <s v="BPS-07522324"/>
        <s v="BPS-12931124"/>
        <s v="BPS-14624224"/>
        <s v="BPS-06522224"/>
        <s v="BPS-03521124"/>
        <s v="BPS-09931224"/>
        <s v="BPS-08121124"/>
        <s v="BPS-06732124"/>
        <s v="BPS-05721224"/>
        <s v="BPS-00124224"/>
        <s v="BPS-05421124"/>
        <s v="BPS-01531424"/>
        <s v="BPS-06634124"/>
        <s v="BPS-01931324"/>
        <s v="BPS-10024124"/>
        <s v="BPS-05832124"/>
        <s v="BPS-14331224"/>
        <s v="BPS-14821224"/>
        <s v="BPS-06431324"/>
        <s v="BPS-12332124"/>
        <s v="BPS-12324224"/>
        <s v="BPS-02531424"/>
        <s v="BPS-07422324"/>
        <s v="BPS-09221324"/>
        <s v="BPS-02834224"/>
        <s v="BPS-01131324"/>
        <s v="BPS-06033224"/>
        <s v="BPS-12531424"/>
        <s v="BPS-01332224"/>
        <s v="BPS-12531324"/>
        <s v="BPS-13631124"/>
        <s v="BPS-06722124"/>
        <s v="BPS-08821324"/>
        <s v="BPS-10533224"/>
        <s v="BPS-02521424"/>
        <s v="BPS-14322224"/>
        <s v="BPS-05021124"/>
        <s v="BPS-00321424"/>
        <s v="BPS-00923224"/>
        <s v="BPS-08722324"/>
        <s v="BPS-10622324"/>
        <s v="BPS-02821324"/>
        <s v="BPS-04121124"/>
        <s v="BPS-12434224"/>
        <s v="BPS-09921324"/>
        <s v="BPS-04522124"/>
        <s v="BPS-14521124"/>
        <s v="BPS-04832124"/>
        <s v="BPS-14122224"/>
        <s v="BPS-06131324"/>
        <s v="BPS-06731324"/>
        <s v="BPS-12531224"/>
        <s v="BPS-14321324"/>
        <s v="BPS-11031324"/>
        <s v="BPS-06831324"/>
        <s v="BPS-04621324"/>
        <s v="BPS-11032124"/>
        <s v="BPS-09431324"/>
        <s v="BPS-00521224"/>
        <s v="BPS-02434124"/>
        <s v="BPS-13332224"/>
        <s v="BPS-13333224"/>
        <s v="BPS-01022124"/>
        <s v="BPS-14631224"/>
        <s v="BPS-06632324"/>
        <s v="BPS-02533124"/>
        <s v="BPS-01633124"/>
        <s v="BPS-10932324"/>
        <s v="BPS-09422224"/>
        <s v="BPS-01931424"/>
        <s v="BPS-01021124"/>
        <s v="BPS-01123124"/>
        <s v="BPS-05722224"/>
        <s v="BPS-01734224"/>
        <s v="BPS-06132224"/>
        <s v="BPS-03521324"/>
        <s v="BPS-00821324"/>
        <s v="BPS-08731324"/>
        <s v="BPS-10521424"/>
        <s v="BPS-02431324"/>
        <s v="BPS-08521124"/>
        <s v="BPS-04221424"/>
        <s v="BPS-14724124"/>
        <s v="BPS-02823224"/>
        <s v="BPS-11024124"/>
        <s v="BPS-03731224"/>
        <s v="BPS-08931324"/>
        <s v="BPS-03231424"/>
        <s v="BPS-05932124"/>
        <s v="BPS-02331324"/>
        <s v="BPS-00832124"/>
        <s v="BPS-10723224"/>
        <s v="BPS-02421324"/>
        <s v="BPS-03132324"/>
        <s v="BPS-05523224"/>
        <s v="BPS-11224124"/>
        <s v="BPS-01423224"/>
        <s v="BPS-13131224"/>
        <s v="BPS-07021324"/>
        <s v="BPS-08021124"/>
        <s v="BPS-06131424"/>
        <s v="BPS-10834224"/>
        <s v="BPS-14532224"/>
        <s v="BPS-02724224"/>
        <s v="BPS-12834224"/>
        <s v="BPS-07321324"/>
        <s v="BPS-05621124"/>
        <s v="BPS-02632124"/>
        <s v="BPS-01424224"/>
        <s v="BPS-14833224"/>
        <s v="BPS-12534124"/>
        <s v="BPS-12732124"/>
        <s v="BPS-07822324"/>
        <s v="BPS-04033224"/>
        <s v="BPS-04533224"/>
        <s v="BPS-03921124"/>
        <s v="BPS-00132224"/>
        <s v="BPS-03631124"/>
        <s v="BPS-13924124"/>
        <s v="BPS-03122224"/>
        <s v="BPS-09932124"/>
        <s v="BPS-07432224"/>
        <s v="BPS-00922224"/>
        <s v="BPS-08621324"/>
        <s v="BPS-08923124"/>
        <s v="BPS-02521324"/>
        <s v="BPS-00331424"/>
        <s v="BPS-10621324"/>
        <s v="BPS-02321424"/>
        <s v="BPS-08621224"/>
        <s v="BPS-02323124"/>
        <s v="BPS-05921424"/>
        <s v="BPS-04924124"/>
        <s v="BPS-08233124"/>
        <s v="BPS-07331224"/>
        <s v="BPS-10124224"/>
        <s v="BPS-06331424"/>
        <s v="BPS-03423224"/>
        <s v="BPS-01921424"/>
        <s v="BPS-07221224"/>
        <s v="BPS-05834224"/>
        <s v="BPS-05133124"/>
        <s v="BPS-06934124"/>
        <s v="BPS-12833124"/>
        <s v="BPS-12721124"/>
        <s v="BPS-00332324"/>
        <s v="BPS-03423124"/>
        <s v="BPS-04724124"/>
        <s v="BPS-08131424"/>
        <s v="BPS-03234224"/>
        <s v="BPS-11923124"/>
        <s v="BPS-06231224"/>
        <s v="BPS-01222324"/>
        <s v="BPS-10221424"/>
        <s v="BPS-00322124"/>
        <s v="BPS-11133124"/>
        <s v="BPS-00821424"/>
        <s v="BPS-10524224"/>
        <s v="BPS-11324224"/>
        <s v="BPS-08421324"/>
        <s v="BPS-05921124"/>
        <s v="BPS-04031324"/>
        <s v="BPS-04722324"/>
        <s v="BPS-10423124"/>
        <s v="BPS-07023224"/>
        <s v="BPS-14021224"/>
        <s v="BPS-10921324"/>
        <s v="BPS-04931424"/>
        <s v="BPS-11432224"/>
        <s v="BPS-10131124"/>
        <s v="BPS-11733124"/>
        <s v="BPS-00423224"/>
        <s v="BPS-13321324"/>
        <s v="BPS-05233224"/>
        <s v="BPS-00131124"/>
        <s v="BPS-08921424"/>
        <s v="BPS-13331324"/>
        <s v="BPS-02622224"/>
        <s v="BPS-07233224"/>
        <s v="BPS-10234224"/>
        <s v="BPS-10724124"/>
        <s v="BPS-12733224"/>
        <s v="BPS-08131124"/>
        <s v="BPS-03821124"/>
        <s v="BPS-05631424"/>
        <s v="BPS-08231224"/>
        <s v="BPS-11633124"/>
        <s v="BPS-06832324"/>
        <s v="BPS-11634124"/>
        <s v="BPS-01922324"/>
        <s v="BPS-06434124"/>
        <s v="BPS-11532124"/>
        <s v="BPS-11121324"/>
        <s v="BPS-14033224"/>
        <s v="BPS-04021424"/>
        <s v="BPS-12031424"/>
        <s v="BPS-01321224"/>
        <s v="BPS-07221424"/>
        <s v="BPS-09933224"/>
        <s v="BPS-11521424"/>
        <s v="BPS-11334224"/>
        <s v="BPS-06423124"/>
        <s v="BPS-10622224"/>
        <s v="BPS-14932324"/>
        <s v="BPS-08323124"/>
        <s v="BPS-08032224"/>
        <s v="BPS-11621124"/>
        <s v="BPS-09423124"/>
        <s v="BPS-05322224"/>
        <s v="BPS-10024224"/>
        <s v="BPS-05631224"/>
        <s v="BPS-05223224"/>
        <s v="BPS-02821224"/>
        <s v="BPS-09621324"/>
        <s v="BPS-04232224"/>
        <s v="BPS-13331124"/>
        <s v="BPS-05123224"/>
        <s v="BPS-13123124"/>
        <s v="BPS-13823124"/>
        <s v="BPS-02022124"/>
        <s v="BPS-06531224"/>
        <s v="BPS-06021424"/>
        <s v="BPS-10233224"/>
        <s v="BPS-08721124"/>
        <s v="BPS-14331424"/>
        <s v="BPS-06724124"/>
        <s v="BPS-13434224"/>
        <s v="BPS-10821424"/>
        <s v="BPS-12022124"/>
        <s v="BPS-09824124"/>
        <s v="BPS-01032324"/>
        <s v="BPS-12521424"/>
        <s v="BPS-00422324"/>
        <s v="BPS-13831424"/>
        <s v="BPS-03331224"/>
        <s v="BPS-00733224"/>
        <s v="BPS-12823124"/>
        <s v="BPS-10221324"/>
        <s v="BPS-09921424"/>
        <s v="BPS-01324124"/>
        <s v="BPS-08223124"/>
        <s v="BPS-02734224"/>
        <s v="BPS-03321224"/>
        <s v="BPS-12831424"/>
        <s v="BPS-12733124"/>
        <s v="BPS-14123124"/>
        <s v="BPS-07131224"/>
        <s v="BPS-12824224"/>
        <s v="BPS-05132224"/>
        <s v="BPS-12622124"/>
        <s v="BPS-02522224"/>
        <s v="BPS-07324224"/>
        <s v="BPS-11923224"/>
        <s v="BPS-12132224"/>
        <s v="BPS-04422224"/>
        <s v="BPS-03731424"/>
        <s v="BPS-00523124"/>
        <s v="BPS-13521424"/>
        <s v="BPS-06933124"/>
        <s v="BPS-11322224"/>
        <s v="BPS-02232124"/>
        <s v="BPS-00323224"/>
        <s v="BPS-05534124"/>
        <s v="BPS-12524224"/>
        <s v="BPS-01024224"/>
        <s v="BPS-06034124"/>
        <s v="BPS-00632224"/>
        <s v="BPS-00924224"/>
        <s v="BPS-13132124"/>
        <s v="BPS-14424124"/>
        <s v="BPS-14923224"/>
        <s v="BPS-14432324"/>
        <s v="BPS-03121124"/>
        <s v="BPS-02122224"/>
        <s v="BPS-12231324"/>
        <s v="BPS-12621324"/>
        <s v="BPS-00523224"/>
        <s v="BPS-04234124"/>
        <s v="BPS-13722224"/>
        <s v="BPS-11032324"/>
        <s v="BPS-00231124"/>
        <s v="BPS-14824224"/>
        <s v="BPS-02234124"/>
        <s v="BPS-09131324"/>
        <s v="BPS-13223124"/>
        <s v="BPS-07622124"/>
        <s v="BPS-00223124"/>
        <s v="BPS-04621424"/>
        <s v="BPS-02821424"/>
        <s v="BPS-14832324"/>
        <s v="BPS-00421124"/>
        <s v="BPS-02621124"/>
        <s v="BPS-05034224"/>
        <s v="BPS-13131124"/>
        <s v="BPS-09722324"/>
        <s v="BPS-05331124"/>
        <s v="BPS-02722324"/>
        <s v="BPS-05122124"/>
        <s v="BPS-06032324"/>
        <s v="BPS-03121424"/>
        <s v="BPS-07623124"/>
        <s v="BPS-04521424"/>
        <s v="BPS-09223224"/>
        <s v="BPS-05023124"/>
        <s v="BPS-13821424"/>
        <s v="BPS-09622224"/>
        <s v="BPS-10221224"/>
        <s v="BPS-03133124"/>
        <s v="BPS-00432224"/>
        <s v="BPS-07124124"/>
        <s v="BPS-07831324"/>
        <s v="BPS-08222124"/>
        <s v="BPS-08031324"/>
        <s v="BPS-00131424"/>
        <s v="BPS-01034124"/>
        <s v="BPS-00333124"/>
        <s v="BPS-12822124"/>
        <s v="BPS-04623224"/>
        <s v="BPS-04522324"/>
        <s v="BPS-12624224"/>
        <s v="BPS-05634124"/>
        <s v="BPS-08321124"/>
        <s v="BPS-03733124"/>
        <s v="BPS-00932324"/>
        <s v="BPS-11821224"/>
        <s v="BPS-05833224"/>
        <s v="BPS-05634224"/>
        <s v="BPS-13423124"/>
        <s v="BPS-13721124"/>
        <s v="BPS-08522124"/>
        <s v="BPS-04134224"/>
        <s v="BPS-06531324"/>
        <s v="BPS-12032224"/>
        <s v="BPS-03831424"/>
        <s v="BPS-07421324"/>
        <s v="BPS-05831124"/>
        <s v="BPS-02421224"/>
        <s v="BPS-02832224"/>
        <s v="BPS-02021224"/>
        <s v="BPS-09722124"/>
        <s v="BPS-00722124"/>
        <s v="BPS-02822124"/>
        <s v="BPS-04631324"/>
        <s v="BPS-13821124"/>
        <s v="BPS-05422324"/>
        <s v="BPS-06821424"/>
        <s v="BPS-02623124"/>
        <s v="BPS-10031224"/>
        <s v="BPS-06924224"/>
        <s v="BPS-02722124"/>
        <s v="BPS-03622224"/>
        <s v="BPS-04434224"/>
        <s v="BPS-13632224"/>
        <s v="BPS-03521424"/>
        <s v="BPS-06921424"/>
        <s v="BPS-04821124"/>
        <s v="BPS-14232324"/>
        <s v="BPS-10534224"/>
        <s v="BPS-00431224"/>
        <s v="BPS-02322324"/>
        <s v="BPS-11231124"/>
        <s v="BPS-06023124"/>
        <s v="BPS-08221424"/>
        <s v="BPS-12134124"/>
        <s v="BPS-08433124"/>
        <s v="BPS-01432224"/>
        <s v="BPS-01422324"/>
        <s v="BPS-01334124"/>
        <s v="BPS-05821324"/>
        <s v="BPS-12534224"/>
        <s v="BPS-07823224"/>
        <s v="BPS-13324124"/>
        <s v="BPS-00624224"/>
        <s v="BPS-10621224"/>
        <s v="BPS-06122324"/>
        <s v="BPS-05134124"/>
        <s v="BPS-01621424"/>
        <s v="BPS-00921124"/>
        <s v="BPS-04032324"/>
        <s v="BPS-05622224"/>
        <s v="BPS-06031324"/>
        <s v="BPS-06823124"/>
        <s v="BPS-00321224"/>
        <s v="BPS-07431124"/>
        <s v="BPS-09331124"/>
        <s v="BPS-10121324"/>
        <s v="BPS-12033124"/>
        <s v="BPS-03222324"/>
        <s v="BPS-08134224"/>
        <s v="BPS-06921124"/>
        <s v="BPS-00734224"/>
        <s v="BPS-01122124"/>
        <s v="BPS-06232124"/>
        <s v="BPS-12121424"/>
        <s v="BPS-08833224"/>
        <s v="BPS-08121224"/>
        <s v="BPS-13934124"/>
        <s v="BPS-09122224"/>
        <s v="BPS-00934224"/>
        <s v="BPS-07433224"/>
        <s v="BPS-06524224"/>
        <s v="BPS-12221424"/>
        <s v="BPS-11423124"/>
        <s v="BPS-10132224"/>
        <s v="BPS-14334124"/>
        <s v="BPS-12434124"/>
        <s v="BPS-02023124"/>
        <s v="BPS-13032324"/>
        <s v="BPS-05322324"/>
        <s v="BPS-07124224"/>
        <s v="BPS-09432324"/>
        <s v="BPS-07332124"/>
        <s v="BPS-04433224"/>
        <s v="BPS-12424124"/>
        <s v="BPS-13222124"/>
        <s v="BPS-13522224"/>
        <s v="BPS-01834124"/>
        <s v="BPS-04721324"/>
        <s v="BPS-08732224"/>
        <s v="BPS-03721424"/>
        <s v="BPS-06434224"/>
        <s v="BPS-13424224"/>
        <s v="BPS-11732124"/>
        <s v="BPS-03222224"/>
        <s v="BPS-01733124"/>
        <s v="BPS-04233124"/>
        <s v="BPS-11132124"/>
        <s v="BPS-00522324"/>
        <s v="BPS-14131424"/>
        <s v="BPS-09831424"/>
        <s v="BPS-02133224"/>
        <s v="BPS-05733224"/>
        <s v="BPS-06231424"/>
        <s v="BPS-00633224"/>
        <s v="BPS-09931424"/>
        <s v="BPS-12324124"/>
        <s v="BPS-13031324"/>
        <s v="BPS-12322224"/>
        <s v="BPS-06824224"/>
        <s v="BPS-14122124"/>
        <s v="BPS-07523224"/>
        <s v="BPS-03831324"/>
        <s v="BPS-05532224"/>
        <s v="BPS-08031424"/>
        <s v="BPS-10921424"/>
        <s v="BPS-00521324"/>
        <s v="BPS-04632124"/>
        <s v="BPS-05424224"/>
        <s v="BPS-01224124"/>
        <s v="BPS-13723224"/>
        <s v="BPS-08521224"/>
        <s v="BPS-02822324"/>
        <s v="BPS-10721124"/>
        <s v="BPS-01721224"/>
        <s v="BPS-08031124"/>
        <s v="BPS-05422124"/>
        <s v="BPS-03923224"/>
        <s v="BPS-01321124"/>
        <s v="BPS-08032324"/>
        <s v="BPS-13722124"/>
        <s v="BPS-14121324"/>
        <s v="BPS-07531124"/>
        <s v="BPS-12523124"/>
        <s v="BPS-08433224"/>
        <s v="BPS-07121424"/>
        <s v="BPS-04833124"/>
        <s v="BPS-09023124"/>
        <s v="BPS-06133124"/>
        <s v="BPS-06822124"/>
        <s v="BPS-00933124"/>
        <s v="BPS-00731424"/>
        <s v="BPS-05521324"/>
        <s v="BPS-06021324"/>
        <s v="BPS-13622124"/>
        <s v="BPS-10222224"/>
        <s v="BPS-13132224"/>
        <s v="BPS-00933224"/>
        <s v="BPS-06632224"/>
        <s v="BPS-04022124"/>
        <s v="BPS-13733124"/>
        <s v="BPS-15022324"/>
        <s v="BPS-11922124"/>
        <s v="BPS-07222224"/>
        <s v="BPS-03033124"/>
        <s v="BPS-00831324"/>
        <s v="BPS-07021224"/>
        <s v="BPS-05932324"/>
        <s v="BPS-08634224"/>
        <s v="BPS-05422224"/>
        <s v="BPS-00133224"/>
        <s v="BPS-13932224"/>
        <s v="BPS-04922324"/>
        <s v="BPS-08933124"/>
        <s v="BPS-12133224"/>
        <s v="BPS-04424124"/>
        <s v="BPS-01121424"/>
        <s v="BPS-14631324"/>
        <s v="BPS-14422324"/>
        <s v="BPS-11921124"/>
        <s v="BPS-00521124"/>
        <s v="BPS-14832124"/>
        <s v="BPS-08531224"/>
        <s v="BPS-03433224"/>
        <s v="BPS-04022324"/>
        <s v="BPS-08222224"/>
        <s v="BPS-07221124"/>
        <s v="BPS-03924124"/>
        <s v="BPS-08932324"/>
        <s v="BPS-07722224"/>
        <s v="BPS-11333224"/>
        <s v="BPS-01532324"/>
        <s v="BPS-00724124"/>
        <s v="BPS-13421224"/>
        <s v="BPS-03024224"/>
        <s v="BPS-14224224"/>
        <s v="BPS-03632124"/>
        <s v="BPS-00122124"/>
        <s v="BPS-09932324"/>
        <s v="BPS-13432224"/>
        <s v="BPS-13834224"/>
        <s v="BPS-11231424"/>
        <s v="BPS-07732224"/>
        <s v="BPS-15031324"/>
        <s v="BPS-13422124"/>
        <s v="BPS-06421324"/>
        <s v="BPS-06631324"/>
        <s v="BPS-07633124"/>
        <s v="BPS-14632224"/>
        <s v="BPS-04734224"/>
        <s v="BPS-08224124"/>
        <s v="BPS-11831224"/>
        <s v="BPS-09322324"/>
        <s v="BPS-14421224"/>
        <s v="BPS-11832124"/>
        <s v="BPS-13124224"/>
        <s v="BPS-14421124"/>
        <s v="BPS-00622124"/>
        <s v="BPS-13024124"/>
        <s v="BPS-06722224"/>
        <s v="BPS-00431124"/>
        <s v="BPS-05322124"/>
        <s v="BPS-05123124"/>
        <s v="BPS-04321224"/>
        <s v="BPS-09231224"/>
        <s v="BPS-02524124"/>
        <s v="BPS-01622324"/>
        <s v="BPS-04922124"/>
        <s v="BPS-10323124"/>
        <s v="BPS-13821224"/>
        <s v="BPS-03531324"/>
        <s v="BPS-14933224"/>
        <s v="BPS-01331324"/>
        <s v="BPS-11423224"/>
        <s v="BPS-14524124"/>
        <s v="BPS-14722124"/>
        <s v="BPS-01731324"/>
        <s v="BPS-12431324"/>
        <s v="BPS-13731424"/>
        <s v="BPS-05332124"/>
        <s v="BPS-08724224"/>
        <s v="BPS-04824224"/>
        <s v="BPS-04121424"/>
        <s v="BPS-04924224"/>
        <s v="BPS-03231224"/>
        <s v="BPS-08022324"/>
        <s v="BPS-05931124"/>
        <s v="BPS-06831124"/>
        <s v="BPS-04432124"/>
        <s v="BPS-00224224"/>
        <s v="BPS-13423224"/>
        <s v="BPS-00421224"/>
        <s v="BPS-08831124"/>
        <s v="BPS-05434124"/>
        <s v="BPS-06432324"/>
        <s v="BPS-05723124"/>
        <s v="BPS-09021424"/>
        <s v="BPS-05432124"/>
        <s v="BPS-08823124"/>
        <s v="BPS-11222124"/>
        <s v="BPS-05822124"/>
        <s v="BPS-06334224"/>
        <s v="BPS-09721224"/>
        <s v="BPS-12422224"/>
        <s v="BPS-06122124"/>
        <s v="BPS-07531324"/>
        <s v="BPS-12834124"/>
        <s v="BPS-04321324"/>
        <s v="BPS-04123124"/>
        <s v="BPS-06433224"/>
        <s v="BPS-00332124"/>
        <s v="BPS-13524224"/>
        <s v="BPS-02433224"/>
        <s v="BPS-05031324"/>
        <s v="BPS-08421124"/>
        <s v="BPS-05033124"/>
        <s v="BPS-09021124"/>
        <s v="BPS-00522124"/>
        <s v="BPS-07721224"/>
        <s v="BPS-12121324"/>
        <s v="BPS-02632324"/>
        <s v="BPS-02123224"/>
        <s v="BPS-08633224"/>
        <s v="BPS-11331124"/>
        <s v="BPS-08532224"/>
        <s v="BPS-00221124"/>
        <s v="BPS-02522124"/>
        <s v="BPS-00534124"/>
        <s v="BPS-10623124"/>
        <s v="BPS-04222124"/>
        <s v="BPS-06533124"/>
        <s v="BPS-14732124"/>
        <s v="BPS-07231224"/>
        <s v="BPS-03331124"/>
        <s v="BPS-10122324"/>
        <s v="BPS-00922324"/>
        <s v="BPS-15032124"/>
        <s v="BPS-14634124"/>
        <s v="BPS-00324124"/>
        <s v="BPS-01231324"/>
        <s v="BPS-08623124"/>
        <s v="BPS-07122124"/>
        <s v="BPS-02431124"/>
        <s v="BPS-04331424"/>
        <s v="BPS-07023124"/>
        <s v="BPS-04931224"/>
        <s v="BPS-10324124"/>
        <s v="BPS-00931324"/>
        <s v="BPS-14032224"/>
        <s v="BPS-09434124"/>
        <s v="BPS-12433124"/>
        <s v="BPS-14231224"/>
        <s v="BPS-01031224"/>
        <s v="BPS-08132124"/>
        <s v="BPS-11532224"/>
        <s v="BPS-01834224"/>
        <s v="BPS-14333224"/>
        <s v="BPS-03322324"/>
        <s v="BPS-10334224"/>
        <s v="BPS-12424224"/>
        <s v="BPS-00432124"/>
        <s v="BPS-14621424"/>
        <s v="BPS-10132124"/>
        <s v="BPS-07432324"/>
        <s v="BPS-02932224"/>
        <s v="BPS-04131224"/>
        <s v="BPS-15031424"/>
        <s v="BPS-11321124"/>
        <s v="BPS-09323124"/>
        <s v="BPS-13832224"/>
        <s v="BPS-06631224"/>
        <s v="BPS-11421424"/>
        <s v="BPS-03232324"/>
        <s v="BPS-10523224"/>
        <s v="BPS-10721224"/>
        <s v="BPS-05324124"/>
        <s v="BPS-07033224"/>
        <s v="BPS-03632224"/>
        <s v="BPS-04423224"/>
        <s v="BPS-05121124"/>
        <s v="BPS-01323124"/>
        <s v="BPS-05333124"/>
        <s v="BPS-05731124"/>
        <s v="BPS-05823124"/>
        <s v="BPS-12621424"/>
        <s v="BPS-08321324"/>
        <s v="BPS-07322324"/>
        <s v="BPS-00822324"/>
        <s v="BPS-08332124"/>
        <s v="BPS-07333124"/>
        <s v="BPS-12924124"/>
        <s v="BPS-11931224"/>
        <s v="BPS-09732124"/>
        <s v="BPS-05031224"/>
        <s v="BPS-08221224"/>
        <s v="BPS-00621424"/>
        <s v="BPS-08334224"/>
        <s v="BPS-01423124"/>
        <s v="BPS-00623124"/>
        <s v="BPS-01921224"/>
        <s v="BPS-06932224"/>
        <s v="BPS-05222224"/>
        <s v="BPS-13231224"/>
        <s v="BPS-11724124"/>
        <s v="BPS-04224124"/>
        <s v="BPS-05931424"/>
        <s v="BPS-03732124"/>
        <s v="BPS-03121224"/>
        <s v="BPS-10433224"/>
        <s v="BPS-03132124"/>
        <s v="BPS-04723224"/>
        <s v="BPS-02931424"/>
        <s v="BPS-05222324"/>
        <s v="BPS-13524124"/>
        <s v="BPS-08334124"/>
        <s v="BPS-08924224"/>
        <s v="BPS-01433224"/>
        <s v="BPS-01732124"/>
        <s v="BPS-05732224"/>
        <s v="BPS-12721224"/>
        <s v="BPS-10232324"/>
        <s v="BPS-10431424"/>
        <s v="BPS-13621424"/>
        <s v="BPS-07932224"/>
        <s v="BPS-12233224"/>
        <s v="BPS-03824224"/>
        <s v="BPS-10032124"/>
        <s v="BPS-08934124"/>
        <s v="BPS-12021124"/>
        <s v="BPS-04223224"/>
        <s v="BPS-10431124"/>
        <s v="BPS-11131324"/>
        <s v="BPS-09134224"/>
        <s v="BPS-09832324"/>
        <s v="BPS-00322324"/>
        <s v="BPS-14332324"/>
        <s v="BPS-11234224"/>
        <s v="BPS-00931224"/>
        <s v="BPS-11931124"/>
        <s v="BPS-14232224"/>
        <s v="BPS-03522224"/>
        <s v="BPS-02831124"/>
        <s v="BPS-11834124"/>
        <s v="BPS-03422124"/>
        <s v="BPS-13731324"/>
        <s v="BPS-07522124"/>
        <s v="BPS-06423224"/>
        <s v="BPS-05834124"/>
        <s v="BPS-01821124"/>
        <s v="BPS-09731424"/>
        <s v="BPS-10432224"/>
        <s v="BPS-10021424"/>
        <s v="BPS-14431424"/>
        <s v="BPS-15024124"/>
        <s v="BPS-11433224"/>
        <s v="BPS-06821124"/>
        <s v="BPS-13532324"/>
        <s v="BPS-10524124"/>
        <s v="BPS-13021224"/>
        <s v="BPS-13531324"/>
        <s v="BPS-00123224"/>
        <s v="BPS-12221124"/>
        <s v="BPS-03131424"/>
        <s v="BPS-09121324"/>
        <s v="BPS-00532124"/>
        <s v="BPS-02432124"/>
        <s v="BPS-10522124"/>
        <s v="BPS-05922324"/>
        <s v="BPS-02733224"/>
        <s v="BPS-09222124"/>
        <s v="BPS-09531224"/>
        <s v="BPS-04831324"/>
        <s v="BPS-05431224"/>
        <s v="BPS-03231124"/>
        <s v="BPS-13034124"/>
        <s v="BPS-02231124"/>
        <s v="BPS-01032124"/>
        <s v="BPS-12931424"/>
        <s v="BPS-05431424"/>
        <s v="BPS-06422324"/>
        <s v="BPS-10422124"/>
        <s v="BPS-06723224"/>
        <s v="BPS-00822224"/>
        <s v="BPS-10331424"/>
        <s v="BPS-14932124"/>
        <s v="BPS-12821324"/>
        <s v="BPS-04434124"/>
        <s v="BPS-05921324"/>
        <s v="BPS-13822324"/>
        <s v="BPS-01831424"/>
        <s v="BPS-13133224"/>
        <s v="BPS-14422224"/>
        <s v="BPS-03031124"/>
        <s v="BPS-09921124"/>
        <s v="BPS-08921124"/>
        <s v="BPS-01334224"/>
        <s v="BPS-00821224"/>
        <s v="BPS-00833224"/>
        <s v="BPS-06932324"/>
        <s v="BPS-01633224"/>
        <s v="BPS-12724124"/>
        <s v="BPS-04821324"/>
        <s v="BPS-02333124"/>
        <s v="BPS-07434224"/>
        <s v="BPS-09123124"/>
        <s v="BPS-04331324"/>
        <s v="BPS-14722224"/>
        <s v="BPS-07123124"/>
        <s v="BPS-10821324"/>
        <s v="BPS-12231124"/>
        <s v="BPS-13224124"/>
        <s v="BPS-12334124"/>
        <s v="BPS-14522124"/>
        <s v="BPS-11731124"/>
        <s v="BPS-05131224"/>
        <s v="BPS-04131124"/>
        <s v="BPS-14931124"/>
        <s v="BPS-09731124"/>
        <s v="BPS-02721224"/>
        <s v="BPS-02223224"/>
        <s v="BPS-05631124"/>
        <s v="BPS-02332224"/>
        <s v="BPS-05131324"/>
        <s v="BPS-00932224"/>
        <s v="BPS-14231424"/>
        <s v="BPS-08631224"/>
        <s v="BPS-04834124"/>
        <s v="BPS-02322124"/>
        <s v="BPS-06034224"/>
        <s v="BPS-04921124"/>
        <s v="BPS-10721424"/>
        <s v="BPS-09834224"/>
        <s v="BPS-00522224"/>
        <s v="BPS-05321124"/>
        <s v="BPS-08922224"/>
        <s v="BPS-13521224"/>
        <s v="BPS-01723224"/>
        <s v="BPS-00221424"/>
        <s v="BPS-05721124"/>
        <s v="BPS-11023124"/>
        <s v="BPS-07832124"/>
        <s v="BPS-01121124"/>
        <s v="BPS-00824224"/>
        <s v="BPS-04931324"/>
        <s v="BPS-14731124"/>
        <s v="BPS-13233224"/>
        <s v="BPS-12223124"/>
        <s v="BPS-04234224"/>
        <s v="BPS-01533124"/>
        <s v="BPS-14831124"/>
        <s v="BPS-07732324"/>
        <s v="BPS-07134124"/>
        <s v="BPS-01234124"/>
        <s v="BPS-10131424"/>
        <s v="BPS-02631224"/>
        <s v="BPS-00722224"/>
        <s v="BPS-10031124"/>
        <s v="BPS-08632324"/>
        <s v="BPS-11723124"/>
        <s v="BPS-07833124"/>
        <s v="BPS-07622224"/>
        <s v="BPS-12121224"/>
        <s v="BPS-00122224"/>
        <s v="BPS-04024124"/>
        <s v="BPS-13433124"/>
        <s v="BPS-13532224"/>
        <s v="BPS-01333124"/>
        <s v="BPS-00431324"/>
        <s v="BPS-00731324"/>
        <s v="BPS-14234224"/>
        <s v="BPS-13832124"/>
        <s v="BPS-14221424"/>
        <s v="BPS-13232224"/>
        <s v="BPS-08531324"/>
        <s v="BPS-11131424"/>
        <s v="BPS-11831124"/>
        <s v="BPS-12832324"/>
        <s v="BPS-14931224"/>
        <s v="BPS-08824224"/>
        <s v="BPS-09622324"/>
        <s v="BPS-09422324"/>
        <s v="BPS-10631424"/>
        <s v="BPS-05223124"/>
        <s v="BPS-01033224"/>
        <s v="BPS-03033224"/>
        <s v="BPS-07133124"/>
        <s v="BPS-05022224"/>
        <s v="BPS-12022324"/>
        <s v="BPS-10234124"/>
        <s v="BPS-05631324"/>
        <s v="BPS-04023124"/>
        <s v="BPS-14332224"/>
        <s v="BPS-04431324"/>
        <s v="BPS-06831224"/>
        <s v="BPS-06433124"/>
        <s v="BPS-08321424"/>
        <s v="BPS-13034224"/>
        <s v="BPS-13431424"/>
        <s v="BPS-00831424"/>
        <s v="BPS-08631324"/>
        <s v="BPS-06922124"/>
        <s v="BPS-04624224"/>
        <s v="BPS-01121224"/>
        <s v="BPS-05032124"/>
        <s v="BPS-07133224"/>
        <s v="BPS-14521224"/>
        <s v="BPS-02634124"/>
        <s v="BPS-09734124"/>
        <s v="BPS-02021424"/>
        <s v="BPS-01933124"/>
        <s v="BPS-06934224"/>
        <s v="BPS-03332224"/>
        <s v="BPS-15033224"/>
        <s v="BPS-08024224"/>
        <s v="BPS-12224224"/>
        <s v="BPS-00222224"/>
        <s v="BPS-00221224"/>
        <s v="BPS-13734224"/>
        <s v="BPS-01221324"/>
        <s v="BPS-07022124"/>
        <s v="BPS-05233124"/>
        <s v="BPS-06123124"/>
        <s v="BPS-11231224"/>
        <s v="BPS-05824124"/>
        <s v="BPS-12132324"/>
        <s v="BPS-03921324"/>
        <s v="BPS-11921324"/>
        <s v="BPS-06931224"/>
        <s v="BPS-00132124"/>
        <s v="BPS-11034124"/>
        <s v="BPS-11022124"/>
        <s v="BPS-02321124"/>
        <s v="BPS-00331324"/>
        <s v="BPS-08331124"/>
        <s v="BPS-08533124"/>
        <s v="BPS-14132224"/>
        <s v="BPS-13934224"/>
        <s v="BPS-06124224"/>
        <s v="BPS-09333224"/>
        <s v="BPS-01721324"/>
        <s v="BPS-12631424"/>
        <s v="BPS-01923124"/>
        <s v="BPS-04932224"/>
        <s v="BPS-01221224"/>
        <s v="BPS-14622124"/>
        <s v="BPS-01631124"/>
        <s v="BPS-09431424"/>
        <s v="BPS-04831424"/>
        <s v="BPS-12431424"/>
        <s v="BPS-14734124"/>
        <s v="BPS-11432124"/>
        <s v="BPS-10821124"/>
        <s v="BPS-12023124"/>
        <s v="BPS-01124124"/>
        <s v="BPS-13932124"/>
        <s v="BPS-14532324"/>
        <s v="BPS-10833124"/>
        <s v="BPS-03234124"/>
        <s v="BPS-03824124"/>
        <s v="BPS-09024124"/>
        <s v="BPS-14523224"/>
        <s v="BPS-03832124"/>
        <s v="BPS-11233224"/>
        <s v="BPS-12331324"/>
        <s v="BPS-01221424"/>
        <s v="BPS-06533224"/>
        <s v="BPS-03122124"/>
        <s v="BPS-02222124"/>
        <s v="BPS-02134224"/>
        <s v="BPS-12524124"/>
        <s v="BPS-12632124"/>
        <s v="BPS-13031424"/>
        <s v="BPS-10133224"/>
        <s v="BPS-14924124"/>
        <s v="BPS-13931124"/>
        <s v="BPS-06324224"/>
        <s v="BPS-04632324"/>
        <s v="BPS-05332224"/>
        <s v="BPS-13121224"/>
        <s v="BPS-02833124"/>
        <s v="BPS-11933124"/>
        <s v="BPS-00634124"/>
        <s v="BPS-14732224"/>
        <s v="BPS-14332124"/>
        <s v="BPS-09721324"/>
        <s v="BPS-09234124"/>
        <s v="BPS-05924224"/>
        <s v="BPS-05732324"/>
        <s v="BPS-13922124"/>
        <s v="BPS-03131324"/>
        <s v="BPS-06322124"/>
        <s v="BPS-09234224"/>
        <s v="BPS-03531424"/>
        <s v="BPS-08533224"/>
        <s v="BPS-11522124"/>
        <s v="BPS-01022224"/>
        <s v="BPS-05724124"/>
        <s v="BPS-10034224"/>
        <s v="BPS-03722324"/>
        <s v="BPS-02731224"/>
        <s v="BPS-12421424"/>
        <s v="BPS-14033124"/>
        <s v="BPS-12222124"/>
        <s v="BPS-09522324"/>
        <s v="BPS-11832324"/>
        <s v="BPS-12523224"/>
        <s v="BPS-11921424"/>
        <s v="BPS-03123224"/>
        <s v="BPS-08632124"/>
        <s v="BPS-09233224"/>
        <s v="BPS-12031224"/>
        <s v="BPS-01923224"/>
        <s v="BPS-07532224"/>
        <s v="BPS-06523124"/>
        <s v="BPS-13921424"/>
        <s v="BPS-04031424"/>
        <s v="BPS-00531124"/>
        <s v="BPS-07022324"/>
        <s v="BPS-13421324"/>
        <s v="BPS-08722124"/>
        <s v="BPS-07624224"/>
        <s v="BPS-05521124"/>
        <s v="BPS-07532124"/>
        <s v="BPS-05633124"/>
        <s v="BPS-11431324"/>
        <s v="BPS-07021124"/>
        <s v="BPS-07934224"/>
        <s v="BPS-10232224"/>
        <s v="BPS-12621124"/>
        <s v="BPS-01722124"/>
        <s v="BPS-11933224"/>
        <s v="BPS-11521124"/>
        <s v="BPS-02221324"/>
        <s v="BPS-10421224"/>
        <s v="BPS-11823124"/>
        <s v="BPS-00721124"/>
        <s v="BPS-15021424"/>
        <s v="BPS-12122324"/>
        <s v="BPS-11434124"/>
        <s v="BPS-06621224"/>
        <s v="BPS-02721324"/>
        <s v="BPS-01634224"/>
        <s v="BPS-07134224"/>
        <s v="BPS-00931124"/>
        <s v="BPS-00234124"/>
        <s v="BPS-00731124"/>
        <s v="BPS-10933224"/>
        <s v="BPS-09521424"/>
        <s v="BPS-04224224"/>
        <s v="BPS-11533224"/>
        <s v="BPS-13122324"/>
        <s v="BPS-07224124"/>
        <s v="BPS-11331324"/>
        <s v="BPS-09631324"/>
        <s v="BPS-05432224"/>
        <s v="BPS-09224224"/>
        <s v="BPS-10334124"/>
        <s v="BPS-14433124"/>
        <s v="BPS-10324224"/>
        <s v="BPS-09931324"/>
        <s v="BPS-14224124"/>
        <s v="BPS-09232224"/>
        <s v="BPS-14834224"/>
        <s v="BPS-09032124"/>
        <s v="BPS-07634224"/>
        <s v="BPS-00823224"/>
        <s v="BPS-02422224"/>
        <s v="BPS-01431324"/>
        <s v="BPS-08534124"/>
        <s v="BPS-06422124"/>
        <s v="BPS-10031324"/>
        <s v="BPS-15032224"/>
        <s v="BPS-02032324"/>
        <s v="BPS-11031224"/>
        <s v="BPS-12922224"/>
        <s v="BPS-01722224"/>
        <s v="BPS-03032224"/>
        <s v="BPS-01921324"/>
        <s v="BPS-10733224"/>
        <s v="BPS-11224224"/>
        <s v="BPS-00531324"/>
        <s v="BPS-02432224"/>
        <s v="BPS-05531424"/>
        <s v="BPS-03221224"/>
        <s v="BPS-11231324"/>
        <s v="BPS-00121424"/>
        <s v="BPS-14824124"/>
        <s v="BPS-10022324"/>
        <s v="BPS-02022224"/>
        <s v="BPS-02731124"/>
        <s v="BPS-11734124"/>
        <s v="BPS-03922224"/>
        <s v="BPS-09722224"/>
        <s v="BPS-11022224"/>
        <s v="BPS-02031324"/>
        <s v="BPS-08224224"/>
        <s v="BPS-07921224"/>
        <s v="BPS-05024224"/>
        <s v="BPS-02321324"/>
        <s v="BPS-02432324"/>
        <s v="BPS-02131124"/>
        <s v="BPS-14323124"/>
        <s v="BPS-10321324"/>
        <s v="BPS-08723224"/>
        <s v="BPS-11134124"/>
        <s v="BPS-03533124"/>
        <s v="BPS-14121124"/>
        <s v="BPS-08423224"/>
        <s v="BPS-04333124"/>
        <s v="BPS-06224224"/>
        <s v="BPS-01622224"/>
        <s v="BPS-01021424"/>
        <s v="BPS-14531424"/>
        <s v="BPS-09034124"/>
        <s v="BPS-00822124"/>
        <s v="BPS-09132324"/>
        <s v="BPS-03321124"/>
        <s v="BPS-07932324"/>
        <s v="BPS-11723224"/>
        <s v="BPS-13421124"/>
        <s v="BPS-14733224"/>
        <s v="BPS-13331424"/>
        <s v="BPS-12532224"/>
        <s v="BPS-07031324"/>
        <s v="BPS-01822324"/>
        <s v="BPS-06521324"/>
        <s v="BPS-12134224"/>
        <s v="BPS-10832124"/>
        <s v="BPS-00921424"/>
        <s v="BPS-08834124"/>
        <s v="BPS-00121224"/>
        <s v="BPS-03231324"/>
        <s v="BPS-00131224"/>
        <s v="BPS-13533124"/>
        <s v="BPS-11524224"/>
        <s v="BPS-08521424"/>
        <s v="BPS-09934224"/>
        <s v="BPS-12724224"/>
        <s v="BPS-01424124"/>
        <s v="BPS-09433124"/>
        <s v="BPS-04634124"/>
        <s v="BPS-00124124"/>
        <s v="BPS-04133124"/>
        <s v="BPS-08831424"/>
        <s v="BPS-06634224"/>
        <s v="BPS-07931424"/>
        <s v="BPS-12821424"/>
        <s v="BPS-08122124"/>
        <s v="BPS-03924224"/>
        <s v="BPS-09831224"/>
        <s v="BPS-07934124"/>
        <s v="BPS-10423224"/>
        <s v="BPS-09622124"/>
        <s v="BPS-07724124"/>
        <s v="BPS-01321424"/>
        <s v="BPS-08921324"/>
        <s v="BPS-00724224"/>
        <s v="BPS-01824224"/>
        <s v="BPS-06132324"/>
        <s v="BPS-14121224"/>
        <s v="BPS-05723224"/>
        <s v="BPS-11121224"/>
        <s v="BPS-13721424"/>
        <s v="BPS-07022224"/>
        <s v="BPS-04822224"/>
        <s v="BPS-03723224"/>
        <s v="BPS-14622224"/>
        <s v="BPS-00924124"/>
        <s v="BPS-14724224"/>
        <s v="BPS-01322224"/>
        <s v="BPS-05722124"/>
        <s v="BPS-14221124"/>
        <s v="BPS-02433124"/>
        <s v="BPS-07922224"/>
        <s v="BPS-12521324"/>
        <s v="BPS-04832224"/>
        <s v="BPS-05621324"/>
        <s v="BPS-13021424"/>
        <s v="BPS-10521224"/>
        <s v="BPS-05321424"/>
        <s v="BPS-06931124"/>
        <s v="BPS-14134224"/>
        <s v="BPS-06932124"/>
        <s v="BPS-04122124"/>
        <s v="BPS-01531324"/>
        <s v="BPS-09021324"/>
        <s v="BPS-07733224"/>
        <s v="BPS-10432324"/>
        <s v="BPS-13523124"/>
        <s v="BPS-11232224"/>
        <s v="BPS-08434124"/>
        <s v="BPS-04621124"/>
        <s v="BPS-02721124"/>
        <s v="BPS-00221324"/>
        <s v="BPS-03634124"/>
        <s v="BPS-04722224"/>
        <s v="BPS-10723124"/>
        <s v="BPS-14924224"/>
        <s v="BPS-02221424"/>
        <s v="BPS-07823124"/>
        <s v="BPS-00331224"/>
        <s v="BPS-01332324"/>
        <s v="BPS-02532124"/>
        <s v="BPS-02032124"/>
        <s v="BPS-02222324"/>
        <s v="BPS-07624124"/>
        <s v="BPS-08731424"/>
        <s v="BPS-01632324"/>
        <s v="BPS-07832224"/>
        <s v="BPS-09532124"/>
        <s v="BPS-14132124"/>
        <s v="BPS-03831124"/>
        <s v="BPS-12734124"/>
        <s v="BPS-02923124"/>
        <s v="BPS-02932324"/>
        <s v="BPS-11521224"/>
        <s v="BPS-04534124"/>
        <s v="BPS-08523124"/>
        <s v="BPS-12022224"/>
        <s v="BPS-08621424"/>
        <s v="BPS-10022124"/>
        <s v="BPS-05921224"/>
        <s v="BPS-08431324"/>
        <s v="BPS-15031124"/>
        <s v="BPS-09424124"/>
        <s v="BPS-12832224"/>
        <s v="BPS-09621124"/>
        <s v="BPS-06131124"/>
        <s v="BPS-14623124"/>
        <s v="BPS-08721324"/>
        <s v="BPS-14322324"/>
        <s v="BPS-11332324"/>
        <s v="BPS-05823224"/>
        <s v="BPS-14231324"/>
        <s v="BPS-02223124"/>
        <s v="BPS-00832224"/>
        <s v="BPS-14731324"/>
        <s v="BPS-02123124"/>
        <s v="BPS-13631324"/>
        <s v="BPS-02631324"/>
        <s v="BPS-03933124"/>
        <s v="BPS-09121424"/>
        <s v="BPS-07334124"/>
        <s v="BPS-02022324"/>
        <s v="BPS-08834224"/>
        <s v="BPS-06222124"/>
        <s v="BPS-09832124"/>
        <s v="BPS-07521124"/>
        <s v="BPS-04332124"/>
        <s v="BPS-00922124"/>
        <s v="BPS-12634224"/>
        <s v="BPS-09523124"/>
        <s v="BPS-01621224"/>
        <s v="BPS-08124124"/>
        <s v="BPS-14024224"/>
        <s v="BPS-12431124"/>
        <s v="BPS-03134124"/>
        <s v="BPS-08624124"/>
        <s v="BPS-12131124"/>
        <s v="BPS-09723224"/>
        <s v="BPS-04333224"/>
        <s v="BPS-10432124"/>
        <s v="BPS-08732324"/>
        <s v="BPS-04021324"/>
        <s v="BPS-13231324"/>
        <s v="BPS-14423224"/>
        <s v="BPS-08432324"/>
        <s v="BPS-11332224"/>
        <s v="BPS-10322224"/>
        <s v="BPS-04221324"/>
        <s v="BPS-02533224"/>
        <s v="BPS-08131224"/>
        <s v="BPS-07232224"/>
        <s v="BPS-06024124"/>
        <s v="BPS-08633124"/>
        <s v="BPS-04633124"/>
        <s v="BPS-12921424"/>
        <s v="BPS-14932224"/>
        <s v="BPS-08034124"/>
        <s v="BPS-14832224"/>
        <s v="BPS-06721124"/>
        <s v="BPS-12522224"/>
        <s v="BPS-03324224"/>
        <s v="BPS-02332324"/>
        <s v="BPS-09533224"/>
        <s v="BPS-03331324"/>
        <s v="BPS-06524124"/>
        <s v="BPS-03722224"/>
        <s v="BPS-09523224"/>
        <s v="BPS-10531324"/>
        <s v="BPS-04132224"/>
        <s v="BPS-01132124"/>
        <s v="BPS-11821424"/>
        <s v="BPS-09734224"/>
        <s v="BPS-11722124"/>
        <s v="BPS-01722324"/>
        <s v="BPS-05432324"/>
        <s v="BPS-02332124"/>
        <s v="BPS-12832124"/>
        <s v="BPS-00234224"/>
        <s v="BPS-06931324"/>
        <s v="BPS-06123224"/>
        <s v="BPS-00732324"/>
        <s v="BPS-07623224"/>
        <s v="BPS-09331224"/>
        <s v="BPS-10831124"/>
        <s v="BPS-14124224"/>
        <s v="BPS-13831224"/>
        <s v="BPS-11122224"/>
        <s v="BPS-07921324"/>
        <s v="BPS-06224124"/>
        <s v="BPS-14823224"/>
        <s v="BPS-04531424"/>
        <s v="BPS-01631324"/>
        <s v="BPS-02922224"/>
        <s v="BPS-02231324"/>
        <s v="BPS-11934124"/>
        <s v="BPS-13021124"/>
        <s v="BPS-11033124"/>
        <s v="BPS-07722324"/>
        <s v="BPS-08021324"/>
        <s v="BPS-10931424"/>
        <s v="BPS-01634124"/>
        <s v="BPS-06731424"/>
        <s v="BPS-11122124"/>
        <s v="BPS-02824124"/>
        <s v="BPS-04922224"/>
        <s v="BPS-03334124"/>
        <s v="BPS-12721324"/>
        <s v="BPS-10033124"/>
        <s v="BPS-03431224"/>
        <s v="BPS-13933224"/>
        <s v="BPS-06324124"/>
        <s v="BPS-02921324"/>
        <s v="BPS-13522324"/>
        <s v="BPS-03321424"/>
        <s v="BPS-11722224"/>
        <s v="BPS-11324124"/>
        <s v="BPS-12521124"/>
        <s v="BPS-00634224"/>
        <s v="BPS-02334224"/>
        <s v="BPS-09534224"/>
        <s v="BPS-11631124"/>
        <s v="BPS-04731224"/>
        <s v="BPS-13622224"/>
        <s v="BPS-02534124"/>
        <s v="BPS-04524124"/>
        <s v="BPS-00233224"/>
        <s v="BPS-11632324"/>
        <s v="BPS-04421124"/>
        <s v="BPS-13123224"/>
        <s v="BPS-06031424"/>
        <s v="BPS-01831224"/>
        <s v="BPS-02623224"/>
        <s v="BPS-09831124"/>
        <s v="BPS-04531224"/>
        <s v="BPS-07721424"/>
        <s v="BPS-10224224"/>
        <s v="BPS-04923124"/>
        <s v="BPS-06834124"/>
        <s v="BPS-03732324"/>
        <s v="BPS-05721324"/>
        <s v="BPS-07332324"/>
        <s v="BPS-12831224"/>
        <s v="BPS-09532224"/>
        <s v="BPS-06923224"/>
        <s v="BPS-04923224"/>
        <s v="BPS-04823224"/>
        <s v="BPS-03931424"/>
        <s v="BPS-04124224"/>
        <s v="BPS-12421224"/>
        <s v="BPS-03823124"/>
        <s v="BPS-00121124"/>
        <s v="BPS-00921224"/>
        <s v="BPS-04731424"/>
        <s v="BPS-07031424"/>
        <s v="BPS-04021124"/>
        <s v="BPS-08132224"/>
        <s v="BPS-12021324"/>
        <s v="BPS-08121324"/>
        <s v="BPS-12232324"/>
        <s v="BPS-03233224"/>
        <s v="BPS-14423124"/>
        <s v="BPS-08422324"/>
        <s v="BPS-08634124"/>
        <s v="BPS-01023124"/>
        <s v="BPS-06731224"/>
        <s v="BPS-02632224"/>
        <s v="BPS-14032324"/>
        <s v="BPS-11421324"/>
        <s v="BPS-00721424"/>
        <s v="BPS-07524224"/>
        <s v="BPS-11021224"/>
        <s v="BPS-14822224"/>
        <s v="BPS-13734124"/>
        <s v="BPS-00934124"/>
        <s v="BPS-08831224"/>
        <s v="BPS-11823224"/>
        <s v="BPS-08622324"/>
        <s v="BPS-14721324"/>
        <s v="BPS-01324224"/>
        <s v="BPS-08423124"/>
        <s v="BPS-05824224"/>
        <s v="BPS-10124124"/>
        <s v="BPS-05821124"/>
        <s v="BPS-14023124"/>
        <s v="BPS-04822124"/>
        <s v="BPS-10732224"/>
        <s v="BPS-07922324"/>
        <s v="BPS-03121324"/>
        <s v="BPS-05533224"/>
        <s v="BPS-05434224"/>
        <s v="BPS-12322124"/>
        <s v="BPS-12421124"/>
        <s v="BPS-09332224"/>
        <s v="BPS-05134224"/>
        <s v="BPS-10831224"/>
        <s v="BPS-13923124"/>
        <s v="BPS-03431424"/>
        <s v="BPS-07032324"/>
        <s v="BPS-04033124"/>
        <s v="BPS-09524124"/>
        <s v="BPS-00731224"/>
        <s v="BPS-08021424"/>
        <s v="BPS-10122124"/>
        <s v="BPS-12021424"/>
        <s v="BPS-03834224"/>
        <s v="BPS-03031424"/>
        <s v="BPS-10134124"/>
        <s v="BPS-14921124"/>
        <s v="BPS-14222324"/>
        <s v="BPS-07222324"/>
        <s v="BPS-00323124"/>
        <s v="BPS-01534124"/>
        <s v="BPS-07831424"/>
        <s v="BPS-15032324"/>
        <s v="BPS-04823124"/>
        <s v="BPS-03721124"/>
        <s v="BPS-07424224"/>
        <s v="BPS-13531224"/>
        <s v="BPS-12231224"/>
        <s v="BPS-03733224"/>
        <s v="BPS-09432124"/>
        <s v="BPS-11622324"/>
        <s v="BPS-12623224"/>
        <s v="BPS-09833224"/>
        <s v="BPS-03731324"/>
        <s v="BPS-03031324"/>
        <s v="BPS-08622224"/>
        <s v="BPS-07631424"/>
        <s v="BPS-07831224"/>
        <s v="BPS-04732324"/>
        <s v="BPS-00831124"/>
        <s v="BPS-05832224"/>
        <s v="BPS-03732224"/>
        <s v="BPS-00834124"/>
        <s v="BPS-07533124"/>
        <s v="BPS-12221324"/>
        <s v="BPS-11132324"/>
        <s v="BPS-08722224"/>
        <s v="BPS-02122324"/>
        <s v="BPS-03932124"/>
        <s v="BPS-14034224"/>
        <s v="BPS-11632124"/>
        <s v="BPS-12723224"/>
        <s v="BPS-14432224"/>
        <s v="BPS-08022224"/>
        <s v="BPS-15023224"/>
        <s v="BPS-02724124"/>
        <s v="BPS-10332124"/>
        <s v="BPS-13521124"/>
        <s v="BPS-10223124"/>
        <s v="BPS-06234124"/>
        <s v="BPS-13122124"/>
        <s v="BPS-12632224"/>
        <s v="BPS-03434124"/>
        <s v="BPS-02333224"/>
        <s v="BPS-13634224"/>
        <s v="BPS-04523224"/>
        <s v="BPS-13534124"/>
        <s v="BPS-08322224"/>
        <s v="BPS-02233124"/>
        <s v="BPS-06834224"/>
        <s v="BPS-09631124"/>
        <s v="BPS-06832224"/>
        <s v="BPS-14321224"/>
        <s v="BPS-12334224"/>
        <s v="BPS-13032124"/>
        <s v="BPS-01833224"/>
        <s v="BPS-01322324"/>
        <s v="BPS-06333224"/>
        <s v="BPS-09922124"/>
        <s v="BPS-12734224"/>
        <s v="BPS-12021224"/>
        <s v="BPS-09323224"/>
        <s v="BPS-08832324"/>
        <s v="BPS-12233124"/>
        <s v="BPS-10522224"/>
        <s v="BPS-03923124"/>
        <s v="BPS-07521324"/>
        <s v="BPS-04323224"/>
        <s v="BPS-11932324"/>
        <s v="BPS-14422124"/>
        <s v="BPS-08623224"/>
        <s v="BPS-10233124"/>
        <s v="BPS-04821424"/>
        <s v="BPS-07231324"/>
        <s v="BPS-02421424"/>
        <s v="BPS-05524224"/>
        <s v="BPS-01331424"/>
        <s v="BPS-09231424"/>
        <s v="BPS-12934224"/>
        <s v="BPS-10634224"/>
        <s v="BPS-09131424"/>
        <s v="BPS-10422324"/>
        <s v="BPS-06633124"/>
        <s v="BPS-05124224"/>
        <s v="BPS-10731324"/>
        <s v="BPS-07924224"/>
        <s v="BPS-13422224"/>
        <s v="BPS-06521124"/>
        <s v="BPS-09022324"/>
        <s v="BPS-13724224"/>
        <s v="BPS-10021324"/>
        <s v="BPS-12634124"/>
        <s v="BPS-01022324"/>
        <s v="BPS-12332324"/>
        <s v="BPS-04721224"/>
        <s v="BPS-10833224"/>
        <s v="BPS-08622124"/>
        <s v="BPS-09322124"/>
        <s v="BPS-06624224"/>
        <s v="BPS-00133124"/>
        <s v="BPS-11424224"/>
        <s v="BPS-05822324"/>
        <s v="BPS-04233224"/>
        <s v="BPS-03623224"/>
        <s v="BPS-12934124"/>
        <s v="BPS-06333124"/>
        <s v="BPS-14831324"/>
        <s v="BPS-07921424"/>
        <s v="BPS-09034224"/>
        <s v="BPS-09521124"/>
        <s v="BPS-14122324"/>
        <s v="BPS-11631424"/>
        <s v="BPS-12234124"/>
        <s v="BPS-12332224"/>
        <s v="BPS-09822324"/>
        <s v="BPS-03522324"/>
        <s v="BPS-03533224"/>
        <s v="BPS-09732324"/>
        <s v="BPS-04124124"/>
        <s v="BPS-03934124"/>
        <s v="BPS-04031224"/>
        <s v="BPS-07521224"/>
        <s v="BPS-02324124"/>
        <s v="BPS-03222124"/>
        <s v="BPS-03823224"/>
        <s v="BPS-02522324"/>
        <s v="BPS-00521424"/>
        <s v="BPS-07621124"/>
        <s v="BPS-05632224"/>
        <s v="BPS-10724224"/>
        <s v="BPS-11322324"/>
        <s v="BPS-13831324"/>
        <s v="BPS-09021224"/>
        <s v="BPS-15034224"/>
        <s v="BPS-09424224"/>
        <s v="BPS-12222224"/>
        <s v="BPS-08234224"/>
        <s v="BPS-10434124"/>
        <s v="BPS-09134124"/>
        <s v="BPS-07524124"/>
        <s v="BPS-04034124"/>
        <s v="BPS-07923124"/>
        <s v="BPS-09624224"/>
        <s v="BPS-10721324"/>
        <s v="BPS-12123124"/>
        <s v="BPS-04533124"/>
        <s v="BPS-06621124"/>
        <s v="BPS-04232324"/>
        <s v="BPS-11331224"/>
        <s v="BPS-12532324"/>
        <s v="BPS-11822224"/>
        <s v="BPS-14024124"/>
        <s v="BPS-09232324"/>
        <s v="BPS-02733124"/>
        <s v="BPS-06332124"/>
        <s v="BPS-11623124"/>
        <s v="BPS-04631224"/>
        <s v="BPS-04023224"/>
        <s v="BPS-03334224"/>
        <s v="BPS-11831324"/>
        <s v="BPS-04431124"/>
        <s v="BPS-00532324"/>
        <s v="BPS-07722124"/>
        <s v="BPS-01433124"/>
        <s v="BPS-13624124"/>
        <s v="BPS-01632124"/>
        <s v="BPS-00721324"/>
        <s v="BPS-08331424"/>
        <s v="BPS-06432124"/>
        <s v="BPS-04221224"/>
        <s v="BPS-11131224"/>
        <s v="BPS-04122224"/>
        <s v="BPS-01034224"/>
        <s v="BPS-11533124"/>
        <s v="BPS-04322224"/>
        <s v="BPS-06734224"/>
        <s v="BPS-04024224"/>
        <s v="BPS-01524124"/>
        <s v="BPS-04322124"/>
        <s v="BPS-06221224"/>
        <s v="BPS-08923224"/>
        <s v="BPS-14133124"/>
        <s v="BPS-11833124"/>
        <s v="BPS-07523124"/>
        <s v="BPS-10421424"/>
        <s v="BPS-09524224"/>
        <s v="BPS-14734224"/>
        <s v="BPS-02924224"/>
        <s v="BPS-05734124"/>
        <s v="BPS-13422324"/>
        <s v="BPS-01931124"/>
        <s v="BPS-01131424"/>
        <s v="BPS-03224124"/>
        <s v="BPS-05224124"/>
        <s v="BPS-09133224"/>
        <s v="BPS-09031124"/>
        <s v="BPS-03532324"/>
        <s v="BPS-01431124"/>
        <s v="BPS-12731324"/>
        <s v="BPS-08821424"/>
        <s v="BPS-01823124"/>
        <s v="BPS-12333224"/>
        <s v="BPS-04231424"/>
        <s v="BPS-01523224"/>
        <s v="BPS-13321224"/>
        <s v="BPS-14533224"/>
        <s v="BPS-11731324"/>
        <s v="BPS-00631324"/>
        <s v="BPS-11624224"/>
        <s v="BPS-13921224"/>
        <s v="BPS-09821224"/>
        <s v="BPS-13222224"/>
        <s v="BPS-05522124"/>
        <s v="BPS-12322324"/>
        <s v="BPS-00421424"/>
        <s v="BPS-01124224"/>
        <s v="BPS-11632224"/>
        <s v="BPS-09822124"/>
        <s v="BPS-05623124"/>
        <s v="BPS-08822324"/>
        <s v="BPS-08831324"/>
        <s v="BPS-12223224"/>
        <s v="BPS-05732124"/>
        <s v="BPS-11021324"/>
        <s v="BPS-09923124"/>
        <s v="BPS-06222324"/>
        <s v="BPS-07322124"/>
        <s v="BPS-14632324"/>
        <s v="BPS-10732324"/>
        <s v="BPS-14522224"/>
        <s v="BPS-06534224"/>
        <s v="BPS-09022124"/>
        <s v="BPS-02624224"/>
        <s v="BPS-00324224"/>
        <s v="BPS-00433224"/>
        <s v="BPS-08821224"/>
        <s v="BPS-10323224"/>
        <s v="BPS-08032124"/>
        <s v="BPS-07321424"/>
        <s v="BPS-10521324"/>
        <s v="BPS-10532124"/>
        <s v="BPS-14921424"/>
        <s v="BPS-11122324"/>
        <s v="BPS-02923224"/>
        <s v="BPS-09222324"/>
        <s v="BPS-09922324"/>
        <s v="BPS-01232324"/>
        <s v="BPS-05121324"/>
        <s v="BPS-06734124"/>
        <s v="BPS-08432124"/>
        <s v="BPS-02531224"/>
        <s v="BPS-14732324"/>
        <s v="BPS-09121224"/>
        <s v="BPS-03921424"/>
        <s v="BPS-04534224"/>
        <s v="BPS-09321424"/>
        <s v="BPS-04521224"/>
        <s v="BPS-11931424"/>
        <s v="BPS-12931224"/>
        <s v="BPS-13424124"/>
        <s v="BPS-08832224"/>
        <s v="BPS-07932124"/>
        <s v="BPS-10531224"/>
        <s v="BPS-07422124"/>
        <s v="BPS-11024224"/>
        <s v="BPS-06822224"/>
        <s v="BPS-10531424"/>
        <s v="BPS-06121224"/>
        <s v="BPS-04422324"/>
        <s v="BPS-01922224"/>
        <s v="BPS-01134124"/>
        <s v="BPS-01123224"/>
        <s v="BPS-00332224"/>
        <s v="BPS-04132124"/>
        <s v="BPS-15034124"/>
        <s v="BPS-09621224"/>
        <s v="BPS-03223224"/>
        <s v="BPS-09821124"/>
        <s v="BPS-09334224"/>
        <s v="BPS-02934124"/>
        <s v="BPS-14324224"/>
        <s v="BPS-06223224"/>
        <s v="BPS-05532124"/>
        <s v="BPS-09932224"/>
        <s v="BPS-14621124"/>
        <s v="BPS-02734124"/>
        <s v="BPS-09331424"/>
        <s v="BPS-14123224"/>
        <s v="BPS-14931424"/>
        <s v="BPS-11534224"/>
        <s v="BPS-03821224"/>
        <s v="BPS-12321324"/>
        <s v="BPS-14434124"/>
        <s v="BPS-04221124"/>
        <s v="BPS-09032224"/>
        <s v="BPS-06632124"/>
        <s v="BPS-12533224"/>
        <s v="BPS-02431424"/>
        <s v="BPS-05531224"/>
        <s v="BPS-09231324"/>
        <s v="BPS-07024124"/>
        <s v="BPS-02331224"/>
        <s v="BPS-13321424"/>
        <s v="BPS-04321424"/>
        <s v="BPS-01422124"/>
        <s v="BPS-09731224"/>
        <s v="BPS-11624124"/>
        <s v="BPS-01422224"/>
        <s v="BPS-05331324"/>
        <s v="BPS-10431224"/>
        <s v="BPS-02132224"/>
        <s v="BPS-06231324"/>
        <s v="BPS-13923224"/>
        <s v="BPS-07131324"/>
        <s v="BPS-04921424"/>
        <s v="BPS-10923124"/>
        <s v="BPS-13833224"/>
        <s v="BPS-04731124"/>
        <s v="BPS-07631324"/>
        <s v="BPS-11621224"/>
        <s v="BPS-09733224"/>
        <s v="BPS-08524124"/>
        <s v="BPS-07731424"/>
        <s v="BPS-05424124"/>
        <s v="BPS-12132124"/>
        <s v="BPS-02933124"/>
        <s v="BPS-14631424"/>
        <s v="BPS-12922324"/>
        <s v="BPS-12722124"/>
        <s v="BPS-06821324"/>
        <s v="BPS-10221124"/>
        <s v="BPS-12624124"/>
        <s v="BPS-02831224"/>
        <s v="BPS-09533124"/>
        <s v="BPS-13521324"/>
        <s v="BPS-04432324"/>
        <s v="BPS-14934224"/>
        <s v="BPS-05221224"/>
        <s v="BPS-03022224"/>
        <s v="BPS-03331424"/>
        <s v="BPS-11331424"/>
        <s v="BPS-03021124"/>
        <s v="BPS-05121424"/>
        <s v="BPS-10522324"/>
        <s v="BPS-12533124"/>
        <s v="BPS-13132324"/>
        <s v="BPS-04623124"/>
        <s v="BPS-03124224"/>
        <s v="BPS-03534124"/>
        <s v="BPS-02232224"/>
        <s v="BPS-13931324"/>
        <s v="BPS-05933224"/>
        <s v="BPS-12422324"/>
        <s v="BPS-14221324"/>
        <s v="BPS-09824224"/>
        <s v="BPS-11621424"/>
        <s v="BPS-00624124"/>
        <s v="BPS-03323124"/>
        <s v="BPS-06431224"/>
        <s v="BPS-10333124"/>
        <s v="BPS-05534224"/>
        <s v="BPS-03631224"/>
        <s v="BPS-13924224"/>
        <s v="BPS-07923224"/>
        <s v="BPS-10621124"/>
        <s v="BPS-06424124"/>
        <s v="BPS-08721224"/>
        <s v="BPS-05234124"/>
        <s v="BPS-10532224"/>
        <s v="BPS-03432124"/>
        <s v="BPS-05323224"/>
        <s v="BPS-01822224"/>
        <s v="BPS-13224224"/>
        <s v="BPS-07633224"/>
        <s v="BPS-10121124"/>
        <s v="BPS-11424124"/>
        <s v="BPS-11124124"/>
        <s v="BPS-13022224"/>
        <s v="BPS-13022124"/>
        <s v="BPS-01532224"/>
        <s v="BPS-14031124"/>
        <s v="BPS-03822324"/>
        <s v="BPS-07732124"/>
        <s v="BPS-14521324"/>
        <s v="BPS-00233124"/>
        <s v="BPS-13321124"/>
        <s v="BPS-08133224"/>
        <s v="BPS-05331224"/>
        <s v="BPS-01434124"/>
        <s v="BPS-10322324"/>
        <s v="BPS-13433224"/>
        <s v="BPS-05934224"/>
        <s v="BPS-00621224"/>
        <s v="BPS-09522224"/>
        <s v="BPS-02131424"/>
        <s v="BPS-06134224"/>
        <s v="BPS-01833124"/>
        <s v="BPS-01421224"/>
        <s v="BPS-07334224"/>
        <s v="BPS-06221324"/>
        <s v="BPS-00321124"/>
        <s v="BPS-11022324"/>
        <s v="BPS-01431424"/>
        <s v="BPS-06321424"/>
        <s v="BPS-00723224"/>
        <s v="BPS-08324124"/>
        <s v="BPS-11834224"/>
        <s v="BPS-13021324"/>
        <s v="BPS-09222224"/>
        <s v="BPS-05221424"/>
        <s v="BPS-06531424"/>
        <s v="BPS-02031424"/>
        <s v="BPS-05622124"/>
        <s v="BPS-00932124"/>
        <s v="BPS-01732324"/>
        <s v="BPS-13334124"/>
        <s v="BPS-05922124"/>
        <s v="BPS-03422224"/>
        <s v="BPS-03532224"/>
        <s v="BPS-13431124"/>
        <s v="BPS-03833224"/>
        <s v="BPS-12721424"/>
        <s v="BPS-14631124"/>
        <s v="BPS-08931124"/>
        <s v="BPS-05121224"/>
        <s v="BPS-04331224"/>
        <s v="BPS-00723124"/>
        <s v="BPS-14431224"/>
        <s v="BPS-03232224"/>
        <s v="BPS-06131224"/>
        <s v="BPS-10434224"/>
        <s v="BPS-05231224"/>
        <s v="BPS-09132124"/>
        <s v="BPS-10322124"/>
        <s v="BPS-06021224"/>
        <s v="BPS-01631424"/>
        <s v="BPS-09121124"/>
        <s v="BPS-00334224"/>
        <s v="BPS-13231424"/>
        <s v="BPS-03333124"/>
        <s v="BPS-00421324"/>
        <s v="BPS-12921124"/>
        <s v="BPS-08822224"/>
        <s v="BPS-00834224"/>
        <s v="BPS-01233124"/>
        <s v="BPS-14931324"/>
        <s v="BPS-02034224"/>
        <s v="BPS-09221224"/>
        <s v="BPS-13631424"/>
        <s v="BPS-02321224"/>
        <s v="BPS-01432324"/>
        <s v="BPS-09124124"/>
        <s v="BPS-13621224"/>
        <s v="BPS-08432224"/>
        <s v="BPS-11824124"/>
        <s v="BPS-05132124"/>
        <s v="BPS-03134224"/>
        <s v="BPS-03621424"/>
        <s v="BPS-10034124"/>
        <s v="BPS-00422124"/>
        <s v="BPS-11622224"/>
        <s v="BPS-12323124"/>
        <s v="BPS-12622224"/>
        <s v="BPS-13332124"/>
        <s v="BPS-13022324"/>
        <s v="BPS-09331324"/>
        <s v="BPS-10632124"/>
        <s v="BPS-03723124"/>
        <s v="BPS-04532224"/>
        <s v="BPS-06931424"/>
        <s v="BPS-07322224"/>
        <s v="BPS-07121124"/>
        <s v="BPS-04232124"/>
        <s v="BPS-11731224"/>
        <s v="BPS-07821424"/>
        <s v="BPS-07434124"/>
        <s v="BPS-12023224"/>
        <s v="BPS-02531324"/>
        <s v="BPS-04531124"/>
        <s v="BPS-00534224"/>
        <s v="BPS-13331224"/>
        <s v="BPS-04421324"/>
        <s v="BPS-10331224"/>
        <s v="BPS-02132124"/>
        <s v="BPS-08431124"/>
        <s v="BPS-14134124"/>
        <s v="BPS-11821124"/>
        <s v="BPS-06124124"/>
        <s v="BPS-08532324"/>
        <s v="BPS-12631324"/>
        <s v="BPS-14021124"/>
        <s v="BPS-07433124"/>
        <s v="BPS-08822124"/>
        <s v="BPS-10331124"/>
        <s v="BPS-06732324"/>
        <s v="BPS-03931124"/>
        <s v="BPS-04031124"/>
        <s v="BPS-06032124"/>
        <s v="BPS-00322224"/>
        <s v="BPS-09423224"/>
        <s v="BPS-02922324"/>
        <s v="BPS-07331424"/>
        <s v="BPS-06031224"/>
        <s v="BPS-09831324"/>
        <s v="BPS-02633124"/>
        <s v="BPS-12621224"/>
        <s v="BPS-12822224"/>
        <s v="BPS-09823124"/>
        <s v="BPS-15022124"/>
        <s v="BPS-13032224"/>
        <s v="BPS-14721124"/>
        <s v="BPS-05721424"/>
        <s v="BPS-13033224"/>
        <s v="BPS-05622324"/>
        <s v="BPS-13532124"/>
        <s v="BPS-14023224"/>
        <s v="BPS-06824124"/>
        <s v="BPS-11524124"/>
        <s v="BPS-13031124"/>
        <s v="BPS-03421324"/>
        <s v="BPS-08332324"/>
        <s v="BPS-11222224"/>
        <s v="BPS-12931324"/>
        <s v="BPS-00824124"/>
        <s v="BPS-12924224"/>
        <s v="BPS-13631224"/>
        <s v="BPS-11123124"/>
        <s v="BPS-06631124"/>
        <s v="BPS-02421124"/>
        <s v="BPS-11023224"/>
        <s v="BPS-02823124"/>
        <s v="BPS-03633224"/>
        <s v="BPS-01033124"/>
        <s v="BPS-07834224"/>
        <s v="BPS-08421224"/>
        <s v="BPS-04431424"/>
        <s v="BPS-12722324"/>
        <s v="BPS-06331124"/>
        <s v="BPS-11332124"/>
        <s v="BPS-09921224"/>
        <s v="BPS-09322224"/>
        <s v="BPS-01233224"/>
        <s v="BPS-06623224"/>
        <s v="BPS-00823124"/>
        <s v="BPS-10822124"/>
        <s v="BPS-10824224"/>
        <s v="BPS-08121424"/>
        <s v="BPS-12723124"/>
        <s v="BPS-00533224"/>
        <s v="BPS-13622324"/>
        <s v="BPS-14322124"/>
        <s v="BPS-12131324"/>
        <s v="BPS-02831424"/>
        <s v="BPS-11032224"/>
        <s v="BPS-13121424"/>
        <s v="BPS-04522224"/>
        <s v="BPS-14623224"/>
        <s v="BPS-06922324"/>
        <s v="BPS-10134224"/>
        <s v="BPS-12933224"/>
        <s v="BPS-13932324"/>
        <s v="BPS-08331224"/>
        <s v="BPS-03024124"/>
        <s v="BPS-01732224"/>
        <s v="BPS-15022224"/>
        <s v="BPS-09031424"/>
        <s v="BPS-10032324"/>
        <s v="BPS-14531224"/>
        <s v="BPS-13731224"/>
        <s v="BPS-07321224"/>
        <s v="BPS-02622124"/>
        <s v="BPS-02933224"/>
        <s v="BPS-09833124"/>
        <s v="BPS-05922224"/>
        <s v="BPS-10631124"/>
        <s v="BPS-06132124"/>
        <s v="BPS-13234224"/>
        <s v="BPS-08932224"/>
        <s v="BPS-13223224"/>
        <s v="BPS-10624224"/>
        <s v="BPS-04433124"/>
        <s v="BPS-01224224"/>
        <s v="BPS-07031124"/>
        <s v="BPS-07621224"/>
        <s v="BPS-08921224"/>
        <s v="BPS-06933224"/>
        <s v="BPS-03323224"/>
        <s v="BPS-10231224"/>
        <s v="BPS-03821324"/>
        <s v="BPS-01624224"/>
        <s v="BPS-13023224"/>
        <s v="BPS-02334124"/>
        <s v="BPS-02732324"/>
        <s v="BPS-01724124"/>
        <s v="BPS-05023224"/>
        <s v="BPS-06521224"/>
        <s v="BPS-12024224"/>
        <s v="BPS-04323124"/>
        <s v="BPS-06923124"/>
        <s v="BPS-03123124"/>
        <s v="BPS-09421424"/>
        <s v="BPS-02023224"/>
        <s v="BPS-05232224"/>
        <s v="BPS-07931224"/>
        <s v="BPS-02024124"/>
        <s v="BPS-05523124"/>
        <s v="BPS-04532124"/>
        <s v="BPS-00733124"/>
        <s v="BPS-11534124"/>
        <s v="BPS-09434224"/>
        <s v="BPS-00734124"/>
        <s v="BPS-03132224"/>
        <s v="BPS-14921224"/>
        <s v="BPS-10222124"/>
        <s v="BPS-10021224"/>
        <s v="BPS-04122324"/>
        <s v="BPS-04933124"/>
        <s v="BPS-05423224"/>
        <s v="BPS-01821324"/>
        <s v="BPS-02723124"/>
        <s v="BPS-04123224"/>
        <s v="BPS-04932124"/>
        <s v="BPS-08422124"/>
        <s v="BPS-04831124"/>
        <s v="BPS-14922124"/>
        <s v="BPS-07831124"/>
        <s v="BPS-14022124"/>
        <s v="BPS-01221124"/>
        <s v="BPS-13432324"/>
        <s v="BPS-09433224"/>
        <s v="BPS-08624224"/>
        <s v="BPS-02124124"/>
        <s v="BPS-10623224"/>
        <s v="BPS-10131324"/>
        <s v="BPS-01322124"/>
        <s v="BPS-07331324"/>
        <s v="BPS-10021124"/>
        <s v="BPS-06432224"/>
        <s v="BPS-08233224"/>
        <s v="BPS-04231124"/>
        <s v="BPS-05623224"/>
        <s v="BPS-00732224"/>
        <s v="BPS-03531124"/>
        <s v="BPS-13533224"/>
        <s v="BPS-10422224"/>
        <s v="BPS-10424124"/>
        <s v="BPS-02831324"/>
        <s v="BPS-06221124"/>
        <s v="BPS-03023124"/>
        <s v="BPS-13921124"/>
        <s v="BPS-07534124"/>
        <s v="BPS-02133124"/>
        <s v="BPS-02821124"/>
        <s v="BPS-15021224"/>
        <s v="BPS-04631124"/>
        <s v="BPS-03922324"/>
        <s v="BPS-06721424"/>
        <s v="BPS-09531124"/>
        <s v="BPS-01434224"/>
        <s v="BPS-11924224"/>
        <s v="BPS-08733124"/>
        <s v="BPS-12633124"/>
        <s v="BPS-08332224"/>
        <s v="BPS-07723124"/>
        <s v="BPS-14231124"/>
        <s v="BPS-00632124"/>
        <s v="BPS-05031424"/>
        <s v="BPS-07324124"/>
        <s v="BPS-00621324"/>
        <s v="BPS-01132224"/>
        <s v="BPS-00721224"/>
        <s v="BPS-12923224"/>
        <s v="BPS-06722324"/>
        <s v="BPS-09332124"/>
        <s v="BPS-02521124"/>
        <s v="BPS-01131224"/>
        <s v="BPS-05421424"/>
        <s v="BPS-01922124"/>
        <s v="BPS-03524124"/>
        <s v="BPS-06321124"/>
        <s v="BPS-06823224"/>
        <s v="BPS-07222124"/>
        <s v="BPS-12032124"/>
        <s v="BPS-01232124"/>
        <s v="BPS-13933124"/>
        <s v="BPS-06122224"/>
        <s v="BPS-10132324"/>
        <s v="BPS-11634224"/>
        <s v="BPS-12032324"/>
        <s v="BPS-02122124"/>
        <s v="BPS-04121324"/>
        <s v="BPS-01133224"/>
        <s v="BPS-09631424"/>
        <s v="BPS-01223124"/>
        <s v="BPS-05232124"/>
        <s v="BPS-09432224"/>
        <s v="BPS-13733224"/>
        <s v="BPS-12631224"/>
        <s v="BPS-01724224"/>
        <s v="BPS-08023224"/>
        <s v="BPS-13822124"/>
        <s v="BPS-05821224"/>
        <s v="BPS-04223124"/>
        <s v="BPS-12034224"/>
        <s v="BPS-05122324"/>
        <s v="BPS-01531124"/>
        <s v="BPS-08933224"/>
        <s v="BPS-07032124"/>
        <s v="BPS-09324124"/>
        <s v="BPS-03834124"/>
        <s v="BPS-06331224"/>
        <s v="BPS-08734224"/>
        <s v="BPS-08123224"/>
        <s v="BPS-13723124"/>
        <s v="BPS-12821124"/>
        <s v="BPS-04531324"/>
        <s v="BPS-07034224"/>
        <s v="BPS-11532324"/>
        <s v="BPS-14522324"/>
        <s v="BPS-02833224"/>
        <s v="BPS-03821424"/>
        <s v="BPS-09333124"/>
        <s v="BPS-13623124"/>
        <s v="BPS-05821424"/>
        <s v="BPS-03424124"/>
        <s v="BPS-08133124"/>
        <s v="BPS-14222124"/>
        <s v="BPS-14633124"/>
        <s v="BPS-05234224"/>
        <s v="BPS-02532324"/>
        <s v="BPS-04231224"/>
        <s v="BPS-06721324"/>
        <s v="BPS-01823224"/>
        <s v="BPS-11531124"/>
        <s v="BPS-10533124"/>
        <s v="BPS-07533224"/>
        <s v="BPS-14624124"/>
        <s v="BPS-03431324"/>
        <s v="BPS-10731424"/>
        <s v="BPS-07234124"/>
        <s v="BPS-05923124"/>
        <s v="BPS-10022224"/>
        <s v="BPS-13633124"/>
        <s v="BPS-11221424"/>
        <s v="BPS-01824124"/>
        <s v="BPS-06234224"/>
        <s v="BPS-10632324"/>
        <s v="BPS-01531224"/>
        <s v="BPS-09131224"/>
        <s v="BPS-03532124"/>
        <s v="BPS-11131124"/>
        <s v="BPS-10333224"/>
        <s v="BPS-03333224"/>
        <s v="BPS-01932224"/>
        <s v="BPS-07731324"/>
        <s v="BPS-09631224"/>
        <s v="BPS-01731224"/>
        <s v="BPS-14723124"/>
        <s v="BPS-10934224"/>
        <s v="BPS-06431424"/>
        <s v="BPS-13931224"/>
        <s v="BPS-14823124"/>
        <s v="BPS-10523124"/>
        <s v="BPS-14934124"/>
        <s v="BPS-06032224"/>
        <s v="BPS-02822224"/>
        <s v="BPS-07821124"/>
        <s v="BPS-11924124"/>
        <s v="BPS-06323224"/>
        <s v="BPS-05731224"/>
        <s v="BPS-07734124"/>
        <s v="BPS-14032124"/>
        <s v="BPS-10433124"/>
        <s v="BPS-06623124"/>
        <s v="BPS-06622124"/>
        <s v="BPS-11433124"/>
        <s v="BPS-13823224"/>
        <s v="BPS-11721224"/>
        <s v="BPS-08231124"/>
        <s v="BPS-01321324"/>
        <s v="BPS-02931324"/>
        <s v="BPS-00334124"/>
        <s v="BPS-09033124"/>
        <s v="BPS-08922324"/>
        <s v="BPS-05231124"/>
        <s v="BPS-03021424"/>
        <s v="BPS-03424224"/>
        <s v="BPS-13821324"/>
        <s v="BPS-04423124"/>
        <s v="BPS-01524224"/>
        <s v="BPS-01931224"/>
        <s v="BPS-06231124"/>
        <s v="BPS-10231424"/>
        <s v="BPS-00232324"/>
        <s v="BPS-09321224"/>
        <s v="BPS-08524224"/>
        <s v="BPS-06322324"/>
        <s v="BPS-05021424"/>
        <s v="BPS-06522324"/>
        <s v="BPS-12732224"/>
        <s v="BPS-10922124"/>
        <s v="BPS-10931324"/>
        <s v="BPS-13621124"/>
        <s v="BPS-10332324"/>
        <s v="BPS-00132324"/>
        <s v="BPS-02021124"/>
        <s v="BPS-01134224"/>
        <s v="BPS-01832324"/>
        <s v="BPS-14021424"/>
        <s v="BPS-06323124"/>
        <s v="BPS-11822124"/>
        <s v="BPS-11021124"/>
        <s v="BPS-03621324"/>
        <s v="BPS-12822324"/>
        <s v="BPS-12821224"/>
        <s v="BPS-01522124"/>
        <s v="BPS-10622124"/>
        <s v="BPS-07521424"/>
        <s v="BPS-04021224"/>
        <s v="BPS-04722124"/>
        <s v="BPS-00533124"/>
        <s v="BPS-04231324"/>
        <s v="BPS-11721124"/>
        <s v="BPS-14421424"/>
        <s v="BPS-14434224"/>
        <s v="BPS-09532324"/>
        <s v="BPS-07021424"/>
        <s v="BPS-07232324"/>
        <s v="BPS-03623124"/>
        <s v="BPS-07924124"/>
        <s v="BPS-10231124"/>
        <s v="BPS-11132224"/>
        <s v="BPS-08523224"/>
        <s v="BPS-01822124"/>
        <s v="BPS-07121224"/>
        <s v="BPS-04933224"/>
        <s v="BPS-08832124"/>
        <s v="BPS-09122324"/>
        <s v="BPS-08221124"/>
        <s v="BPS-14333124"/>
        <s v="BPS-07024224"/>
        <s v="BPS-00832324"/>
        <s v="BPS-09031224"/>
        <s v="BPS-05331424"/>
        <s v="BPS-05032324"/>
        <s v="BPS-01234224"/>
        <s v="BPS-09032324"/>
        <s v="BPS-14533124"/>
        <s v="BPS-01333224"/>
        <s v="BPS-13221424"/>
        <s v="BPS-02323224"/>
        <s v="BPS-09922224"/>
        <s v="BPS-14621224"/>
        <s v="BPS-09724224"/>
        <s v="BPS-08231324"/>
        <s v="BPS-08222324"/>
        <s v="BPS-03633124"/>
        <s v="BPS-03621124"/>
        <s v="BPS-02424124"/>
        <s v="BPS-10431324"/>
        <s v="BPS-00432324"/>
        <s v="BPS-03631324"/>
        <s v="BPS-06532124"/>
        <s v="BPS-03422324"/>
        <s v="BPS-01521224"/>
        <s v="BPS-10732124"/>
        <s v="BPS-09621424"/>
        <s v="BPS-03933224"/>
        <s v="BPS-01421124"/>
        <s v="BPS-12321424"/>
        <s v="BPS-10224124"/>
        <s v="BPS-12031124"/>
        <s v="BPS-14821424"/>
        <s v="BPS-07332224"/>
        <s v="BPS-13621324"/>
        <s v="BPS-04622224"/>
        <s v="BPS-14534124"/>
        <s v="BPS-09233124"/>
        <s v="BPS-01522324"/>
        <s v="BPS-06431124"/>
        <s v="BPS-02834124"/>
        <s v="BPS-03322124"/>
        <s v="BPS-08431224"/>
        <s v="BPS-14223124"/>
        <s v="BPS-02634224"/>
        <s v="BPS-12831124"/>
        <s v="BPS-13931424"/>
        <s v="BPS-11523224"/>
        <s v="BPS-10633124"/>
        <s v="BPS-02523124"/>
        <s v="BPS-03022324"/>
        <s v="BPS-00622324"/>
        <s v="BPS-00333224"/>
        <s v="BPS-13824224"/>
        <s v="BPS-01522224"/>
        <s v="BPS-08124224"/>
        <s v="BPS-12423124"/>
        <s v="BPS-11233124"/>
        <s v="BPS-04921224"/>
        <s v="BPS-13732324"/>
        <s v="BPS-09822224"/>
        <s v="BPS-13131324"/>
        <s v="BPS-13721324"/>
        <s v="BPS-04524224"/>
        <s v="BPS-00121324"/>
        <s v="BPS-14331124"/>
        <s v="BPS-15023124"/>
        <s v="BPS-03332124"/>
        <s v="BPS-08024124"/>
        <s v="BPS-05122224"/>
        <s v="BPS-14524224"/>
        <s v="BPS-05533124"/>
        <s v="BPS-06031124"/>
        <s v="BPS-10832224"/>
        <s v="BPS-09933124"/>
        <s v="BPS-01421324"/>
        <s v="BPS-02121424"/>
        <s v="BPS-05431324"/>
        <s v="BPS-12221224"/>
        <s v="BPS-00222324"/>
        <s v="BPS-08932124"/>
        <s v="BPS-03221424"/>
        <s v="BPS-00434224"/>
        <s v="BPS-10831424"/>
        <s v="BPS-04622124"/>
        <s v="BPS-04332324"/>
        <s v="BPS-10722224"/>
        <s v="BPS-14721224"/>
        <s v="BPS-10931124"/>
        <s v="BPS-07224224"/>
        <s v="BPS-10121224"/>
        <s v="BPS-06223124"/>
        <s v="BPS-14633224"/>
        <s v="BPS-11223124"/>
        <s v="BPS-11422324"/>
        <s v="BPS-04432224"/>
        <s v="BPS-10131224"/>
        <s v="BPS-14321424"/>
        <s v="BPS-02331424"/>
        <s v="BPS-01122324"/>
        <s v="BPS-09321124"/>
        <s v="BPS-13523224"/>
        <s v="BPS-03833124"/>
        <s v="BPS-14221224"/>
        <s v="BPS-07731224"/>
        <s v="BPS-14133224"/>
        <s v="BPS-01723124"/>
        <s v="BPS-00321324"/>
        <s v="BPS-06121424"/>
        <s v="BPS-09634124"/>
        <s v="BPS-03632324"/>
        <s v="BPS-05521424"/>
        <s v="BPS-04324224"/>
        <s v="BPS-07632324"/>
        <s v="BPS-11421224"/>
        <s v="BPS-03233124"/>
        <s v="BPS-06631424"/>
        <s v="BPS-09522124"/>
        <s v="BPS-14821324"/>
        <s v="BPS-11031124"/>
        <s v="BPS-10932224"/>
        <s v="BPS-02221224"/>
        <s v="BPS-03731124"/>
        <s v="BPS-02434224"/>
        <s v="BPS-08621124"/>
        <s v="BPS-11824224"/>
        <s v="BPS-15021324"/>
        <s v="BPS-13323124"/>
        <s v="BPS-07822124"/>
        <s v="BPS-13033124"/>
        <s v="BPS-12033224"/>
        <s v="BPS-08534224"/>
        <s v="BPS-01532124"/>
        <s v="BPS-09721424"/>
        <s v="BPS-14121424"/>
        <s v="BPS-05021324"/>
        <s v="BPS-05131124"/>
        <s v="BPS-02621424"/>
        <s v="BPS-01733224"/>
        <s v="BPS-00231324"/>
        <s v="BPS-13431224"/>
        <s v="BPS-07824224"/>
        <s v="BPS-12423224"/>
        <s v="BPS-07822224"/>
        <s v="BPS-12124124"/>
        <s v="BPS-04222324"/>
        <s v="BPS-04833224"/>
        <s v="BPS-05033224"/>
        <s v="BPS-03221324"/>
        <s v="BPS-01133124"/>
        <s v="BPS-06134124"/>
        <s v="BPS-01231124"/>
        <s v="BPS-14131324"/>
        <s v="BPS-12632324"/>
        <s v="BPS-14331324"/>
        <s v="BPS-11034224"/>
        <s v="BPS-10421124"/>
        <s v="BPS-01521424"/>
        <s v="BPS-06024224"/>
        <s v="BPS-07432124"/>
        <s v="BPS-13832324"/>
        <s v="BPS-07931124"/>
        <s v="BPS-11222324"/>
        <s v="BPS-11821324"/>
        <s v="BPS-08924124"/>
        <s v="BPS-05822224"/>
        <s v="BPS-11522324"/>
        <s v="BPS-00532224"/>
        <s v="BPS-09224124"/>
        <s v="BPS-09421324"/>
        <s v="BPS-03832224"/>
        <s v="BPS-13024224"/>
        <s v="BPS-00632324"/>
        <s v="BPS-00122324"/>
        <s v="BPS-05024124"/>
        <s v="BPS-11732224"/>
        <s v="BPS-00431424"/>
        <s v="BPS-11221124"/>
        <s v="BPS-14731424"/>
        <s v="BPS-12131424"/>
        <s v="BPS-09124224"/>
        <s v="BPS-14031224"/>
        <s v="BPS-05931224"/>
        <s v="BPS-02424224"/>
        <s v="BPS-02422324"/>
        <s v="BPS-01223224"/>
        <s v="BPS-13231124"/>
        <s v="BPS-04822324"/>
        <s v="BPS-09823224"/>
        <s v="BPS-08934224"/>
        <s v="BPS-05734224"/>
        <s v="BPS-01933224"/>
        <s v="BPS-09632324"/>
        <s v="BPS-12923124"/>
        <s v="BPS-12431224"/>
        <s v="BPS-03432324"/>
        <s v="BPS-09422124"/>
        <s v="BPS-05031124"/>
        <s v="BPS-12421324"/>
        <s v="BPS-05621424"/>
        <s v="BPS-04931124"/>
        <s v="BPS-00631124"/>
        <s v="BPS-14433224"/>
        <s v="BPS-04034224"/>
        <s v="BPS-12422124"/>
        <s v="BPS-09321324"/>
        <s v="BPS-07531424"/>
        <s v="BPS-04622324"/>
        <s v="BPS-14723224"/>
        <s v="BPS-07622324"/>
        <s v="BPS-11431224"/>
        <s v="BPS-01421424"/>
        <s v="BPS-01632224"/>
        <s v="BPS-08631124"/>
        <s v="BPS-02723224"/>
        <s v="BPS-01122224"/>
        <s v="BPS-13833124"/>
        <s v="BPS-06321224"/>
        <s v="BPS-12932224"/>
        <s v="BPS-09421224"/>
        <s v="BPS-11633224"/>
        <s v="BPS-01222224"/>
        <s v="BPS-14822324"/>
        <s v="BPS-01023224"/>
        <s v="BPS-01731124"/>
        <s v="BPS-00833124"/>
        <s v="BPS-12532124"/>
        <s v="BPS-04134124"/>
        <s v="BPS-14622324"/>
        <s v="BPS-10933124"/>
        <s v="BPS-03021324"/>
        <s v="BPS-08122224"/>
        <s v="BPS-13834124"/>
        <s v="BPS-06331324"/>
        <s v="BPS-06121124"/>
        <s v="BPS-10924224"/>
        <s v="BPS-10223224"/>
        <s v="BPS-01021324"/>
        <s v="BPS-13724124"/>
        <s v="BPS-06624124"/>
        <s v="BPS-08632224"/>
        <s v="BPS-09924224"/>
        <s v="BPS-04633224"/>
        <s v="BPS-07724224"/>
        <s v="BPS-01631224"/>
        <s v="BPS-13722324"/>
        <s v="BPS-06421124"/>
        <s v="BPS-02232324"/>
        <s v="BPS-06621324"/>
        <s v="BPS-12933124"/>
        <s v="BPS-11221324"/>
        <s v="BPS-02622324"/>
        <s v="BPS-10023224"/>
        <s v="BPS-00524224"/>
        <s v="BPS-01222124"/>
        <s v="BPS-03624224"/>
        <s v="BPS-11322124"/>
        <s v="BPS-00623224"/>
        <s v="BPS-05924124"/>
        <s v="BPS-13922324"/>
        <s v="BPS-10222324"/>
        <s v="BPS-00223224"/>
        <s v="BPS-06334124"/>
        <s v="BPS-02621324"/>
        <s v="BPS-11234124"/>
        <s v="BPS-08021224"/>
        <s v="BPS-11833224"/>
        <s v="BPS-05624124"/>
        <s v="BPS-09324224"/>
        <s v="BPS-11931324"/>
        <s v="BPS-01533224"/>
        <s v="BPS-10921124"/>
        <s v="BPS-09633224"/>
        <s v="BPS-12123224"/>
        <s v="BPS-15021124"/>
        <s v="BPS-12631124"/>
        <s v="BPS-12932124"/>
        <s v="BPS-09123224"/>
        <s v="BPS-11121124"/>
        <s v="BPS-14531124"/>
        <s v="BPS-08522224"/>
        <s v="BPS-04732224"/>
        <s v="BPS-09531424"/>
        <s v="BPS-10934124"/>
        <s v="BPS-07531224"/>
        <s v="BPS-14632124"/>
        <s v="BPS-02534224"/>
        <s v="BPS-07721124"/>
        <s v="BPS-02924124"/>
        <s v="BPS-14234124"/>
        <s v="BPS-00434124"/>
        <s v="BPS-01623224"/>
        <s v="BPS-04424224"/>
        <s v="BPS-07921124"/>
        <s v="BPS-03921224"/>
        <s v="BPS-13632124"/>
        <s v="BPS-04824124"/>
        <s v="BPS-05722324"/>
        <s v="BPS-06233124"/>
        <s v="BPS-02523224"/>
        <s v="BPS-12531124"/>
        <s v="BPS-11932124"/>
        <s v="BPS-10031424"/>
        <s v="BPS-02922124"/>
        <s v="BPS-11232124"/>
        <s v="BPS-05231324"/>
        <s v="BPS-08631424"/>
        <s v="BPS-01521124"/>
        <s v="BPS-11822324"/>
        <s v="BPS-04631424"/>
        <s v="BPS-11333124"/>
        <s v="BPS-10921224"/>
        <s v="BPS-05831424"/>
        <s v="BPS-12633224"/>
        <s v="BPS-11531224"/>
        <s v="BPS-13134124"/>
        <s v="BPS-08731124"/>
        <s v="BPS-04132324"/>
        <s v="BPS-10531124"/>
        <s v="BPS-14431124"/>
        <s v="BPS-10931224"/>
        <s v="BPS-04521124"/>
        <s v="BPS-14321124"/>
        <s v="BPS-10923224"/>
        <s v="BPS-08331324"/>
        <s v="BPS-02521224"/>
        <s v="BPS-03023224"/>
        <s v="BPS-04621224"/>
        <s v="BPS-09531324"/>
        <s v="BPS-07632224"/>
        <s v="BPS-09723124"/>
        <s v="BPS-09934124"/>
      </sharedItems>
    </cacheField>
    <cacheField name="Bulan Pencatatan" numFmtId="164">
      <sharedItems containsSemiMixedTypes="0" containsDate="1" containsString="0">
        <d v="2024-02-01T00:00:00Z"/>
        <d v="2024-03-01T00:00:00Z"/>
      </sharedItems>
    </cacheField>
    <cacheField name="Kelompok Kategori" numFmtId="0">
      <sharedItems>
        <s v="Rumah Tangga"/>
        <s v="Rekreasi dan Kendaraan"/>
        <s v="Makanan dan Pakaian "/>
        <s v="Pendidikan dan Kesehatan"/>
      </sharedItems>
    </cacheField>
    <cacheField name="Kategori" numFmtId="0">
      <sharedItems>
        <s v="Listrik"/>
        <s v="Rekreasi"/>
        <s v="Furniture"/>
        <s v="Minuman"/>
        <s v="Pendidikan"/>
        <s v="Produk Kesehatan"/>
        <s v="Kendaraan"/>
        <s v="Pakaian"/>
        <s v="Sewa Rumah"/>
        <s v="Alas Kaki"/>
        <s v="Makanan"/>
      </sharedItems>
    </cacheField>
    <cacheField name="Index Harga Konsumen (IHK)" numFmtId="0">
      <sharedItems containsSemiMixedTypes="0" containsString="0" containsNumber="1">
        <n v="104.73"/>
        <n v="104.08"/>
        <n v="110.05"/>
        <n v="107.64"/>
        <n v="101.04"/>
        <n v="103.13"/>
        <n v="103.02"/>
        <n v="105.59"/>
        <n v="99.59"/>
        <n v="100.0"/>
        <n v="104.53"/>
        <n v="104.28"/>
        <n v="101.82"/>
        <n v="100.06"/>
        <n v="102.44"/>
        <n v="101.39"/>
        <n v="105.32"/>
        <n v="109.98"/>
        <n v="105.3"/>
        <n v="105.99"/>
        <n v="114.17"/>
        <n v="104.14"/>
        <n v="105.5"/>
        <n v="100.08"/>
        <n v="103.36"/>
        <n v="106.07"/>
        <n v="100.3"/>
        <n v="112.29"/>
        <n v="101.11"/>
        <n v="104.44"/>
        <n v="102.41"/>
        <n v="103.67"/>
        <n v="100.43"/>
        <n v="100.54"/>
        <n v="111.23"/>
        <n v="103.72"/>
        <n v="101.21"/>
        <n v="103.25"/>
        <n v="105.56"/>
        <n v="98.74"/>
        <n v="99.08"/>
        <n v="104.35"/>
        <n v="106.04"/>
        <n v="105.07"/>
        <n v="100.07"/>
        <n v="99.48"/>
        <n v="100.53"/>
        <n v="101.28"/>
        <n v="100.28"/>
        <n v="101.74"/>
        <n v="104.07"/>
        <n v="108.62"/>
        <n v="102.15"/>
        <n v="104.52"/>
        <n v="98.32"/>
        <n v="110.96"/>
        <n v="114.54"/>
        <n v="100.04"/>
        <n v="102.62"/>
        <n v="103.45"/>
        <n v="106.59"/>
        <n v="99.95"/>
        <n v="106.14"/>
        <n v="101.6"/>
        <n v="100.75"/>
        <n v="107.38"/>
        <n v="103.39"/>
        <n v="99.79"/>
        <n v="101.33"/>
        <n v="97.66"/>
        <n v="104.99"/>
        <n v="101.49"/>
        <n v="107.24"/>
        <n v="107.13"/>
        <n v="94.7"/>
        <n v="102.22"/>
        <n v="102.0"/>
        <n v="102.76"/>
        <n v="100.38"/>
        <n v="102.77"/>
        <n v="101.8"/>
        <n v="101.08"/>
        <n v="100.2"/>
        <n v="100.72"/>
        <n v="108.45"/>
        <n v="109.31"/>
        <n v="105.94"/>
        <n v="104.0"/>
        <n v="99.26"/>
        <n v="102.57"/>
        <n v="107.28"/>
        <n v="101.35"/>
        <n v="101.0"/>
        <n v="101.91"/>
        <n v="110.93"/>
        <n v="107.72"/>
        <n v="99.55"/>
        <n v="100.87"/>
        <n v="115.31"/>
        <n v="104.46"/>
        <n v="98.12"/>
        <n v="118.71"/>
        <n v="109.8"/>
        <n v="100.97"/>
        <n v="100.83"/>
        <n v="103.76"/>
        <n v="103.89"/>
        <n v="102.56"/>
        <n v="103.64"/>
        <n v="108.31"/>
        <n v="110.32"/>
        <n v="100.48"/>
        <n v="102.31"/>
        <n v="100.16"/>
        <n v="102.35"/>
        <n v="99.63"/>
        <n v="99.06"/>
        <n v="121.28"/>
        <n v="104.54"/>
        <n v="100.15"/>
        <n v="103.41"/>
        <n v="101.69"/>
        <n v="108.65"/>
        <n v="103.62"/>
        <n v="102.28"/>
        <n v="101.57"/>
        <n v="100.32"/>
        <n v="102.08"/>
        <n v="99.87"/>
        <n v="92.0"/>
        <n v="104.56"/>
        <n v="100.58"/>
        <n v="110.6"/>
        <n v="105.21"/>
        <n v="108.05"/>
        <n v="104.81"/>
        <n v="110.4"/>
        <n v="97.87"/>
        <n v="103.81"/>
        <n v="106.08"/>
        <n v="104.89"/>
        <n v="108.74"/>
        <n v="116.53"/>
        <n v="111.16"/>
        <n v="100.57"/>
        <n v="101.89"/>
        <n v="110.77"/>
        <n v="113.97"/>
        <n v="105.87"/>
        <n v="100.77"/>
        <n v="112.9"/>
        <n v="109.88"/>
        <n v="100.65"/>
        <n v="104.86"/>
        <n v="103.01"/>
        <n v="101.53"/>
        <n v="112.81"/>
        <n v="100.52"/>
        <n v="107.19"/>
        <n v="104.43"/>
        <n v="107.53"/>
        <n v="102.33"/>
        <n v="103.65"/>
        <n v="102.78"/>
        <n v="110.43"/>
        <n v="101.56"/>
        <n v="106.34"/>
        <n v="101.47"/>
        <n v="101.15"/>
        <n v="101.54"/>
        <n v="101.05"/>
        <n v="101.87"/>
        <n v="102.18"/>
        <n v="109.99"/>
        <n v="106.62"/>
        <n v="99.88"/>
        <n v="98.8"/>
        <n v="111.48"/>
        <n v="102.14"/>
        <n v="110.23"/>
        <n v="102.1"/>
        <n v="103.12"/>
        <n v="105.47"/>
        <n v="113.06"/>
        <n v="107.69"/>
        <n v="97.37"/>
        <n v="110.29"/>
        <n v="102.16"/>
        <n v="100.59"/>
        <n v="107.35"/>
        <n v="109.02"/>
        <n v="101.1"/>
        <n v="100.29"/>
        <n v="101.62"/>
        <n v="92.62"/>
        <n v="101.45"/>
        <n v="101.16"/>
        <n v="98.75"/>
        <n v="103.84"/>
        <n v="100.76"/>
        <n v="102.26"/>
        <n v="101.72"/>
        <n v="103.9"/>
        <n v="100.26"/>
        <n v="104.21"/>
        <n v="102.23"/>
        <n v="103.58"/>
        <n v="100.41"/>
        <n v="106.7"/>
        <n v="101.58"/>
        <n v="101.85"/>
        <n v="102.04"/>
        <n v="109.69"/>
        <n v="100.86"/>
        <n v="104.61"/>
        <n v="100.11"/>
        <n v="99.15"/>
        <n v="101.44"/>
        <n v="101.26"/>
        <n v="102.09"/>
        <n v="107.36"/>
        <n v="109.7"/>
        <n v="106.28"/>
        <n v="100.9"/>
        <n v="100.91"/>
        <n v="102.19"/>
        <n v="113.95"/>
        <n v="99.51"/>
        <n v="103.95"/>
        <n v="122.7"/>
        <n v="107.31"/>
        <n v="98.01"/>
        <n v="102.75"/>
        <n v="107.52"/>
        <n v="104.17"/>
        <n v="100.64"/>
        <n v="102.36"/>
        <n v="100.94"/>
        <n v="98.42"/>
        <n v="104.82"/>
        <n v="103.85"/>
        <n v="115.54"/>
        <n v="103.23"/>
        <n v="102.5"/>
        <n v="101.76"/>
        <n v="100.05"/>
        <n v="108.12"/>
        <n v="103.33"/>
        <n v="108.57"/>
        <n v="104.42"/>
        <n v="111.77"/>
        <n v="99.74"/>
        <n v="100.8"/>
        <n v="94.84"/>
        <n v="100.12"/>
        <n v="102.43"/>
        <n v="101.73"/>
        <n v="104.93"/>
        <n v="94.8"/>
        <n v="107.15"/>
        <n v="102.49"/>
        <n v="105.43"/>
        <n v="102.39"/>
        <n v="102.6"/>
        <n v="100.39"/>
        <n v="103.61"/>
        <n v="102.73"/>
        <n v="108.33"/>
        <n v="103.07"/>
        <n v="101.98"/>
        <n v="102.88"/>
        <n v="100.19"/>
        <n v="119.69"/>
        <n v="101.68"/>
        <n v="102.93"/>
        <n v="100.51"/>
        <n v="103.57"/>
        <n v="100.35"/>
        <n v="105.75"/>
        <n v="101.18"/>
        <n v="103.15"/>
        <n v="107.48"/>
        <n v="105.34"/>
        <n v="100.45"/>
        <n v="102.64"/>
        <n v="101.63"/>
        <n v="106.87"/>
        <n v="100.79"/>
        <n v="105.54"/>
        <n v="103.5"/>
        <n v="107.08"/>
        <n v="101.55"/>
        <n v="102.94"/>
        <n v="99.77"/>
        <n v="108.79"/>
        <n v="100.03"/>
        <n v="100.17"/>
        <n v="100.14"/>
        <n v="104.59"/>
        <n v="112.36"/>
        <n v="103.22"/>
        <n v="100.23"/>
        <n v="103.86"/>
        <n v="106.99"/>
        <n v="97.9"/>
        <n v="102.38"/>
        <n v="85.45"/>
        <n v="98.98"/>
        <n v="102.96"/>
        <n v="107.63"/>
        <n v="102.98"/>
        <n v="104.72"/>
        <n v="118.34"/>
        <n v="99.01"/>
        <n v="101.5"/>
        <n v="104.4"/>
        <n v="104.92"/>
        <n v="101.86"/>
        <n v="104.11"/>
        <n v="99.52"/>
        <n v="108.07"/>
        <n v="101.64"/>
        <n v="103.44"/>
        <n v="107.44"/>
        <n v="101.12"/>
        <n v="107.14"/>
        <n v="106.47"/>
        <n v="105.01"/>
        <n v="110.3"/>
        <n v="110.74"/>
        <n v="112.78"/>
        <n v="102.29"/>
        <n v="107.82"/>
        <n v="101.59"/>
        <n v="102.74"/>
        <n v="104.67"/>
        <n v="104.06"/>
        <n v="105.92"/>
        <n v="118.47"/>
        <n v="102.21"/>
        <n v="110.1"/>
        <n v="111.53"/>
        <n v="102.2"/>
        <n v="107.9"/>
        <n v="113.03"/>
        <n v="106.69"/>
        <n v="100.24"/>
        <n v="92.39"/>
        <n v="108.77"/>
        <n v="111.44"/>
        <n v="104.45"/>
        <n v="110.82"/>
        <n v="106.32"/>
        <n v="104.01"/>
        <n v="115.76"/>
        <n v="100.27"/>
        <n v="94.69"/>
        <n v="101.92"/>
        <n v="105.96"/>
        <n v="105.79"/>
        <n v="106.02"/>
        <n v="101.42"/>
        <n v="104.02"/>
        <n v="105.35"/>
        <n v="104.94"/>
        <n v="99.4"/>
        <n v="102.9"/>
        <n v="101.75"/>
        <n v="100.82"/>
        <n v="103.18"/>
        <n v="112.04"/>
        <n v="103.19"/>
        <n v="100.1"/>
        <n v="100.47"/>
        <n v="100.85"/>
        <n v="109.56"/>
        <n v="105.6"/>
        <n v="109.13"/>
        <n v="114.33"/>
        <n v="100.88"/>
        <n v="104.98"/>
        <n v="114.15"/>
        <n v="103.06"/>
        <n v="102.97"/>
        <n v="111.35"/>
        <n v="103.21"/>
        <n v="99.71"/>
        <n v="104.2"/>
        <n v="117.12"/>
        <n v="100.44"/>
        <n v="107.26"/>
        <n v="101.37"/>
        <n v="109.33"/>
        <n v="111.45"/>
        <n v="105.22"/>
        <n v="123.78"/>
        <n v="106.85"/>
        <n v="105.63"/>
        <n v="107.22"/>
        <n v="95.28"/>
        <n v="107.8"/>
        <n v="110.15"/>
        <n v="101.19"/>
        <n v="104.58"/>
        <n v="103.94"/>
        <n v="94.72"/>
        <n v="105.82"/>
        <n v="102.13"/>
        <n v="107.29"/>
        <n v="97.21"/>
        <n v="101.13"/>
        <n v="106.77"/>
        <n v="101.66"/>
        <n v="112.32"/>
        <n v="102.59"/>
        <n v="106.96"/>
        <n v="101.51"/>
        <n v="111.94"/>
        <n v="118.66"/>
        <n v="114.71"/>
        <n v="111.41"/>
        <n v="100.81"/>
        <n v="103.51"/>
        <n v="97.95"/>
        <n v="99.32"/>
        <n v="101.09"/>
        <n v="99.9"/>
        <n v="103.77"/>
        <n v="100.02"/>
        <n v="97.08"/>
        <n v="100.69"/>
        <n v="100.93"/>
        <n v="100.95"/>
        <n v="102.45"/>
        <n v="107.45"/>
        <n v="98.19"/>
        <n v="92.86"/>
        <n v="107.83"/>
        <n v="100.21"/>
        <n v="105.0"/>
        <n v="100.18"/>
        <n v="97.97"/>
        <n v="105.64"/>
        <n v="100.37"/>
        <n v="98.47"/>
        <n v="113.6"/>
        <n v="116.7"/>
        <n v="103.0"/>
        <n v="101.43"/>
        <n v="93.83"/>
        <n v="110.13"/>
        <n v="107.21"/>
        <n v="102.82"/>
        <n v="89.45"/>
        <n v="104.27"/>
        <n v="102.55"/>
        <n v="97.75"/>
        <n v="101.93"/>
        <n v="100.92"/>
        <n v="102.46"/>
        <n v="105.86"/>
        <n v="98.18"/>
        <n v="100.13"/>
        <n v="104.32"/>
        <n v="113.42"/>
        <n v="112.22"/>
        <n v="103.11"/>
        <n v="105.51"/>
        <n v="102.68"/>
        <n v="103.82"/>
        <n v="106.55"/>
        <n v="99.92"/>
        <n v="104.57"/>
        <n v="101.34"/>
        <n v="104.95"/>
        <n v="103.04"/>
        <n v="102.87"/>
        <n v="100.4"/>
        <n v="104.16"/>
        <n v="109.67"/>
        <n v="107.16"/>
        <n v="105.15"/>
        <n v="101.36"/>
        <n v="105.11"/>
        <n v="108.28"/>
        <n v="114.02"/>
        <n v="102.02"/>
        <n v="113.93"/>
        <n v="103.75"/>
        <n v="101.41"/>
        <n v="102.3"/>
        <n v="101.06"/>
        <n v="95.42"/>
        <n v="105.76"/>
        <n v="110.59"/>
        <n v="99.8"/>
        <n v="104.04"/>
        <n v="103.87"/>
        <n v="100.25"/>
        <n v="108.41"/>
        <n v="103.96"/>
        <n v="98.03"/>
        <n v="109.28"/>
        <n v="106.88"/>
        <n v="104.12"/>
        <n v="99.93"/>
        <n v="102.84"/>
        <n v="100.7"/>
        <n v="102.47"/>
        <n v="104.25"/>
        <n v="101.23"/>
        <n v="103.37"/>
        <n v="100.34"/>
        <n v="119.64"/>
        <n v="111.56"/>
        <n v="113.19"/>
        <n v="105.08"/>
        <n v="109.09"/>
        <n v="108.84"/>
        <n v="100.31"/>
        <n v="114.3"/>
        <n v="111.67"/>
        <n v="100.74"/>
        <n v="95.31"/>
        <n v="105.46"/>
        <n v="104.26"/>
        <n v="101.83"/>
        <n v="97.02"/>
        <n v="101.77"/>
        <n v="106.01"/>
        <n v="104.68"/>
        <n v="97.8"/>
        <n v="103.2"/>
        <n v="105.77"/>
        <n v="99.82"/>
        <n v="97.13"/>
        <n v="111.99"/>
        <n v="108.96"/>
        <n v="101.48"/>
        <n v="98.77"/>
        <n v="101.97"/>
        <n v="106.13"/>
        <n v="103.98"/>
        <n v="107.75"/>
        <n v="106.79"/>
        <n v="99.64"/>
        <n v="103.54"/>
        <n v="108.42"/>
        <n v="104.64"/>
        <n v="111.31"/>
        <n v="104.19"/>
        <n v="98.85"/>
        <n v="109.29"/>
        <n v="106.11"/>
        <n v="103.1"/>
        <n v="102.72"/>
        <n v="110.22"/>
        <n v="104.77"/>
        <n v="103.26"/>
        <n v="102.66"/>
        <n v="118.26"/>
        <n v="102.4"/>
        <n v="106.48"/>
        <n v="99.98"/>
        <n v="103.46"/>
        <n v="102.42"/>
        <n v="101.46"/>
        <n v="109.17"/>
        <n v="96.3"/>
        <n v="111.36"/>
        <n v="108.51"/>
        <n v="102.95"/>
        <n v="101.25"/>
        <n v="111.61"/>
        <n v="101.29"/>
        <n v="103.34"/>
        <n v="102.34"/>
        <n v="110.48"/>
        <n v="105.12"/>
        <n v="95.01"/>
        <n v="103.03"/>
        <n v="105.84"/>
        <n v="105.66"/>
        <n v="101.4"/>
        <n v="101.7"/>
        <n v="99.2"/>
        <n v="97.82"/>
        <n v="105.68"/>
        <n v="103.88"/>
        <n v="102.61"/>
        <n v="101.9"/>
        <n v="101.67"/>
        <n v="114.77"/>
        <n v="104.83"/>
        <n v="105.31"/>
        <n v="109.66"/>
        <n v="104.39"/>
        <n v="109.63"/>
        <n v="107.55"/>
        <n v="106.64"/>
        <n v="113.45"/>
        <n v="105.69"/>
        <n v="103.16"/>
        <n v="109.11"/>
        <n v="106.63"/>
        <n v="99.99"/>
        <n v="103.28"/>
        <n v="112.0"/>
        <n v="94.78"/>
        <n v="103.3"/>
        <n v="112.52"/>
        <n v="106.46"/>
        <n v="103.79"/>
        <n v="104.05"/>
        <n v="109.42"/>
        <n v="106.1"/>
        <n v="95.21"/>
        <n v="103.47"/>
        <n v="103.53"/>
        <n v="107.59"/>
        <n v="103.92"/>
        <n v="109.35"/>
        <n v="108.14"/>
        <n v="113.84"/>
        <n v="109.71"/>
        <n v="113.58"/>
        <n v="105.62"/>
        <n v="109.41"/>
        <n v="106.9"/>
        <n v="104.84"/>
        <n v="105.33"/>
        <n v="99.17"/>
        <n v="110.84"/>
        <n v="113.08"/>
        <n v="115.2"/>
        <n v="109.27"/>
        <n v="110.24"/>
        <n v="108.02"/>
        <n v="103.05"/>
        <n v="102.37"/>
        <n v="103.09"/>
        <n v="103.68"/>
        <n v="96.9"/>
        <n v="101.27"/>
        <n v="99.02"/>
        <n v="102.89"/>
        <n v="108.87"/>
        <n v="101.81"/>
        <n v="103.66"/>
        <n v="102.52"/>
        <n v="117.67"/>
        <n v="99.85"/>
        <n v="102.81"/>
        <n v="99.11"/>
        <n v="113.28"/>
        <n v="100.42"/>
        <n v="107.97"/>
        <n v="100.49"/>
        <n v="106.03"/>
        <n v="110.0"/>
        <n v="107.34"/>
        <n v="111.46"/>
        <n v="103.93"/>
        <n v="114.99"/>
        <n v="110.11"/>
        <n v="106.83"/>
        <n v="101.65"/>
        <n v="104.6"/>
        <n v="117.38"/>
        <n v="98.25"/>
        <n v="105.38"/>
        <n v="101.17"/>
        <n v="109.96"/>
        <n v="100.98"/>
        <n v="105.17"/>
        <n v="105.36"/>
        <n v="104.66"/>
        <n v="111.38"/>
        <n v="103.74"/>
        <n v="102.86"/>
        <n v="109.12"/>
        <n v="88.61"/>
        <n v="102.83"/>
        <n v="106.75"/>
        <n v="102.63"/>
        <n v="109.15"/>
        <n v="103.8"/>
        <n v="110.28"/>
        <n v="106.25"/>
        <n v="109.53"/>
        <n v="106.5"/>
        <n v="113.48"/>
        <n v="107.71"/>
        <n v="100.66"/>
        <n v="115.42"/>
        <n v="108.15"/>
        <n v="101.03"/>
        <n v="116.86"/>
        <n v="106.66"/>
        <n v="105.39"/>
        <n v="105.57"/>
        <n v="106.86"/>
        <n v="105.88"/>
        <n v="102.51"/>
        <n v="105.41"/>
        <n v="106.27"/>
        <n v="103.83"/>
        <n v="119.32"/>
        <n v="97.53"/>
        <n v="99.54"/>
        <n v="102.11"/>
        <n v="100.67"/>
        <n v="95.91"/>
        <n v="103.49"/>
        <n v="139.2"/>
        <n v="109.25"/>
        <n v="101.02"/>
        <n v="99.34"/>
        <n v="107.2"/>
        <n v="109.83"/>
        <n v="106.76"/>
        <n v="105.78"/>
        <n v="107.01"/>
        <n v="106.54"/>
        <n v="101.79"/>
        <n v="106.26"/>
        <n v="107.12"/>
        <n v="104.29"/>
        <n v="101.61"/>
        <n v="95.18"/>
        <n v="100.09"/>
        <n v="102.8"/>
        <n v="107.7"/>
        <n v="108.37"/>
        <n v="104.24"/>
        <n v="118.94"/>
        <n v="106.92"/>
        <n v="108.19"/>
        <n v="101.24"/>
        <n v="100.84"/>
        <n v="120.98"/>
        <n v="103.56"/>
        <n v="101.99"/>
        <n v="106.15"/>
        <n v="103.78"/>
        <n v="97.61"/>
        <n v="108.11"/>
        <n v="107.94"/>
        <n v="106.73"/>
        <n v="110.8"/>
        <n v="102.03"/>
        <n v="112.74"/>
        <n v="98.88"/>
        <n v="107.65"/>
        <n v="109.04"/>
        <n v="104.55"/>
        <n v="94.82"/>
        <n v="115.33"/>
        <n v="109.82"/>
        <n v="100.61"/>
        <n v="105.49"/>
        <n v="99.24"/>
        <n v="107.92"/>
        <n v="93.36"/>
        <n v="104.23"/>
        <n v="104.79"/>
        <n v="106.35"/>
        <n v="106.58"/>
        <n v="107.61"/>
        <n v="101.71"/>
        <n v="106.71"/>
        <n v="114.03"/>
        <n v="103.17"/>
        <n v="111.18"/>
        <n v="112.77"/>
        <n v="106.09"/>
        <n v="109.54"/>
        <n v="109.89"/>
        <n v="105.9"/>
        <n v="112.44"/>
        <n v="105.95"/>
        <n v="105.29"/>
        <n v="107.25"/>
        <n v="111.17"/>
        <n v="99.05"/>
        <n v="98.48"/>
        <n v="103.32"/>
        <n v="102.92"/>
        <n v="98.63"/>
        <n v="112.47"/>
        <n v="92.41"/>
        <n v="110.25"/>
        <n v="116.14"/>
        <n v="99.42"/>
        <n v="105.58"/>
        <n v="113.81"/>
        <n v="99.23"/>
        <n v="102.27"/>
        <n v="108.97"/>
        <n v="101.32"/>
        <n v="96.48"/>
        <n v="109.76"/>
        <n v="104.75"/>
        <n v="103.97"/>
        <n v="101.78"/>
        <n v="110.44"/>
        <n v="122.86"/>
        <n v="102.07"/>
        <n v="105.98"/>
        <n v="106.36"/>
        <n v="107.37"/>
        <n v="109.51"/>
        <n v="117.44"/>
        <n v="108.89"/>
        <n v="101.52"/>
        <n v="116.69"/>
        <n v="108.83"/>
        <n v="111.25"/>
        <n v="107.23"/>
        <n v="106.18"/>
        <n v="109.77"/>
        <n v="107.39"/>
        <n v="109.16"/>
        <n v="109.58"/>
        <n v="105.03"/>
        <n v="103.31"/>
        <n v="109.3"/>
        <n v="103.24"/>
        <n v="97.79"/>
        <n v="113.27"/>
        <n v="107.03"/>
        <n v="106.67"/>
        <n v="112.86"/>
        <n v="100.89"/>
        <n v="99.78"/>
        <n v="104.51"/>
        <n v="103.63"/>
        <n v="104.71"/>
        <n v="106.42"/>
        <n v="104.65"/>
        <n v="109.0"/>
        <n v="115.44"/>
        <n v="109.26"/>
        <n v="107.66"/>
        <n v="107.49"/>
        <n v="107.41"/>
        <n v="106.2"/>
        <n v="118.04"/>
        <n v="97.94"/>
        <n v="110.55"/>
        <n v="110.91"/>
        <n v="104.38"/>
        <n v="100.62"/>
        <n v="118.5"/>
        <n v="120.59"/>
        <n v="102.24"/>
        <n v="106.39"/>
        <n v="104.88"/>
        <n v="104.5"/>
        <n v="106.23"/>
        <n v="101.96"/>
        <n v="108.53"/>
        <n v="104.3"/>
        <n v="104.96"/>
        <n v="101.95"/>
        <n v="101.2"/>
        <n v="99.86"/>
        <n v="109.74"/>
        <n v="100.73"/>
        <n v="104.37"/>
        <n v="97.86"/>
        <n v="104.03"/>
        <n v="104.49"/>
        <n v="105.19"/>
        <n v="98.87"/>
        <n v="108.92"/>
        <n v="109.4"/>
        <n v="112.23"/>
        <n v="114.4"/>
        <n v="106.97"/>
        <n v="109.95"/>
        <n v="108.44"/>
        <n v="107.32"/>
        <n v="111.6"/>
        <n v="100.6"/>
        <n v="108.94"/>
        <n v="105.05"/>
        <n v="109.39"/>
        <n v="103.08"/>
        <n v="102.12"/>
        <n v="113.54"/>
        <n v="115.28"/>
        <n v="109.97"/>
        <n v="108.3"/>
        <n v="112.56"/>
        <n v="104.87"/>
        <n v="98.14"/>
        <n v="114.88"/>
        <n v="108.85"/>
        <n v="109.18"/>
        <n v="115.17"/>
        <n v="103.35"/>
        <n v="111.27"/>
        <n v="111.71"/>
        <n v="100.36"/>
        <n v="111.74"/>
        <n v="100.33"/>
        <n v="105.02"/>
        <n v="108.22"/>
        <n v="98.05"/>
        <n v="99.46"/>
        <n v="109.55"/>
        <n v="102.53"/>
        <n v="103.43"/>
        <n v="111.87"/>
        <n v="111.12"/>
        <n v="104.7"/>
        <n v="109.24"/>
        <n v="101.38"/>
        <n v="98.99"/>
        <n v="102.79"/>
        <n v="114.35"/>
        <n v="96.97"/>
        <n v="101.3"/>
        <n v="102.99"/>
        <n v="100.71"/>
        <n v="93.76"/>
        <n v="116.73"/>
        <n v="116.37"/>
        <n v="116.19"/>
        <n v="101.22"/>
        <n v="110.04"/>
        <n v="107.87"/>
        <n v="112.37"/>
        <n v="99.84"/>
        <n v="107.04"/>
        <n v="105.8"/>
        <n v="104.85"/>
        <n v="109.43"/>
        <n v="104.13"/>
        <n v="117.37"/>
        <n v="99.66"/>
        <n v="99.89"/>
        <n v="108.98"/>
        <n v="124.19"/>
        <n v="110.78"/>
        <n v="108.93"/>
        <n v="111.85"/>
        <n v="114.36"/>
        <n v="114.38"/>
        <n v="105.06"/>
        <n v="100.78"/>
        <n v="106.51"/>
        <n v="93.27"/>
        <n v="105.23"/>
        <n v="108.21"/>
        <n v="103.27"/>
        <n v="107.3"/>
        <n v="99.68"/>
        <n v="97.56"/>
        <n v="107.43"/>
        <n v="116.97"/>
        <n v="106.22"/>
        <n v="115.95"/>
        <n v="96.73"/>
        <n v="100.96"/>
        <n v="96.52"/>
        <n v="105.45"/>
        <n v="97.48"/>
        <n v="106.94"/>
        <n v="111.02"/>
        <n v="104.97"/>
        <n v="93.81"/>
        <n v="95.77"/>
        <n v="94.16"/>
        <n v="103.52"/>
        <n v="97.5"/>
        <n v="106.37"/>
        <n v="109.44"/>
        <n v="113.51"/>
        <n v="116.76"/>
        <n v="111.93"/>
        <n v="112.09"/>
        <n v="99.25"/>
        <n v="97.41"/>
        <n v="110.18"/>
        <n v="115.86"/>
        <n v="105.27"/>
        <n v="110.46"/>
        <n v="99.96"/>
        <n v="109.14"/>
        <n v="106.78"/>
        <n v="94.83"/>
        <n v="105.65"/>
        <n v="106.53"/>
        <n v="96.2"/>
        <n v="106.49"/>
        <n v="96.57"/>
        <n v="107.96"/>
        <n v="108.99"/>
        <n v="98.61"/>
        <n v="95.69"/>
        <n v="113.32"/>
        <n v="97.3"/>
        <n v="96.82"/>
        <n v="93.65"/>
        <n v="103.42"/>
        <n v="118.68"/>
        <n v="99.6"/>
        <n v="102.65"/>
        <n v="107.0"/>
        <n v="104.8"/>
        <n v="104.36"/>
        <n v="95.98"/>
        <n v="99.5"/>
        <n v="99.62"/>
        <n v="103.14"/>
        <n v="117.23"/>
        <n v="103.55"/>
        <n v="103.6"/>
        <n v="100.56"/>
        <n v="103.99"/>
        <n v="103.48"/>
        <n v="104.18"/>
        <n v="105.24"/>
        <n v="114.06"/>
        <n v="100.63"/>
        <n v="110.31"/>
        <n v="117.88"/>
        <n v="96.15"/>
        <n v="103.91"/>
        <n v="112.18"/>
        <n v="112.34"/>
        <n v="110.14"/>
        <n v="106.95"/>
        <n v="102.32"/>
        <n v="105.53"/>
        <n v="108.61"/>
        <n v="96.83"/>
        <n v="108.25"/>
        <n v="106.0"/>
        <n v="114.87"/>
        <n v="114.0"/>
        <n v="102.7"/>
        <n v="108.16"/>
        <n v="92.49"/>
        <n v="105.67"/>
        <n v="107.57"/>
        <n v="109.52"/>
        <n v="97.74"/>
        <n v="106.16"/>
        <n v="105.28"/>
        <n v="102.05"/>
        <n v="111.43"/>
        <n v="98.53"/>
        <n v="99.16"/>
        <n v="109.2"/>
        <n v="110.54"/>
        <n v="92.3"/>
        <n v="98.67"/>
        <n v="92.11"/>
        <n v="105.55"/>
        <n v="109.6"/>
        <n v="98.54"/>
        <n v="109.08"/>
        <n v="97.06"/>
        <n v="107.79"/>
        <n v="99.47"/>
        <n v="106.4"/>
        <n v="106.19"/>
        <n v="105.13"/>
        <n v="105.93"/>
        <n v="98.65"/>
        <n v="106.6"/>
        <n v="112.75"/>
        <n v="111.21"/>
        <n v="108.54"/>
        <n v="102.58"/>
        <n v="104.91"/>
        <n v="99.53"/>
        <n v="99.22"/>
        <n v="108.91"/>
        <n v="110.83"/>
        <n v="103.69"/>
        <n v="98.09"/>
        <n v="99.21"/>
        <n v="105.16"/>
        <n v="118.25"/>
        <n v="115.0"/>
        <n v="120.35"/>
        <n v="108.66"/>
        <n v="122.67"/>
        <n v="106.17"/>
        <n v="108.86"/>
        <n v="113.35"/>
        <n v="99.44"/>
        <n v="95.2"/>
        <n v="99.18"/>
        <n v="106.98"/>
        <n v="111.9"/>
        <n v="111.29"/>
        <n v="112.59"/>
        <n v="99.41"/>
        <n v="102.69"/>
        <n v="91.71"/>
        <n v="104.63"/>
        <n v="92.61"/>
        <n v="106.24"/>
        <n v="113.94"/>
        <n v="109.57"/>
        <n v="107.11"/>
        <n v="106.61"/>
        <n v="99.94"/>
        <n v="104.34"/>
        <n v="102.54"/>
        <n v="110.87"/>
        <n v="108.75"/>
        <n v="97.83"/>
        <n v="98.5"/>
        <n v="106.12"/>
        <n v="113.5"/>
        <n v="110.9"/>
        <n v="110.2"/>
        <n v="96.65"/>
        <n v="116.87"/>
        <n v="98.68"/>
        <n v="110.33"/>
        <n v="140.62"/>
        <n v="105.7"/>
        <n v="108.82"/>
        <n v="118.19"/>
        <n v="104.47"/>
        <n v="116.34"/>
        <n v="103.71"/>
        <n v="109.93"/>
        <n v="109.23"/>
        <n v="113.16"/>
        <n v="114.95"/>
        <n v="98.07"/>
        <n v="109.68"/>
        <n v="106.8"/>
        <n v="105.72"/>
        <n v="109.01"/>
        <n v="107.46"/>
        <n v="97.17"/>
        <n v="99.04"/>
        <n v="100.99"/>
        <n v="111.49"/>
        <n v="102.71"/>
        <n v="115.09"/>
        <n v="108.64"/>
        <n v="112.73"/>
        <n v="102.48"/>
        <n v="113.25"/>
        <n v="106.31"/>
        <n v="106.29"/>
        <n v="107.5"/>
        <n v="99.37"/>
        <n v="111.03"/>
        <n v="112.21"/>
        <n v="105.83"/>
        <n v="109.37"/>
        <n v="102.17"/>
        <n v="97.42"/>
        <n v="100.55"/>
        <n v="109.1"/>
        <n v="99.45"/>
        <n v="104.41"/>
        <n v="112.15"/>
        <n v="105.81"/>
        <n v="114.66"/>
        <n v="112.2"/>
        <n v="106.57"/>
        <n v="96.99"/>
        <n v="107.98"/>
        <n v="105.37"/>
        <n v="108.6"/>
        <n v="107.05"/>
        <n v="115.02"/>
        <n v="112.41"/>
        <n v="108.69"/>
        <n v="107.1"/>
        <n v="92.5"/>
        <n v="112.14"/>
        <n v="105.91"/>
        <n v="113.46"/>
        <n v="118.97"/>
        <n v="100.5"/>
        <n v="109.36"/>
        <n v="107.06"/>
        <n v="108.29"/>
        <n v="109.84"/>
        <n v="115.72"/>
        <n v="112.84"/>
        <n v="101.14"/>
      </sharedItems>
    </cacheField>
    <cacheField name="Index Harga Konsumen (IHK) Bulan Lalu" numFmtId="0">
      <sharedItems containsSemiMixedTypes="0" containsString="0" containsNumber="1">
        <n v="104.73"/>
        <n v="104.08"/>
        <n v="110.05"/>
        <n v="107.64"/>
        <n v="101.36"/>
        <n v="103.13"/>
        <n v="103.02"/>
        <n v="103.91"/>
        <n v="99.59"/>
        <n v="100.0"/>
        <n v="104.53"/>
        <n v="104.28"/>
        <n v="101.8"/>
        <n v="100.06"/>
        <n v="102.33"/>
        <n v="100.41"/>
        <n v="105.32"/>
        <n v="109.42"/>
        <n v="103.1"/>
        <n v="105.73"/>
        <n v="114.26"/>
        <n v="105.5"/>
        <n v="100.08"/>
        <n v="103.36"/>
        <n v="106.08"/>
        <n v="100.3"/>
        <n v="116.4"/>
        <n v="101.11"/>
        <n v="104.44"/>
        <n v="101.74"/>
        <n v="103.24"/>
        <n v="100.43"/>
        <n v="100.54"/>
        <n v="111.23"/>
        <n v="103.56"/>
        <n v="101.21"/>
        <n v="103.9"/>
        <n v="105.56"/>
        <n v="98.85"/>
        <n v="98.86"/>
        <n v="104.21"/>
        <n v="104.93"/>
        <n v="103.95"/>
        <n v="100.07"/>
        <n v="99.48"/>
        <n v="100.45"/>
        <n v="101.28"/>
        <n v="100.28"/>
        <n v="105.09"/>
        <n v="102.15"/>
        <n v="106.51"/>
        <n v="98.77"/>
        <n v="110.18"/>
        <n v="113.48"/>
        <n v="100.04"/>
        <n v="102.62"/>
        <n v="103.45"/>
        <n v="106.57"/>
        <n v="99.95"/>
        <n v="105.3"/>
        <n v="105.22"/>
        <n v="101.51"/>
        <n v="100.79"/>
        <n v="107.38"/>
        <n v="103.39"/>
        <n v="99.81"/>
        <n v="101.25"/>
        <n v="97.66"/>
        <n v="104.59"/>
        <n v="101.49"/>
        <n v="107.16"/>
        <n v="109.35"/>
        <n v="94.84"/>
        <n v="102.22"/>
        <n v="101.98"/>
        <n v="100.38"/>
        <n v="102.77"/>
        <n v="101.08"/>
        <n v="100.2"/>
        <n v="100.77"/>
        <n v="107.69"/>
        <n v="107.36"/>
        <n v="105.69"/>
        <n v="105.01"/>
        <n v="103.65"/>
        <n v="99.26"/>
        <n v="102.61"/>
        <n v="107.0"/>
        <n v="101.35"/>
        <n v="102.41"/>
        <n v="101.0"/>
        <n v="101.87"/>
        <n v="108.96"/>
        <n v="107.72"/>
        <n v="99.74"/>
        <n v="100.87"/>
        <n v="115.31"/>
        <n v="98.32"/>
        <n v="98.09"/>
        <n v="116.7"/>
        <n v="109.8"/>
        <n v="100.78"/>
        <n v="100.83"/>
        <n v="103.76"/>
        <n v="103.06"/>
        <n v="102.54"/>
        <n v="102.8"/>
        <n v="108.31"/>
        <n v="108.92"/>
        <n v="101.63"/>
        <n v="102.31"/>
        <n v="100.16"/>
        <n v="102.21"/>
        <n v="99.4"/>
        <n v="99.24"/>
        <n v="121.28"/>
        <n v="104.54"/>
        <n v="100.15"/>
        <n v="103.41"/>
        <n v="101.34"/>
        <n v="107.97"/>
        <n v="103.62"/>
        <n v="101.68"/>
        <n v="101.72"/>
        <n v="100.32"/>
        <n v="102.08"/>
        <n v="100.48"/>
        <n v="92.18"/>
        <n v="104.32"/>
        <n v="100.63"/>
        <n v="110.45"/>
        <n v="105.21"/>
        <n v="103.21"/>
        <n v="108.05"/>
        <n v="102.86"/>
        <n v="107.79"/>
        <n v="100.97"/>
        <n v="97.86"/>
        <n v="103.81"/>
        <n v="105.77"/>
        <n v="104.85"/>
        <n v="108.74"/>
        <n v="113.95"/>
        <n v="107.77"/>
        <n v="103.57"/>
        <n v="100.57"/>
        <n v="101.89"/>
        <n v="100.8"/>
        <n v="108.16"/>
        <n v="113.84"/>
        <n v="105.87"/>
        <n v="111.38"/>
        <n v="107.4"/>
        <n v="100.65"/>
        <n v="104.82"/>
        <n v="102.88"/>
        <n v="101.53"/>
        <n v="110.6"/>
        <n v="112.81"/>
        <n v="100.52"/>
        <n v="107.19"/>
        <n v="104.5"/>
        <n v="107.45"/>
        <n v="102.78"/>
        <n v="110.43"/>
        <n v="101.22"/>
        <n v="106.16"/>
        <n v="101.41"/>
        <n v="101.54"/>
        <n v="101.04"/>
        <n v="102.18"/>
        <n v="109.66"/>
        <n v="107.29"/>
        <n v="102.44"/>
        <n v="100.17"/>
        <n v="98.8"/>
        <n v="110.35"/>
        <n v="102.05"/>
        <n v="111.52"/>
        <n v="101.47"/>
        <n v="102.91"/>
        <n v="105.47"/>
        <n v="113.35"/>
        <n v="107.81"/>
        <n v="97.42"/>
        <n v="110.29"/>
        <n v="104.46"/>
        <n v="113.03"/>
        <n v="100.59"/>
        <n v="107.15"/>
        <n v="107.39"/>
        <n v="103.34"/>
        <n v="101.1"/>
        <n v="100.5"/>
        <n v="99.05"/>
        <n v="92.62"/>
        <n v="101.45"/>
        <n v="98.75"/>
        <n v="102.71"/>
        <n v="100.76"/>
        <n v="102.26"/>
        <n v="103.88"/>
        <n v="100.26"/>
        <n v="104.07"/>
        <n v="103.58"/>
        <n v="106.7"/>
        <n v="104.56"/>
        <n v="101.58"/>
        <n v="101.85"/>
        <n v="102.04"/>
        <n v="111.21"/>
        <n v="100.86"/>
        <n v="104.51"/>
        <n v="99.15"/>
        <n v="101.44"/>
        <n v="101.19"/>
        <n v="102.09"/>
        <n v="107.83"/>
        <n v="110.04"/>
        <n v="105.68"/>
        <n v="100.19"/>
        <n v="100.47"/>
        <n v="102.02"/>
        <n v="117.14"/>
        <n v="101.05"/>
        <n v="99.37"/>
        <n v="102.12"/>
        <n v="105.19"/>
        <n v="122.7"/>
        <n v="107.31"/>
        <n v="97.85"/>
        <n v="102.75"/>
        <n v="107.52"/>
        <n v="103.85"/>
        <n v="100.64"/>
        <n v="102.36"/>
        <n v="100.96"/>
        <n v="98.42"/>
        <n v="103.87"/>
        <n v="108.97"/>
        <n v="103.23"/>
        <n v="102.43"/>
        <n v="102.16"/>
        <n v="100.05"/>
        <n v="108.11"/>
        <n v="103.33"/>
        <n v="102.59"/>
        <n v="108.57"/>
        <n v="106.73"/>
        <n v="109.26"/>
        <n v="99.77"/>
        <n v="94.52"/>
        <n v="100.12"/>
        <n v="104.61"/>
        <n v="101.73"/>
        <n v="102.07"/>
        <n v="101.46"/>
        <n v="106.28"/>
        <n v="102.32"/>
        <n v="105.43"/>
        <n v="102.39"/>
        <n v="102.6"/>
        <n v="100.39"/>
        <n v="103.47"/>
        <n v="102.73"/>
        <n v="108.33"/>
        <n v="101.43"/>
        <n v="103.07"/>
        <n v="103.5"/>
        <n v="113.51"/>
        <n v="100.51"/>
        <n v="100.72"/>
        <n v="105.75"/>
        <n v="101.18"/>
        <n v="102.93"/>
        <n v="107.49"/>
        <n v="105.34"/>
        <n v="102.7"/>
        <n v="100.75"/>
        <n v="102.51"/>
        <n v="102.28"/>
        <n v="106.87"/>
        <n v="105.54"/>
        <n v="103.71"/>
        <n v="106.61"/>
        <n v="101.55"/>
        <n v="102.94"/>
        <n v="102.9"/>
        <n v="108.79"/>
        <n v="100.03"/>
        <n v="99.9"/>
        <n v="100.14"/>
        <n v="108.95"/>
        <n v="103.15"/>
        <n v="100.23"/>
        <n v="100.29"/>
        <n v="97.9"/>
        <n v="104.35"/>
        <n v="98.69"/>
        <n v="101.59"/>
        <n v="85.45"/>
        <n v="99.08"/>
        <n v="102.82"/>
        <n v="107.59"/>
        <n v="102.87"/>
        <n v="104.72"/>
        <n v="102.49"/>
        <n v="115.17"/>
        <n v="99.02"/>
        <n v="101.38"/>
        <n v="104.4"/>
        <n v="103.63"/>
        <n v="99.52"/>
        <n v="108.07"/>
        <n v="106.55"/>
        <n v="101.01"/>
        <n v="107.12"/>
        <n v="106.25"/>
        <n v="109.13"/>
        <n v="108.19"/>
        <n v="112.87"/>
        <n v="102.29"/>
        <n v="104.18"/>
        <n v="104.58"/>
        <n v="105.86"/>
        <n v="98.18"/>
        <n v="101.52"/>
        <n v="109.25"/>
        <n v="111.44"/>
        <n v="102.2"/>
        <n v="107.18"/>
        <n v="110.83"/>
        <n v="107.23"/>
        <n v="100.95"/>
        <n v="92.5"/>
        <n v="108.82"/>
        <n v="108.29"/>
        <n v="103.79"/>
        <n v="113.81"/>
        <n v="100.27"/>
        <n v="94.44"/>
        <n v="101.92"/>
        <n v="105.96"/>
        <n v="105.79"/>
        <n v="107.34"/>
        <n v="101.42"/>
        <n v="104.03"/>
        <n v="105.35"/>
        <n v="105.92"/>
        <n v="105.64"/>
        <n v="101.75"/>
        <n v="100.82"/>
        <n v="100.93"/>
        <n v="102.14"/>
        <n v="109.3"/>
        <n v="104.01"/>
        <n v="100.36"/>
        <n v="100.1"/>
        <n v="100.68"/>
        <n v="102.53"/>
        <n v="100.85"/>
        <n v="103.8"/>
        <n v="102.48"/>
        <n v="109.51"/>
        <n v="102.0"/>
        <n v="105.14"/>
        <n v="108.01"/>
        <n v="114.33"/>
        <n v="100.88"/>
        <n v="101.86"/>
        <n v="104.66"/>
        <n v="111.16"/>
        <n v="109.21"/>
        <n v="102.97"/>
        <n v="111.3"/>
        <n v="102.35"/>
        <n v="101.39"/>
        <n v="99.34"/>
        <n v="115.95"/>
        <n v="100.44"/>
        <n v="108.84"/>
        <n v="105.98"/>
        <n v="101.23"/>
        <n v="113.62"/>
        <n v="120.59"/>
        <n v="106.88"/>
        <n v="105.63"/>
        <n v="107.22"/>
        <n v="95.28"/>
        <n v="107.75"/>
        <n v="107.46"/>
        <n v="101.09"/>
        <n v="104.25"/>
        <n v="103.94"/>
        <n v="94.72"/>
        <n v="105.62"/>
        <n v="106.15"/>
        <n v="100.74"/>
        <n v="97.21"/>
        <n v="101.66"/>
        <n v="110.13"/>
        <n v="99.8"/>
        <n v="102.96"/>
        <n v="102.52"/>
        <n v="108.62"/>
        <n v="106.97"/>
        <n v="100.92"/>
        <n v="117.67"/>
        <n v="114.71"/>
        <n v="104.7"/>
        <n v="109.24"/>
        <n v="109.87"/>
        <n v="103.51"/>
        <n v="104.39"/>
        <n v="96.95"/>
        <n v="99.32"/>
        <n v="100.02"/>
        <n v="104.83"/>
        <n v="100.11"/>
        <n v="97.08"/>
        <n v="100.9"/>
        <n v="107.24"/>
        <n v="101.06"/>
        <n v="92.41"/>
        <n v="103.69"/>
        <n v="104.94"/>
        <n v="105.0"/>
        <n v="100.18"/>
        <n v="101.16"/>
        <n v="97.97"/>
        <n v="103.61"/>
        <n v="101.5"/>
        <n v="100.37"/>
        <n v="98.99"/>
        <n v="114.67"/>
        <n v="116.71"/>
        <n v="103.0"/>
        <n v="101.33"/>
        <n v="93.83"/>
        <n v="107.21"/>
        <n v="102.19"/>
        <n v="102.47"/>
        <n v="88.61"/>
        <n v="104.27"/>
        <n v="103.82"/>
        <n v="97.06"/>
        <n v="101.93"/>
        <n v="102.46"/>
        <n v="100.13"/>
        <n v="104.23"/>
        <n v="113.42"/>
        <n v="100.22"/>
        <n v="108.93"/>
        <n v="101.76"/>
        <n v="105.39"/>
        <n v="103.96"/>
        <n v="102.65"/>
        <n v="103.44"/>
        <n v="106.34"/>
        <n v="99.68"/>
        <n v="104.57"/>
        <n v="104.95"/>
        <n v="110.46"/>
        <n v="103.64"/>
        <n v="106.38"/>
        <n v="100.4"/>
        <n v="103.89"/>
        <n v="104.97"/>
        <n v="106.62"/>
        <n v="105.1"/>
        <n v="101.15"/>
        <n v="105.11"/>
        <n v="104.41"/>
        <n v="114.02"/>
        <n v="106.59"/>
        <n v="112.04"/>
        <n v="103.74"/>
        <n v="107.8"/>
        <n v="95.31"/>
        <n v="105.65"/>
        <n v="109.76"/>
        <n v="102.57"/>
        <n v="102.38"/>
        <n v="111.66"/>
        <n v="109.28"/>
        <n v="106.04"/>
        <n v="99.93"/>
        <n v="100.33"/>
        <n v="100.21"/>
        <n v="101.61"/>
        <n v="100.53"/>
        <n v="101.56"/>
        <n v="102.89"/>
        <n v="100.7"/>
        <n v="103.31"/>
        <n v="101.79"/>
        <n v="103.19"/>
        <n v="103.53"/>
        <n v="99.25"/>
        <n v="117.23"/>
        <n v="109.17"/>
        <n v="103.97"/>
        <n v="109.53"/>
        <n v="101.27"/>
        <n v="109.12"/>
        <n v="106.71"/>
        <n v="100.31"/>
        <n v="117.84"/>
        <n v="100.71"/>
        <n v="103.98"/>
        <n v="102.98"/>
        <n v="109.55"/>
        <n v="102.74"/>
        <n v="94.58"/>
        <n v="105.12"/>
        <n v="104.26"/>
        <n v="97.13"/>
        <n v="104.89"/>
        <n v="97.87"/>
        <n v="103.2"/>
        <n v="99.82"/>
        <n v="109.92"/>
        <n v="101.48"/>
        <n v="101.97"/>
        <n v="106.79"/>
        <n v="103.43"/>
        <n v="104.47"/>
        <n v="110.93"/>
        <n v="98.47"/>
        <n v="108.76"/>
        <n v="106.11"/>
        <n v="102.72"/>
        <n v="110.22"/>
        <n v="114.77"/>
        <n v="108.0"/>
        <n v="102.3"/>
        <n v="105.7"/>
        <n v="99.98"/>
        <n v="102.64"/>
        <n v="103.22"/>
        <n v="107.68"/>
        <n v="96.24"/>
        <n v="111.56"/>
        <n v="104.34"/>
        <n v="101.6"/>
        <n v="108.51"/>
        <n v="102.95"/>
        <n v="101.07"/>
        <n v="104.42"/>
        <n v="101.31"/>
        <n v="101.29"/>
        <n v="99.99"/>
        <n v="93.81"/>
        <n v="103.03"/>
        <n v="105.08"/>
        <n v="105.58"/>
        <n v="99.2"/>
        <n v="100.34"/>
        <n v="97.96"/>
        <n v="105.52"/>
        <n v="99.79"/>
        <n v="103.84"/>
        <n v="100.98"/>
        <n v="101.67"/>
        <n v="114.29"/>
        <n v="104.67"/>
        <n v="105.31"/>
        <n v="110.39"/>
        <n v="102.66"/>
        <n v="109.63"/>
        <n v="106.64"/>
        <n v="110.11"/>
        <n v="105.38"/>
        <n v="103.16"/>
        <n v="99.92"/>
        <n v="100.09"/>
        <n v="105.67"/>
        <n v="106.63"/>
        <n v="111.31"/>
        <n v="94.92"/>
        <n v="104.2"/>
        <n v="104.05"/>
        <n v="102.42"/>
        <n v="96.17"/>
        <n v="95.2"/>
        <n v="102.79"/>
        <n v="105.59"/>
        <n v="100.69"/>
        <n v="103.3"/>
        <n v="94.69"/>
        <n v="103.42"/>
        <n v="111.92"/>
        <n v="108.14"/>
        <n v="114.17"/>
        <n v="109.34"/>
        <n v="102.01"/>
        <n v="111.41"/>
        <n v="101.69"/>
        <n v="110.1"/>
        <n v="103.11"/>
        <n v="105.27"/>
        <n v="109.41"/>
        <n v="105.53"/>
        <n v="105.07"/>
        <n v="99.17"/>
        <n v="105.55"/>
        <n v="110.84"/>
        <n v="110.24"/>
        <n v="115.2"/>
        <n v="109.27"/>
        <n v="110.14"/>
        <n v="108.02"/>
        <n v="103.05"/>
        <n v="106.86"/>
        <n v="102.37"/>
        <n v="103.08"/>
        <n v="102.58"/>
        <n v="96.74"/>
        <n v="103.54"/>
        <n v="108.87"/>
        <n v="101.78"/>
        <n v="104.16"/>
        <n v="116.91"/>
        <n v="99.85"/>
        <n v="100.24"/>
        <n v="102.67"/>
        <n v="104.06"/>
        <n v="102.27"/>
        <n v="99.11"/>
        <n v="111.18"/>
        <n v="108.09"/>
        <n v="100.49"/>
        <n v="106.24"/>
        <n v="107.89"/>
        <n v="111.64"/>
        <n v="109.0"/>
        <n v="103.93"/>
        <n v="105.15"/>
        <n v="114.99"/>
        <n v="111.98"/>
        <n v="106.83"/>
        <n v="102.45"/>
        <n v="117.38"/>
        <n v="98.01"/>
        <n v="100.84"/>
        <n v="107.35"/>
        <n v="105.06"/>
        <n v="102.99"/>
        <n v="100.94"/>
        <n v="111.87"/>
        <n v="109.29"/>
        <n v="106.02"/>
        <n v="89.28"/>
        <n v="102.83"/>
        <n v="106.39"/>
        <n v="102.63"/>
        <n v="108.15"/>
        <n v="107.65"/>
        <n v="107.55"/>
        <n v="110.28"/>
        <n v="104.9"/>
        <n v="105.41"/>
        <n v="101.91"/>
        <n v="106.6"/>
        <n v="101.71"/>
        <n v="104.12"/>
        <n v="105.4"/>
        <n v="110.77"/>
        <n v="106.22"/>
        <n v="100.66"/>
        <n v="113.01"/>
        <n v="99.84"/>
        <n v="103.92"/>
        <n v="107.28"/>
        <n v="100.73"/>
        <n v="101.03"/>
        <n v="116.86"/>
        <n v="103.72"/>
        <n v="103.37"/>
        <n v="103.52"/>
        <n v="105.45"/>
        <n v="106.98"/>
        <n v="105.88"/>
        <n v="104.45"/>
        <n v="106.1"/>
        <n v="103.25"/>
        <n v="118.97"/>
        <n v="97.53"/>
        <n v="99.41"/>
        <n v="100.67"/>
        <n v="95.89"/>
        <n v="103.46"/>
        <n v="103.59"/>
        <n v="105.48"/>
        <n v="139.2"/>
        <n v="106.48"/>
        <n v="111.61"/>
        <n v="101.02"/>
        <n v="107.2"/>
        <n v="109.77"/>
        <n v="104.43"/>
        <n v="105.78"/>
        <n v="106.35"/>
        <n v="102.23"/>
        <n v="101.62"/>
        <n v="104.11"/>
        <n v="104.29"/>
        <n v="95.18"/>
        <n v="107.7"/>
        <n v="106.26"/>
        <n v="104.17"/>
        <n v="100.46"/>
        <n v="118.14"/>
        <n v="103.09"/>
        <n v="101.24"/>
        <n v="120.98"/>
        <n v="101.99"/>
        <n v="103.99"/>
        <n v="97.61"/>
        <n v="106.66"/>
        <n v="107.63"/>
        <n v="105.25"/>
        <n v="110.0"/>
        <n v="102.03"/>
        <n v="112.74"/>
        <n v="106.81"/>
        <n v="109.04"/>
        <n v="102.34"/>
        <n v="104.55"/>
        <n v="94.82"/>
        <n v="113.45"/>
        <n v="107.37"/>
        <n v="112.29"/>
        <n v="99.16"/>
        <n v="93.36"/>
        <n v="104.76"/>
        <n v="108.24"/>
        <n v="112.47"/>
        <n v="103.17"/>
        <n v="108.37"/>
        <n v="109.18"/>
        <n v="101.65"/>
        <n v="109.89"/>
        <n v="104.49"/>
        <n v="111.29"/>
        <n v="106.29"/>
        <n v="105.29"/>
        <n v="109.88"/>
        <n v="107.04"/>
        <n v="110.23"/>
        <n v="103.83"/>
        <n v="98.48"/>
        <n v="103.32"/>
        <n v="98.63"/>
        <n v="115.84"/>
        <n v="103.75"/>
        <n v="107.87"/>
        <n v="115.44"/>
        <n v="104.98"/>
        <n v="106.07"/>
        <n v="102.68"/>
        <n v="99.18"/>
        <n v="101.83"/>
        <n v="110.19"/>
        <n v="102.76"/>
        <n v="104.14"/>
        <n v="112.78"/>
        <n v="118.47"/>
        <n v="106.19"/>
        <n v="102.4"/>
        <n v="96.99"/>
        <n v="105.37"/>
        <n v="118.94"/>
        <n v="101.12"/>
        <n v="106.12"/>
        <n v="104.64"/>
        <n v="100.58"/>
        <n v="99.23"/>
        <n v="106.36"/>
        <n v="105.42"/>
        <n v="108.38"/>
        <n v="107.78"/>
        <n v="100.42"/>
        <n v="107.44"/>
        <n v="101.37"/>
        <n v="114.54"/>
        <n v="107.26"/>
        <n v="102.84"/>
        <n v="106.18"/>
        <n v="109.16"/>
        <n v="110.4"/>
        <n v="109.58"/>
        <n v="104.52"/>
        <n v="104.79"/>
        <n v="103.29"/>
        <n v="106.13"/>
        <n v="107.96"/>
        <n v="106.14"/>
        <n v="96.45"/>
        <n v="110.48"/>
        <n v="100.89"/>
        <n v="99.78"/>
        <n v="102.11"/>
        <n v="104.6"/>
        <n v="104.31"/>
        <n v="102.81"/>
        <n v="105.17"/>
        <n v="113.87"/>
        <n v="107.51"/>
        <n v="108.86"/>
        <n v="100.01"/>
        <n v="106.09"/>
        <n v="123.78"/>
        <n v="108.75"/>
        <n v="109.83"/>
        <n v="100.62"/>
        <n v="100.91"/>
        <n v="118.25"/>
        <n v="99.94"/>
        <n v="105.6"/>
        <n v="101.96"/>
        <n v="108.64"/>
        <n v="104.3"/>
        <n v="109.69"/>
        <n v="100.99"/>
        <n v="98.76"/>
        <n v="106.58"/>
        <n v="109.37"/>
        <n v="109.96"/>
        <n v="108.42"/>
        <n v="104.8"/>
        <n v="112.36"/>
        <n v="98.74"/>
        <n v="111.36"/>
        <n v="108.6"/>
        <n v="105.03"/>
        <n v="103.86"/>
        <n v="106.99"/>
        <n v="107.3"/>
        <n v="111.48"/>
        <n v="106.46"/>
        <n v="105.05"/>
        <n v="109.6"/>
        <n v="113.46"/>
        <n v="113.58"/>
        <n v="108.3"/>
        <n v="106.67"/>
        <n v="112.56"/>
        <n v="104.87"/>
        <n v="98.36"/>
        <n v="114.88"/>
        <n v="113.0"/>
        <n v="106.96"/>
        <n v="115.25"/>
        <n v="113.15"/>
        <n v="108.61"/>
        <n v="110.42"/>
        <n v="96.9"/>
        <n v="112.68"/>
        <n v="98.29"/>
        <n v="102.13"/>
        <n v="105.76"/>
        <n v="101.94"/>
        <n v="108.22"/>
        <n v="98.05"/>
        <n v="109.44"/>
        <n v="103.49"/>
        <n v="101.9"/>
        <n v="109.82"/>
        <n v="103.68"/>
        <n v="111.6"/>
        <n v="97.56"/>
        <n v="107.74"/>
        <n v="109.23"/>
        <n v="102.92"/>
        <n v="96.73"/>
        <n v="102.69"/>
        <n v="114.47"/>
        <n v="114.66"/>
        <n v="116.73"/>
        <n v="108.89"/>
        <n v="112.34"/>
        <n v="104.96"/>
        <n v="104.48"/>
        <n v="97.7"/>
        <n v="106.2"/>
        <n v="100.25"/>
        <n v="103.12"/>
        <n v="115.42"/>
        <n v="105.99"/>
        <n v="119.23"/>
        <n v="97.95"/>
        <n v="99.66"/>
        <n v="106.5"/>
        <n v="108.98"/>
        <n v="122.67"/>
        <n v="110.78"/>
        <n v="108.65"/>
        <n v="111.74"/>
        <n v="114.38"/>
        <n v="103.28"/>
        <n v="105.04"/>
        <n v="104.86"/>
        <n v="102.24"/>
        <n v="101.17"/>
        <n v="103.27"/>
        <n v="93.27"/>
        <n v="103.14"/>
        <n v="105.36"/>
        <n v="101.64"/>
        <n v="99.96"/>
        <n v="97.59"/>
        <n v="107.48"/>
        <n v="116.97"/>
        <n v="106.53"/>
        <n v="96.78"/>
        <n v="102.55"/>
        <n v="96.44"/>
        <n v="105.49"/>
        <n v="106.32"/>
        <n v="98.19"/>
        <n v="106.8"/>
        <n v="108.44"/>
        <n v="104.68"/>
        <n v="99.69"/>
        <n v="94.32"/>
        <n v="95.77"/>
        <n v="95.91"/>
        <n v="97.5"/>
        <n v="106.37"/>
        <n v="108.2"/>
        <n v="105.95"/>
        <n v="125.87"/>
        <n v="106.42"/>
        <n v="105.33"/>
        <n v="100.35"/>
        <n v="111.93"/>
        <n v="99.53"/>
        <n v="107.57"/>
        <n v="97.0"/>
        <n v="115.86"/>
        <n v="94.56"/>
        <n v="100.6"/>
        <n v="106.82"/>
        <n v="110.59"/>
        <n v="103.77"/>
        <n v="99.3"/>
        <n v="109.14"/>
        <n v="105.23"/>
        <n v="106.78"/>
        <n v="94.78"/>
        <n v="105.44"/>
        <n v="96.2"/>
        <n v="104.15"/>
        <n v="106.69"/>
        <n v="96.65"/>
        <n v="112.99"/>
        <n v="109.15"/>
        <n v="103.04"/>
        <n v="98.08"/>
        <n v="105.8"/>
        <n v="95.69"/>
        <n v="111.35"/>
        <n v="96.52"/>
        <n v="96.83"/>
        <n v="105.93"/>
        <n v="105.82"/>
        <n v="99.6"/>
        <n v="99.87"/>
        <n v="104.0"/>
        <n v="103.01"/>
        <n v="104.36"/>
        <n v="108.4"/>
        <n v="95.98"/>
        <n v="104.75"/>
        <n v="99.5"/>
        <n v="106.27"/>
        <n v="99.51"/>
        <n v="99.54"/>
        <n v="107.14"/>
        <n v="100.56"/>
        <n v="107.86"/>
        <n v="103.6"/>
        <n v="101.84"/>
        <n v="103.38"/>
        <n v="101.82"/>
        <n v="108.41"/>
        <n v="112.09"/>
        <n v="109.39"/>
        <n v="101.2"/>
        <n v="101.81"/>
        <n v="109.97"/>
        <n v="99.71"/>
        <n v="107.61"/>
        <n v="115.09"/>
        <n v="96.3"/>
        <n v="110.2"/>
        <n v="104.92"/>
        <n v="107.41"/>
        <n v="112.26"/>
        <n v="108.25"/>
        <n v="106.0"/>
        <n v="102.5"/>
        <n v="104.13"/>
        <n v="107.99"/>
        <n v="92.49"/>
        <n v="98.14"/>
        <n v="101.77"/>
        <n v="104.91"/>
        <n v="109.67"/>
        <n v="97.41"/>
        <n v="98.62"/>
        <n v="109.71"/>
        <n v="98.68"/>
        <n v="92.0"/>
        <n v="110.58"/>
        <n v="97.38"/>
        <n v="106.92"/>
        <n v="109.05"/>
        <n v="99.47"/>
        <n v="115.79"/>
        <n v="98.81"/>
        <n v="99.88"/>
        <n v="105.57"/>
        <n v="107.94"/>
        <n v="104.38"/>
        <n v="109.07"/>
        <n v="98.12"/>
        <n v="100.61"/>
        <n v="108.69"/>
        <n v="101.26"/>
        <n v="97.82"/>
        <n v="112.84"/>
        <n v="104.02"/>
        <n v="114.73"/>
        <n v="111.19"/>
        <n v="113.6"/>
        <n v="116.87"/>
        <n v="105.66"/>
        <n v="113.13"/>
        <n v="99.44"/>
        <n v="110.33"/>
        <n v="109.09"/>
        <n v="107.05"/>
        <n v="91.71"/>
        <n v="99.46"/>
        <n v="112.22"/>
        <n v="103.67"/>
        <n v="109.4"/>
        <n v="106.85"/>
        <n v="102.85"/>
        <n v="100.81"/>
        <n v="111.27"/>
        <n v="109.33"/>
        <n v="107.02"/>
        <n v="105.84"/>
        <n v="110.51"/>
        <n v="109.52"/>
        <n v="97.94"/>
        <n v="98.5"/>
        <n v="110.61"/>
        <n v="111.53"/>
        <n v="109.43"/>
        <n v="97.49"/>
        <n v="116.56"/>
        <n v="108.99"/>
        <n v="108.7"/>
        <n v="115.72"/>
        <n v="107.1"/>
        <n v="104.33"/>
        <n v="111.71"/>
        <n v="99.36"/>
        <n v="107.06"/>
        <n v="108.94"/>
        <n v="107.11"/>
        <n v="106.47"/>
        <n v="114.3"/>
        <n v="111.49"/>
        <n v="103.26"/>
        <n v="109.68"/>
        <n v="106.54"/>
        <n v="105.13"/>
        <n v="99.13"/>
        <n v="107.98"/>
        <n v="101.95"/>
        <n v="106.77"/>
        <n v="108.12"/>
        <n v="101.57"/>
        <n v="109.2"/>
        <n v="99.01"/>
        <n v="111.75"/>
        <n v="106.4"/>
        <n v="101.14"/>
        <n v="109.54"/>
        <n v="109.36"/>
        <n v="112.21"/>
        <n v="98.38"/>
        <n v="99.1"/>
        <n v="98.61"/>
        <n v="106.89"/>
        <n v="103.7"/>
        <n v="105.72"/>
        <n v="110.25"/>
        <n v="104.19"/>
        <n v="104.69"/>
        <n v="110.15"/>
        <n v="106.31"/>
        <n v="110.03"/>
        <n v="106.01"/>
        <n v="111.45"/>
        <n v="95.01"/>
        <n v="111.99"/>
        <n v="108.28"/>
        <n v="107.13"/>
        <n v="106.91"/>
        <n v="101.88"/>
        <n v="110.86"/>
        <n v="102.25"/>
        <n v="105.85"/>
        <n v="93.52"/>
        <n v="98.87"/>
        <n v="111.79"/>
        <n v="110.92"/>
        <n v="99.64"/>
        <n v="112.43"/>
        <n v="108.53"/>
        <n v="106.9"/>
        <n v="107.9"/>
        <n v="112.61"/>
        <n v="99.42"/>
      </sharedItems>
    </cacheField>
    <cacheField name="Laju Inflasi M-t-M" numFmtId="2">
      <sharedItems containsSemiMixedTypes="0" containsString="0" containsNumber="1">
        <n v="0.0"/>
        <n v="-0.31570639305445264"/>
        <n v="1.6167837551727522"/>
        <n v="0.019646365422392946"/>
        <n v="0.1074953581549882"/>
        <n v="0.9759984065332178"/>
        <n v="0.5117894352038039"/>
        <n v="2.133850630455871"/>
        <n v="0.24590939184714922"/>
        <n v="-0.07876772273761895"/>
        <n v="0.057647963105305795"/>
        <n v="-0.009426847662146602"/>
        <n v="-3.530927835051546"/>
        <n v="0.6585413799882069"/>
        <n v="0.4165052305308087"/>
        <n v="0.15449980687523812"/>
        <n v="-0.6256015399422576"/>
        <n v="-0.11127971674253863"/>
        <n v="0.2225369208982388"/>
        <n v="0.13434411284905534"/>
        <n v="1.0578480892023248"/>
        <n v="1.077441077441068"/>
        <n v="0.07964161274265634"/>
        <n v="0.15397940525454393"/>
        <n v="3.3590255971072422"/>
        <n v="-1.8683691672143545"/>
        <n v="-0.45560392831831814"/>
        <n v="0.7079324741332246"/>
        <n v="0.9340853013746936"/>
        <n v="0.01876700760064768"/>
        <n v="0.8743584869796632"/>
        <n v="0.08866121564376829"/>
        <n v="-0.03968647683302535"/>
        <n v="-0.02003807233743715"/>
        <n v="0.07901234567901066"/>
        <n v="0.3824457405105569"/>
        <n v="0.0746547219111593"/>
        <n v="-2.030178326474622"/>
        <n v="-0.14761703922395675"/>
        <n v="0.019611688566381662"/>
        <n v="0.13642564802182866"/>
        <n v="-0.04961794184776934"/>
        <n v="0.7057294084873295"/>
        <n v="1.8163189269746673"/>
        <n v="1.4665531270697296"/>
        <n v="0.8856299400057067"/>
        <n v="0.3376748673420109"/>
        <n v="-0.03898255530650643"/>
        <n v="0.26168224299065523"/>
        <n v="0.03926573083340733"/>
        <n v="1.8080029368575743"/>
        <n v="-0.1904952877481429"/>
        <n v="0.36510376633358516"/>
        <n v="0.03058415740646461"/>
        <n v="1.7223650385604035"/>
        <n v="0.18852947013296065"/>
        <n v="0.8053561032408288"/>
        <n v="0.019504583577136744"/>
        <n v="0.8171206225680967"/>
        <n v="1.2853470437017918"/>
        <n v="-1.1315556430187854"/>
        <n v="0.1369728989335687"/>
        <n v="0.231388329979869"/>
        <n v="-0.18137847642079064"/>
        <n v="0.3453720149990076"/>
        <n v="0.6298045753450096"/>
        <n v="0.590086546026745"/>
        <n v="-0.14746362563901463"/>
        <n v="0.13033888109084585"/>
        <n v="-0.1952701236710857"/>
        <n v="0.23006134969326025"/>
        <n v="-0.04968697207591887"/>
        <n v="0.13580805794476367"/>
        <n v="0.19377967251235623"/>
        <n v="1.895780672759093"/>
        <n v="2.4213748956303918"/>
        <n v="0.01021867974658197"/>
        <n v="0.2930887775361655"/>
        <n v="0.038149737720559136"/>
        <n v="2.264150943396225"/>
        <n v="3.145587825925583"/>
        <n v="0.30896977889350913"/>
        <n v="-0.07936507936507767"/>
        <n v="2.4130917159763308"/>
        <n v="0.11419536191145066"/>
        <n v="1.3646974322140513"/>
        <n v="2.3091247672253163"/>
        <n v="0.038160656363295416"/>
        <n v="0.12636080870918515"/>
        <n v="-0.06698564593300782"/>
        <n v="0.07445323406235299"/>
        <n v="0.4915454187966968"/>
        <n v="0.33590199565303636"/>
        <n v="0.16955538809345028"/>
        <n v="0.059165762745293636"/>
        <n v="-0.2071823204419828"/>
        <n v="0.009897070467132724"/>
        <n v="0.30093014772934373"/>
        <n v="-0.6244757200111862"/>
        <n v="-0.28950783667765423"/>
        <n v="-0.60878243512974"/>
        <n v="1.024014499320353"/>
        <n v="0.08819206271435906"/>
        <n v="0.19133263178035287"/>
        <n v="-1.1567431850789025"/>
        <n v="0.6208731644821085"/>
        <n v="0.20406180157419876"/>
        <n v="-0.2558447287163582"/>
        <n v="-0.11130692885632552"/>
        <n v="-0.051324163416133405"/>
        <n v="-9.616915863045213"/>
        <n v="0.18665422305178592"/>
        <n v="1.5178322003910938"/>
        <n v="0.048383975227401926"/>
        <n v="-0.2089552238805908"/>
        <n v="1.161029782937916"/>
        <n v="-0.4213620774130256"/>
        <n v="-0.08888888888889225"/>
        <n v="1.1001849868562066"/>
        <n v="0.019252984212562795"/>
        <n v="0.13452483905063956"/>
        <n v="0.019567556990519746"/>
        <n v="-1.3667835626292564"/>
        <n v="0.09568462348100117"/>
        <n v="0.10999999999999942"/>
        <n v="0.06917679612610672"/>
        <n v="-0.43587127886487886"/>
        <n v="-0.3089785532533655"/>
        <n v="0.5677517032551044"/>
        <n v="0.7086535582393533"/>
        <n v="0.4379416741315793"/>
        <n v="0.16663399333464193"/>
        <n v="-2.7232371521256593"/>
        <n v="-0.12761362520860867"/>
        <n v="0.14088759182852023"/>
        <n v="0.28397963180571095"/>
        <n v="-1.1788192793991776"/>
        <n v="0.1635155850792139"/>
        <n v="0.30813673567646355"/>
        <n v="-0.019809825673530134"/>
        <n v="-0.01925483777800157"/>
        <n v="6.0291823437643455"/>
        <n v="0.06833935370496258"/>
        <n v="-0.39154267815191024"/>
        <n v="0.009249838127837496"/>
        <n v="-0.01949507749294301"/>
        <n v="-2.136832239925025"/>
        <n v="0.43099409725474913"/>
        <n v="2.2972725608639855"/>
        <n v="-0.0300691590658526"/>
        <n v="0.33855268726196297"/>
        <n v="-2.083930790555389"/>
        <n v="0.0685803860096085"/>
        <n v="-6.564163217031339"/>
        <n v="0.818592397440727"/>
        <n v="0.16614542611415337"/>
        <n v="0.13530491930028082"/>
        <n v="0.03943606428077693"/>
        <n v="-0.5990338164251252"/>
        <n v="5.4444542331072086"/>
        <n v="0.4783287778211725"/>
        <n v="0.874547647768386"/>
        <n v="0.21373749149907595"/>
        <n v="0.17261219792864654"/>
        <n v="-0.009303190994502657"/>
        <n v="-0.07789678675754459"/>
        <n v="0.12681689591258943"/>
        <n v="-0.202487706103552"/>
        <n v="0.4408592064534273"/>
        <n v="0.030078203328655642"/>
        <n v="0.34013605442176315"/>
        <n v="0.27027027027026623"/>
        <n v="3.129876089949515"/>
        <n v="0.06786233640328956"/>
        <n v="0.00962927298989419"/>
        <n v="1.0369927211087764"/>
        <n v="-0.9076595350560377"/>
        <n v="1.1020603737422192"/>
        <n v="1.6111054818117372"/>
        <n v="0.7776355940545251"/>
        <n v="-0.10092854259183923"/>
        <n v="0.1361602801011482"/>
        <n v="0.03717817641043967"/>
        <n v="0.10693107805968642"/>
        <n v="2.752452895719373"/>
        <n v="-0.010098969905060498"/>
        <n v="0.11836654172421046"/>
        <n v="0.09540164090823176"/>
        <n v="0.32502708559046417"/>
        <n v="0.4631863360030917"/>
        <n v="0.09848335631277753"/>
        <n v="-0.11587485515643543"/>
        <n v="0.8352885969028631"/>
        <n v="0.10890010890010832"/>
        <n v="0.01867064973860719"/>
        <n v="0.2070588235294107"/>
        <n v="0.47842311740503296"/>
        <n v="1.0721158251626517"/>
        <n v="2.3569645993160155"/>
        <n v="-2.2261106250607625"/>
        <n v="-0.07973775139541367"/>
        <n v="0.6252916472235067"/>
        <n v="0.5841584158415876"/>
        <n v="-1.3822230754463543"/>
        <n v="0.08605851979346282"/>
        <n v="0.9605122732123889"/>
        <n v="0.056678632155679455"/>
        <n v="20.666123446730484"/>
        <n v="0.009850275807727656"/>
        <n v="0.18623799255047807"/>
        <n v="0.13805344640568049"/>
        <n v="0.7780320366132671"/>
        <n v="0.08076094759512151"/>
        <n v="0.6717671207314787"/>
        <n v="1.9850221059280007"/>
        <n v="-0.5035904131306596"/>
        <n v="-0.7033184744923308"/>
        <n v="-0.1189189189189183"/>
        <n v="-0.04594743613306117"/>
        <n v="-0.5119939319237623"/>
        <n v="0.16302263137706338"/>
        <n v="2.3363191430418198"/>
        <n v="0.06588235294117005"/>
        <n v="0.21196647075826078"/>
        <n v="0.20384391380315275"/>
        <n v="1.7133819523767708"/>
        <n v="-0.14791440686322008"/>
        <n v="0.2647183396865735"/>
        <n v="0.07658433850278815"/>
        <n v="-1.2297372833985536"/>
        <n v="-0.009612611746616472"/>
        <n v="-0.6626277925028425"/>
        <n v="0.14598540145985955"/>
        <n v="0.6142871296938376"/>
        <n v="1.0182102995888058"/>
        <n v="2.5068618481244362"/>
        <n v="-0.7883857321411473"/>
        <n v="0.029892387405341905"/>
        <n v="0.16885180770757596"/>
        <n v="0.8095191651224015"/>
        <n v="0.11898859692613244"/>
        <n v="0.038535645472067684"/>
        <n v="0.11709601873535357"/>
        <n v="0.04565793078257433"/>
        <n v="0.13725490196078488"/>
        <n v="0.43751188891001874"/>
        <n v="1.0369410239792523"/>
        <n v="0.30575195872349265"/>
        <n v="2.689816480748479"/>
        <n v="-0.009856100926464524"/>
        <n v="0.7823195775474252"/>
        <n v="-2.682904495925275"/>
        <n v="0.04492362982928766"/>
        <n v="-0.5959941377625789"/>
        <n v="-0.11613277847672945"/>
        <n v="0.3724582242802399"/>
        <n v="0.16341439969239807"/>
        <n v="1.009055627425616"/>
        <n v="0.5884699780570409"/>
        <n v="-1.4516721793458272"/>
        <n v="-0.009863878477008193"/>
        <n v="3.160973768635586"/>
        <n v="0.29635483552306346"/>
        <n v="-1.90987502200317"/>
        <n v="2.645327141554024"/>
        <n v="-0.02806886227545017"/>
        <n v="0.04640371229698112"/>
        <n v="-1.0682723123239724"/>
        <n v="2.503257025870102"/>
        <n v="0.09892175289345564"/>
        <n v="0.3165467625899264"/>
        <n v="0.18935807612193584"/>
        <n v="0.07839294463498118"/>
        <n v="1.0739519547809708"/>
        <n v="0.1687512408179489"/>
        <n v="0.1599999999999966"/>
        <n v="-0.05929439667951604"/>
        <n v="0.03747774758736254"/>
        <n v="1.988558975755923"/>
        <n v="-0.4008016032064043"/>
        <n v="-0.7867132867132751"/>
        <n v="-1.1986131748390372"/>
        <n v="0.0682793601248609"/>
        <n v="2.3384275455717107"/>
        <n v="-0.009348415443587095"/>
        <n v="0.5846214823622705"/>
        <n v="1.6435122128393735"/>
        <n v="0.8413359394917947"/>
        <n v="-0.028653295128940916"/>
        <n v="1.986451849139511"/>
        <n v="0.5184963605543882"/>
        <n v="0.964776554109404"/>
        <n v="1.3411246287958671"/>
        <n v="1.0314595152140278"/>
        <n v="0.18343309519211984"/>
        <n v="0.46742344748640174"/>
        <n v="0.39884335427260087"/>
        <n v="0.029732408325075455"/>
        <n v="-0.029274004683841854"/>
        <n v="-0.02956538878486364"/>
        <n v="0.19582245430810144"/>
        <n v="0.524440926182467"/>
        <n v="-4.688410017472334"/>
        <n v="0.4869602856833707"/>
        <n v="3.9926704600250753"/>
        <n v="-0.32822757111598616"/>
        <n v="-0.047308165389343515"/>
        <n v="-0.02895473409902629"/>
        <n v="-0.525305586422867"/>
        <n v="-0.9331124095229855"/>
        <n v="-0.008568246080019626"/>
        <n v="0.207059751528292"/>
        <n v="0.09868745682424604"/>
        <n v="2.360814202063381"/>
        <n v="-0.03885758694384306"/>
        <n v="0.34156338440518624"/>
        <n v="0.9479742692698379"/>
        <n v="0.009752291788561443"/>
        <n v="0.1120238984316564"/>
        <n v="0.0288961664419198"/>
        <n v="0.7109004739336469"/>
        <n v="-0.029655990510084163"/>
        <n v="0.05910165484633794"/>
        <n v="0.08634750071955213"/>
        <n v="-0.009978048293758847"/>
        <n v="3.020288258514635"/>
        <n v="0.13409961685823807"/>
        <n v="0.009699321047531635"/>
        <n v="0.11386279533162971"/>
        <n v="-1.3216293520071045"/>
        <n v="-0.1483973090621206"/>
        <n v="1.0100038476337163"/>
        <n v="0.02922552362396604"/>
        <n v="0.36736272235111705"/>
        <n v="0.19747978183185416"/>
        <n v="0.2407704654895615"/>
        <n v="-0.6880318667390829"/>
        <n v="-0.5789270551910405"/>
        <n v="-3.299492385786794"/>
        <n v="0.2598902685532737"/>
        <n v="1.2743558962046315"/>
        <n v="-0.038106125559676136"/>
        <n v="0.04757373929591947"/>
        <n v="0.20761245674739864"/>
        <n v="3.7065415190115933"/>
        <n v="0.2161100196463643"/>
        <n v="-0.11258091753448217"/>
        <n v="1.6868975365940742"/>
        <n v="0.009639483323698782"/>
        <n v="-0.11819166748744661"/>
        <n v="-2.3202520767688406"/>
        <n v="0.1154128632882168"/>
        <n v="0.10411736867013671"/>
        <n v="0.7561953352769663"/>
        <n v="-0.2598440935438788"/>
        <n v="0.41501785541936764"/>
        <n v="-0.3453900028782495"/>
        <n v="0.2930259816370496"/>
        <n v="0.0898562300319523"/>
        <n v="-2.910621529643561"/>
        <n v="-1.2725546058879424"/>
        <n v="-3.4662727720334776"/>
        <n v="0.03843197540354175"/>
        <n v="0.22632968691059493"/>
        <n v="-0.7805463824677286"/>
        <n v="2.043257251071461"/>
        <n v="0.0667047836859228"/>
        <n v="0.11809861234130946"/>
        <n v="0.4675221326967063"/>
        <n v="0.2974762498800521"/>
        <n v="-0.04859558752065036"/>
        <n v="0.07743684057690281"/>
        <n v="0.6680420473523849"/>
        <n v="0.2789534436321722"/>
        <n v="2.4716221164408667"/>
        <n v="-0.15454457645126687"/>
        <n v="1.098236775818643"/>
        <n v="2.0557877676362675"/>
        <n v="2.189246129889164"/>
        <n v="0.2693084543618362"/>
        <n v="3.341550260202681"/>
        <n v="-0.04781028877414148"/>
        <n v="-0.49372963365261185"/>
        <n v="2.2875498880560636"/>
        <n v="-0.027492668621701917"/>
        <n v="1.9960640989598069"/>
        <n v="-3.004073319755606"/>
        <n v="0.4666865256677719"/>
        <n v="1.6803619241067245"/>
        <n v="-0.0769378726678191"/>
        <n v="0.16508059817440446"/>
        <n v="1.935189411227754"/>
        <n v="0.019417475728151477"/>
        <n v="-0.15857284440040714"/>
        <n v="0.7718333685768703"/>
        <n v="0.32343987823438847"/>
        <n v="0.3547846654183497"/>
        <n v="-0.11325028312570723"/>
        <n v="0.009827044025148293"/>
        <n v="0.4834123222748864"/>
        <n v="0.34695451040863473"/>
        <n v="-0.20020974354084636"/>
        <n v="-0.07152344947379931"/>
        <n v="-0.038918077446980205"/>
        <n v="3.4324271464893323"/>
        <n v="0.04948535233570582"/>
        <n v="-0.2689778840406416"/>
        <n v="1.8831877729257578"/>
        <n v="-0.2563163676309055"/>
        <n v="0.09650646593321204"/>
        <n v="-0.23500658018424514"/>
        <n v="-0.49930097862991807"/>
        <n v="0.10635212220825624"/>
        <n v="1.006148686416991"/>
        <n v="0.03916193459957534"/>
        <n v="0.16272614147602346"/>
        <n v="0.3425583701433295"/>
        <n v="-0.019192016121289724"/>
        <n v="0.3859043363460906"/>
        <n v="0.48731151158514263"/>
        <n v="0.4712251854822528"/>
        <n v="2.005646967189176"/>
        <n v="0.6727113190991635"/>
        <n v="-1.680997005120287"/>
        <n v="-0.706064416287846"/>
        <n v="3.040864337370401"/>
        <n v="0.8888888888888832"/>
        <n v="-0.3891050583657505"/>
        <n v="0.7379375591296131"/>
        <n v="0.23251307886068096"/>
        <n v="-0.19489378288832862"/>
        <n v="1.3837295690936058"/>
        <n v="0.06234413965087518"/>
        <n v="-0.1792757260666931"/>
        <n v="0.2108491470193587"/>
        <n v="0.15664773839827353"/>
        <n v="0.5100000000000051"/>
        <n v="0.3858711783912146"/>
        <n v="0.2622377622377722"/>
        <n v="1.2928557747557883"/>
        <n v="-0.059224163458693385"/>
        <n v="2.1601830663615553"/>
        <n v="-0.009784735812138078"/>
        <n v="0.5800580058005784"/>
        <n v="0.019546520719321964"/>
        <n v="2.14497041420119"/>
        <n v="1.2791813239526733"/>
        <n v="0.140686550365777"/>
        <n v="0.6804062715708488"/>
        <n v="0.7232584697373479"/>
        <n v="0.07577192650122969"/>
        <n v="-0.009860960457539598"/>
        <n v="0.17730496453901382"/>
        <n v="-0.5282723537468128"/>
        <n v="0.019716088328071788"/>
        <n v="-0.14291547570436972"/>
        <n v="0.339574155653455"/>
        <n v="0.15163002274451365"/>
        <n v="-0.09591406100135097"/>
        <n v="0.4739336492890946"/>
        <n v="0.5778120184899791"/>
        <n v="0.04909180166913242"/>
        <n v="-0.04951475539710552"/>
        <n v="0.4199842505905939"/>
        <n v="0.24597918637652874"/>
        <n v="0.15286137384159412"/>
        <n v="0.06851996867659299"/>
        <n v="-0.6612917836760612"/>
        <n v="1.6851743619715605"/>
        <n v="-0.20602374178358474"/>
        <n v="0.7957559681697495"/>
        <n v="0.09306654257793794"/>
        <n v="3.033330306057582"/>
        <n v="0.29417346745113143"/>
        <n v="0.1498651213907398"/>
        <n v="0.32175641146967293"/>
        <n v="0.22256628604605164"/>
        <n v="0.2962962962962935"/>
        <n v="1.2246033954912265"/>
        <n v="-0.010000000000005116"/>
        <n v="0.05812826971517369"/>
        <n v="0.6198903961908164"/>
        <n v="0.3000300030003114"/>
        <n v="-0.14749262536873217"/>
        <n v="0.009553835865104724"/>
        <n v="0.6920752509991166"/>
        <n v="3.38110988607129"/>
        <n v="1.8171384850803285"/>
        <n v="0.25113493673331894"/>
        <n v="0.3348000765257263"/>
        <n v="10.325465321825925"/>
        <n v="0.010504201680662715"/>
        <n v="0.6615429516489859"/>
        <n v="1.2217066010038753"/>
        <n v="-1.2017082133280304"/>
        <n v="-0.5324298160696971"/>
        <n v="0.3379448727426417"/>
        <n v="0.48346548056468763"/>
        <n v="-2.296283059328098"/>
        <n v="0.029089498690973666"/>
        <n v="-0.28904265568888354"/>
        <n v="-0.2801661675200524"/>
        <n v="0.3383940003658225"/>
        <n v="0.1372414469169695"/>
        <n v="1.9477605241899307"/>
        <n v="1.1603894188219164"/>
        <n v="0.17257039055405263"/>
        <n v="0.3324783889047293"/>
        <n v="1.4423989371797403"/>
        <n v="-0.6538425092390767"/>
        <n v="0.24745407823356347"/>
        <n v="0.13522650439486195"/>
        <n v="0.18948365703458345"/>
        <n v="0.8483880626809149"/>
        <n v="2.5761973875181456"/>
        <n v="0.09079353550026723"/>
        <n v="0.2713831180984524"/>
        <n v="0.00970120294917066"/>
        <n v="-0.5264184051471945"/>
        <n v="0.028943560057888215"/>
        <n v="0.16539177175936615"/>
        <n v="0.03951397806973431"/>
        <n v="-0.12605449432754337"/>
        <n v="0.4981441687829704"/>
        <n v="0.038763446070361716"/>
        <n v="0.029475338966399228"/>
        <n v="-1.0216747827747612"/>
        <n v="0.14554628371821413"/>
        <n v="-1.5661938534278854"/>
        <n v="0.6500727054999617"/>
        <n v="0.1296887470071924"/>
        <n v="0.13635920911658767"/>
        <n v="-0.34223134839150715"/>
        <n v="-1.2083993660855774"/>
        <n v="1.8888289260658342"/>
        <n v="0.019920318725095636"/>
        <n v="-0.11101859561476966"/>
        <n v="-0.19766566265059654"/>
        <n v="1.955695615905088"/>
        <n v="-2.0512361160874293"/>
        <n v="3.710144927536235"/>
        <n v="2.2568807339449486"/>
        <n v="-1.6699410609037366"/>
        <n v="0.16752069373275688"/>
        <n v="2.0985846754514315"/>
        <n v="0.7444648554577936"/>
        <n v="0.24487297214569417"/>
        <n v="0.36190476190475757"/>
        <n v="0.32725109083696774"/>
        <n v="0.6630380999505213"/>
        <n v="2.4312994876571956"/>
        <n v="0.10470207500475864"/>
        <n v="-6.766434080058763"/>
        <n v="0.08549444286121727"/>
        <n v="0.4951937081270076"/>
        <n v="0.2586454641249124"/>
        <n v="1.4123536247430037"/>
        <n v="0.12836970474968862"/>
        <n v="-0.019275250578267376"/>
        <n v="-0.15554945557690703"/>
        <n v="-0.6791171477079786"/>
        <n v="0.481856623070124"/>
        <n v="-0.750448028673837"/>
        <n v="0.11500862564691426"/>
        <n v="0.009834775767103565"/>
        <n v="0.33837766707397254"/>
        <n v="-0.009983028850958486"/>
        <n v="0.1479426722145137"/>
        <n v="1.3934045517882026"/>
        <n v="-0.22315202231519746"/>
        <n v="-0.08879242304657006"/>
        <n v="0.5945639864099752"/>
        <n v="1.2869399428026638"/>
        <n v="-0.05692059576890454"/>
        <n v="0.019241870309790285"/>
        <n v="2.7485928705440967"/>
        <n v="-0.04915937469275112"/>
        <n v="0.1536688436419483"/>
        <n v="0.09836710603974869"/>
        <n v="1.0436432637571103"/>
        <n v="2.446510788119534"/>
        <n v="1.4027490114855912"/>
        <n v="2.132554641182193"/>
        <n v="0.6810897435897362"/>
        <n v="0.3225491154334848"/>
        <n v="0.2536090518923187"/>
        <n v="0.8109619686800937"/>
        <n v="0.029782587114068438"/>
        <n v="0.2600000000000051"/>
        <n v="0.029539188656952677"/>
        <n v="0.21934197407776557"/>
        <n v="0.2537832503054761"/>
        <n v="0.5030473057947141"/>
        <n v="0.037968675842435934"/>
        <n v="0.00965996908810386"/>
        <n v="0.11379800853484148"/>
        <n v="-0.11217049915872551"/>
        <n v="0.5080109417741266"/>
        <n v="0.45744782235775255"/>
        <n v="0.16022620169651433"/>
        <n v="0.5617433414043567"/>
        <n v="0.009908838684111292"/>
        <n v="0.29419181306211173"/>
        <n v="-0.029641339788545527"/>
        <n v="0.13077155215774033"/>
        <n v="1.6323280581268047"/>
        <n v="-0.009512937595134241"/>
        <n v="0.020857232245276903"/>
        <n v="0.028996713705781114"/>
        <n v="0.20272227048942346"/>
        <n v="0.29389457717102985"/>
        <n v="0.2911344853493635"/>
        <n v="0.29376663912603795"/>
        <n v="2.4101782994355325"/>
        <n v="0.19162884518406223"/>
        <n v="1.4774126337721396"/>
        <n v="0.05465974309920951"/>
        <n v="2.2311596284592534"/>
        <n v="0.6205923836389382"/>
        <n v="-0.019563728846728193"/>
        <n v="0.009916699722323388"/>
        <n v="1.2833919574104082"/>
        <n v="0.16728990356229256"/>
        <n v="0.463269358041041"/>
        <n v="0.009605225242536852"/>
        <n v="-0.7382941519331561"/>
        <n v="-0.009840582562492733"/>
        <n v="-0.19355463079454452"/>
        <n v="1.985695463956333"/>
        <n v="-2.5474047117410423"/>
        <n v="0.5722460658083"/>
        <n v="0.06719784966880404"/>
        <n v="-0.029862631893277848"/>
        <n v="0.029928172386274078"/>
        <n v="0.6771626883358703"/>
        <n v="1.8957797465942603"/>
        <n v="0.12173424477946947"/>
        <n v="-0.4327726959771789"/>
        <n v="1.8354668674698822"/>
        <n v="0.11640314288484852"/>
        <n v="-0.28831845238095455"/>
        <n v="0.22295463357891043"/>
        <n v="0.36956315739600165"/>
        <n v="0.31967451322289864"/>
        <n v="-0.00991669972233748"/>
        <n v="0.009616309260510738"/>
        <n v="0.7377208309066251"/>
        <n v="1.2000750046877942"/>
        <n v="0.23478587528174302"/>
        <n v="0.44597231255226616"/>
        <n v="0.7885985748218511"/>
        <n v="0.09931472837422636"/>
        <n v="0.7272727272727246"/>
        <n v="-0.3743266684926473"/>
        <n v="-0.9643291826608006"/>
        <n v="0.14349947383526804"/>
        <n v="0.35922330097087823"/>
        <n v="0.11136984914447648"/>
        <n v="0.39168143243495446"/>
        <n v="0.1491943505072523"/>
        <n v="0.09771350400624809"/>
        <n v="0.24625689519306543"/>
        <n v="1.6571176729836892"/>
        <n v="2.281829188786429"/>
        <n v="0.07957823535262937"/>
        <n v="0.32334759866855844"/>
        <n v="-0.019727756954030402"/>
        <n v="-1.9235907026449468"/>
        <n v="0.0806776926179894"/>
        <n v="0.6434766390002776"/>
        <n v="0.03998400639743307"/>
        <n v="0.048799531524508465"/>
        <n v="0.5813953488372038"/>
        <n v="1.578793489913268"/>
        <n v="0.028636884306988485"/>
        <n v="0.09910802775024213"/>
        <n v="-1.0266343825665882"/>
        <n v="0.23944066660281585"/>
        <n v="-1.140896020777297"/>
        <n v="-0.5820399113081998"/>
        <n v="0.5141138810747901"/>
        <n v="0.39169604386994855"/>
        <n v="0.8029472888720899"/>
        <n v="0.3119977309255917"/>
        <n v="0.009755145839421428"/>
        <n v="1.3870365430781562"/>
        <n v="2.5929685337270483"/>
        <n v="-0.03545784948143449"/>
        <n v="0.30926838697207637"/>
        <n v="0.12268780671952592"/>
        <n v="0.32973071991207126"/>
        <n v="2.046086611044883"/>
        <n v="-0.0876680303915872"/>
        <n v="1.349411426930817"/>
        <n v="0.39813556030296815"/>
        <n v="1.0333363285110895"/>
        <n v="-0.31987957474833323"/>
        <n v="-0.36456793772784546"/>
        <n v="0.17236426314276798"/>
        <n v="-0.2902195994969637"/>
        <n v="0.2228412256267362"/>
        <n v="1.3378230797233337"/>
        <n v="0.19618834080716904"/>
        <n v="0.8527624058786154"/>
        <n v="-1.3839107925129437"/>
        <n v="0.14446691707599507"/>
        <n v="0.08756567425569509"/>
        <n v="0.6749486452117751"/>
        <n v="-2.909185082872932"/>
        <n v="0.4580896686159833"/>
        <n v="-0.009719117504135597"/>
        <n v="0.6229923099386747"/>
        <n v="2.2063595068137527"/>
        <n v="0.6063756063756088"/>
        <n v="0.43532939924541797"/>
        <n v="0.3127837756028678"/>
        <n v="0.01981178801386431"/>
        <n v="-0.46195908362401705"/>
        <n v="0.6318040435458843"/>
        <n v="2.08414491624463"/>
        <n v="0.05041338979632704"/>
        <n v="3.281111439550693"/>
        <n v="-0.28133224430529297"/>
        <n v="0.08807985907221491"/>
        <n v="0.0777453838678312"/>
        <n v="0.5546905410665561"/>
        <n v="1.5652006913769883"/>
        <n v="0.6686128637348225"/>
        <n v="0.07677543186180259"/>
        <n v="-0.039062500000006106"/>
        <n v="-0.769914124962986"/>
        <n v="0.2671944581890114"/>
        <n v="-0.5258274048870925"/>
        <n v="1.2826427978222759"/>
        <n v="0.1817138485080315"/>
        <n v="1.1622322543463584"/>
        <n v="0.6927968112365851"/>
        <n v="0.16730636748351707"/>
        <n v="-0.01810610175628827"/>
        <n v="3.295779384563647"/>
        <n v="0.009889240506320118"/>
        <n v="0.5936675461741382"/>
        <n v="0.8181126331811258"/>
        <n v="-0.42731072921505614"/>
        <n v="1.8497438816163942"/>
        <n v="-0.49711672300656196"/>
        <n v="1.042627791105379"/>
        <n v="-0.13041453190498423"/>
        <n v="0.2789678190694442"/>
        <n v="1.1690480608647291"/>
        <n v="2.1306200539177347"/>
        <n v="-0.0199163513244334"/>
        <n v="0.47973369884471795"/>
        <n v="-0.3612928424958406"/>
        <n v="1.3495904690990346"/>
        <n v="0.14797277300975778"/>
        <n v="0.305898097696212"/>
        <n v="1.8770735114370452"/>
        <n v="2.5923831070889896"/>
        <n v="3.7199328733917536"/>
        <n v="-0.009996001599365369"/>
        <n v="4.096362040378429"/>
        <n v="-0.19864918553834213"/>
        <n v="-0.4881382407497803"/>
        <n v="0.039828736433328724"/>
        <n v="-0.3597821859198799"/>
        <n v="3.9125768367645675"/>
        <n v="0.07981642222887189"/>
        <n v="0.29691211401424894"/>
        <n v="0.5588127519237811"/>
        <n v="-1.8462663376290978"/>
        <n v="-1.1231884057971095"/>
        <n v="0.13748404203083628"/>
        <n v="0.38270187523919413"/>
        <n v="0.019470404984419803"/>
        <n v="0.27287788714550354"/>
        <n v="0.24723101265822783"/>
        <n v="0.29602750190985705"/>
        <n v="-0.574217628481189"/>
        <n v="0.23844460748348395"/>
        <n v="-0.048407396650219155"/>
        <n v="0.26658464062340315"/>
        <n v="-1.4063792627998906"/>
        <n v="0.15785319652722632"/>
        <n v="1.0647319325355789"/>
        <n v="4.9184883290107475"/>
        <n v="2.401454267125914"/>
        <n v="0.49934049368758354"/>
        <n v="0.787973043027466"/>
        <n v="2.1542360608254847"/>
        <n v="0.6064690026954271"/>
        <n v="0.3874842584519921"/>
        <n v="0.10516252390057308"/>
        <n v="2.0228166043524105"/>
        <n v="0.009726680284010218"/>
        <n v="0.23946360153256704"/>
        <n v="0.09866798223977162"/>
        <n v="1.5370284117373132"/>
        <n v="0.009717228646395022"/>
        <n v="-0.12887875483296288"/>
        <n v="1.3787652586282542"/>
        <n v="1.6277555576225466"/>
        <n v="0.15686274509803588"/>
        <n v="-1.1023332720925987"/>
        <n v="0.08999100089989921"/>
        <n v="1.1385020700037578"/>
        <n v="1.2442266000565492"/>
        <n v="0.049188391539593854"/>
        <n v="0.38756026089422113"/>
        <n v="-4.637259654225234"/>
        <n v="-2.255489021956093"/>
        <n v="1.6551724137931008"/>
        <n v="0.5014948403896191"/>
        <n v="0.21741278782488274"/>
        <n v="0.07863180656575418"/>
        <n v="-0.9801999607920017"/>
        <n v="0.983337885823544"/>
        <n v="1.3594872790833088"/>
        <n v="1.080170448914878"/>
        <n v="0.32723772858516764"/>
        <n v="0.025322866548494246"/>
        <n v="1.978858350951377"/>
        <n v="0.19011406844106235"/>
        <n v="0.7588449788114675"/>
        <n v="0.531115342218646"/>
        <n v="-0.6818181818181808"/>
        <n v="-0.02823263692829017"/>
        <n v="1.0977163579339455"/>
        <n v="0.20818875780707222"/>
        <n v="-0.10125184094256207"/>
        <n v="0.15526443474041396"/>
        <n v="0.12985715712715556"/>
        <n v="0.787401574803143"/>
        <n v="0.08835656783821265"/>
        <n v="0.39682539682540247"/>
        <n v="0.03909304143863004"/>
        <n v="-1.8574938574938582"/>
        <n v="-0.05754291742591567"/>
        <n v="0.473704563031718"/>
        <n v="0.1651607888856383"/>
        <n v="-0.3178461250818018"/>
        <n v="0.04558300665511639"/>
        <n v="0.009901970492133"/>
        <n v="1.4976174268209728"/>
        <n v="1.3542478565861267"/>
        <n v="0.009859016070187228"/>
        <n v="0.4055791868631879"/>
        <n v="0.09579461634255611"/>
        <n v="0.4781420765027272"/>
        <n v="0.11138112596192733"/>
        <n v="2.4199768607790255"/>
        <n v="2.1955338712704107"/>
        <n v="0.027429825363446226"/>
        <n v="2.0643870498363133"/>
        <n v="-0.12912746725696417"/>
        <n v="0.07668711656442917"/>
        <n v="-0.34351145038167885"/>
        <n v="0.1565864161283975"/>
        <n v="1.815592737629055"/>
        <n v="-1.2661637931034453"/>
        <n v="-0.1473296500920779"/>
        <n v="-0.2632816173013645"/>
        <n v="0.18090069503951034"/>
        <n v="-0.23251307886068096"/>
        <n v="0.959040959040967"/>
        <n v="0.018639328984152864"/>
        <n v="0.6481204506929817"/>
        <n v="0.28997100289970207"/>
        <n v="0.10764262648007746"/>
        <n v="0.15029118917904452"/>
        <n v="0.5999999999999943"/>
        <n v="3.065279091769153"/>
        <n v="0.367266220924758"/>
        <n v="0.03905487209528612"/>
        <n v="-0.04786062984588605"/>
        <n v="-0.1916058394160527"/>
        <n v="0.009868745682428813"/>
        <n v="0.07050943063635864"/>
        <n v="1.4967423842225769"/>
        <n v="0.22502690539086584"/>
        <n v="-0.03960788196850386"/>
        <n v="3.6768171961912004"/>
        <n v="1.22140364482358"/>
        <n v="0.1874941408081024"/>
        <n v="-0.22366815778771745"/>
        <n v="0.30170316301703387"/>
        <n v="-0.23008849557522576"/>
        <n v="0.07840062720501596"/>
        <n v="5.199574755967909"/>
        <n v="2.0755422587883445"/>
        <n v="0.052060737527116936"/>
        <n v="1.7852408307556304"/>
        <n v="-0.10632128358785951"/>
        <n v="2.4491299143725223"/>
        <n v="-0.8710119397142302"/>
        <n v="1.0324216627422573"/>
        <n v="-0.8608448704295465"/>
        <n v="0.08307947936859911"/>
        <n v="2.092448164352295"/>
        <n v="0.34591514904872234"/>
        <n v="0.13690592607080046"/>
        <n v="0.06854009595614158"/>
        <n v="0.009771350400616479"/>
        <n v="0.06748939452372482"/>
        <n v="2.017712042362817"/>
        <n v="0.13974287311346326"/>
        <n v="-0.01919754271454236"/>
        <n v="-1.8513105329825505"/>
        <n v="0.4080007960991251"/>
        <n v="0.11664074650078204"/>
        <n v="0.009968102073370332"/>
        <n v="0.10768477728830095"/>
        <n v="0.2648616833431391"/>
        <n v="3.856803797468346"/>
        <n v="0.5145167217934603"/>
        <n v="0.9860842318680242"/>
        <n v="0.9225446857582105"/>
        <n v="0.01994813484938761"/>
        <n v="0.23504064244441766"/>
        <n v="-0.821573554997095"/>
        <n v="-0.4603682946357165"/>
        <n v="0.10051169590643222"/>
        <n v="0.11595323219635188"/>
        <n v="0.07808687164470307"/>
        <n v="-0.37291462217861593"/>
        <n v="0.08994603238057505"/>
        <n v="-0.13517427826589395"/>
        <n v="-0.6879419071278415"/>
        <n v="-0.13626630328985845"/>
        <n v="1.866690948825361"/>
        <n v="1.1285038223516648"/>
        <n v="-0.019778481012668346"/>
        <n v="-0.08861756597085801"/>
        <n v="-0.5905702391325388"/>
        <n v="0.695383426694996"/>
        <n v="1.0699911652105518"/>
        <n v="0.01958480219349395"/>
        <n v="2.7974636329727716"/>
        <n v="0.9837962962962923"/>
        <n v="1.132185020321271"/>
        <n v="0.16604805626099015"/>
        <n v="-2.114695340501792"/>
        <n v="0.34912247593884727"/>
        <n v="0.1481774177615247"/>
        <n v="-0.06986725222077371"/>
        <n v="0.11544011544010614"/>
        <n v="-0.8538522637013497"/>
        <n v="1.8945403639757359"/>
        <n v="1.4657646576465688"/>
        <n v="-4.594393911267857"/>
        <n v="0.8422594525313574"/>
        <n v="11.105713175281764"/>
        <n v="0.2481133050759794"/>
        <n v="0.04938271604937991"/>
        <n v="0.2921413964358722"/>
        <n v="0.00958405213723491"/>
        <n v="1.2308356726408989"/>
        <n v="1.9743164147811698"/>
        <n v="1.4913657770800697"/>
        <n v="-0.4626060138781858"/>
        <n v="0.2919139826797676"/>
        <n v="0.9191000478697882"/>
        <n v="-0.03945940613594382"/>
        <n v="1.0561116723298796"/>
        <n v="0.06493506493507178"/>
        <n v="1.1048074051955803"/>
        <n v="0.04998500449864756"/>
        <n v="0.026704646608510893"/>
        <n v="-0.2739726027397271"/>
        <n v="0.03894080996885344"/>
        <n v="0.06894513936766786"/>
        <n v="-1.6063861239775257"/>
        <n v="2.8677591463414682"/>
        <n v="-1.1772588055130206"/>
        <n v="-0.06977671451354982"/>
        <n v="0.5034672746271504"/>
        <n v="-0.09211873080860124"/>
        <n v="0.1555921654768458"/>
        <n v="0.03893322951139406"/>
        <n v="-0.03990024937656484"/>
        <n v="-0.06788207913111655"/>
        <n v="-0.11510791366906911"/>
        <n v="0.40719038633429"/>
        <n v="1.6894818922197217"/>
        <n v="0.009828009828014857"/>
        <n v="0.4056986508161212"/>
        <n v="2.910341357041012"/>
        <n v="2.0929045431342495"/>
        <n v="-0.009934432743881288"/>
        <n v="2.546892239794038"/>
        <n v="0.9839080459770052"/>
        <n v="-0.009810654370651541"/>
        <n v="1.0338716029933015"/>
        <n v="0.2627225844118033"/>
        <n v="-0.3849765258215931"/>
        <n v="-0.3789767627405959"/>
        <n v="0.019958088015178357"/>
        <n v="0.8547811384557682"/>
        <n v="1.2390967636748969"/>
        <n v="0.058944886531081694"/>
        <n v="0.2577082374597341"/>
        <n v="0.09844281367460125"/>
        <n v="0.5415676959619887"/>
        <n v="1.7981128716396617"/>
        <n v="-0.05809450038729887"/>
        <n v="0.01904036557501525"/>
        <n v="-0.3184713375796252"/>
        <n v="1.5735266069044493"/>
        <n v="0.12974051896207128"/>
        <n v="-0.12885320646247939"/>
        <n v="1.036776212832553"/>
        <n v="2.0023442078531075"/>
        <n v="0.07907482455273133"/>
        <n v="0.6612059607223939"/>
        <n v="0.009683354313939302"/>
        <n v="-0.14192449616803055"/>
        <n v="1.0375254533113618"/>
        <n v="0.24804426636138632"/>
        <n v="0.5446206764762157"/>
        <n v="0.38033395176252005"/>
        <n v="0.12604227263912687"/>
        <n v="0.01898253606681475"/>
        <n v="0.44273907910271826"/>
        <n v="-0.28011204481791413"/>
        <n v="-0.030740854595758926"/>
        <n v="1.0033128253667656"/>
        <n v="0.12788981800294683"/>
        <n v="-0.046520282843317044"/>
        <n v="-0.2909978409837626"/>
        <n v="0.6073752711496772"/>
        <n v="-0.05166356685265257"/>
        <n v="-0.5719357065378151"/>
        <n v="0.19171779141104567"/>
        <n v="0.5577689243027769"/>
        <n v="0.08295313148071164"/>
        <n v="-0.06897910918408295"/>
        <n v="0.08528380555292657"/>
        <n v="0.1266562743569714"/>
        <n v="0.2165141226257247"/>
        <n v="0.24454477050414328"/>
        <n v="-0.7230878908239065"/>
        <n v="0.4260556712743691"/>
        <n v="0.13108614232209792"/>
        <n v="2.379195868683141"/>
        <n v="0.27703477264042037"/>
        <n v="-0.6821145551208673"/>
        <n v="-0.05941770647653225"/>
        <n v="0.5435319695622068"/>
        <n v="-0.5407124681933747"/>
        <n v="-1.1261465806920308"/>
        <n v="0.0973899493572208"/>
        <n v="1.180593986349383"/>
        <n v="0.8852111998460381"/>
        <n v="-1.824627254717965"/>
        <n v="0.2056001566477323"/>
        <n v="-0.43281715879580923"/>
        <n v="1.3816243955393326"/>
        <n v="2.118644067796613"/>
        <n v="0.18518518518519683"/>
        <n v="-0.06954793840040475"/>
        <n v="1.146025878003692"/>
        <n v="0.7739499764039577"/>
        <n v="-9.819655199809327"/>
        <n v="0.8268301746562621"/>
        <n v="0.6929283341243512"/>
        <n v="0.04698364968990524"/>
        <n v="6.776406035665305"/>
        <n v="0.009493971328211446"/>
        <n v="-0.1793721973094097"/>
        <n v="-0.17016449234260428"/>
        <n v="0.04952947003466781"/>
        <n v="1.347197106690786"/>
        <n v="-1.3473930872876345"/>
        <n v="0.009923588369559509"/>
        <n v="-0.2813222144077174"/>
        <n v="1.496699823370841"/>
        <n v="0.42268041237113047"/>
        <n v="0.019247425656828247"/>
        <n v="-0.8893185113581457"/>
        <n v="0.1924486803519004"/>
        <n v="-0.04762811964183383"/>
        <n v="-0.0474743638435218"/>
        <n v="0.47588832487309946"/>
        <n v="4.20333270923049"/>
        <n v="-0.11755131567050335"/>
        <n v="0.591540964211766"/>
        <n v="-1.0604942825525558"/>
        <n v="0.7516623301532246"/>
        <n v="-0.060422960725077815"/>
        <n v="-0.06823942288944548"/>
        <n v="0.7708271568336804"/>
        <n v="0.05275374551592864"/>
        <n v="0.049627791563272614"/>
        <n v="0.23692191053828657"/>
        <n v="0.1991654021244385"/>
        <n v="-0.10761103502249993"/>
        <n v="-0.31814353887901503"/>
        <n v="0.7107866679473585"/>
        <n v="0.37284144427001126"/>
        <n v="0.6635891517599516"/>
        <n v="2.2390787790166358"/>
        <n v="-0.45500045500045494"/>
        <n v="0.28406308159466354"/>
        <n v="0.5298651252408451"/>
        <n v="0.10561689870379205"/>
        <n v="0.9099804305283685"/>
        <n v="-0.1874589933452084"/>
        <n v="-0.01956947162426225"/>
        <n v="-0.08277289187792292"/>
        <n v="0.8179959100204532"/>
        <n v="0.5697720911635278"/>
        <n v="-4.451721391273565"/>
        <n v="5.774456521739119"/>
        <n v="1.0965341687879426"/>
        <n v="0.5403752039151725"/>
        <n v="1.0323203087313007"/>
        <n v="0.3012048192771106"/>
        <n v="0.6602870813397108"/>
        <n v="0.22684310018904452"/>
        <n v="0.10675465838509261"/>
        <n v="0.03919647231749755"/>
        <n v="1.7691962281095635"/>
        <n v="0.45468024117820866"/>
        <n v="0.808122668876918"/>
        <n v="-0.010327377878761868"/>
        <n v="0.4074193202530392"/>
        <n v="-0.048713951675757164"/>
        <n v="-0.5839141081182939"/>
        <n v="0.11616650532430257"/>
        <n v="-0.048923679060662584"/>
        <n v="-1.4443500424808846"/>
        <n v="0.3538431295459008"/>
        <n v="0.8513553185243219"/>
        <n v="-1.3460244207287815"/>
        <n v="0.17726006583945975"/>
        <n v="-0.08740409828105604"/>
        <n v="0.7442953677406768"/>
        <n v="1.4364014364014461"/>
        <n v="0.06942378260439094"/>
        <n v="0.805263674752045"/>
        <n v="0.3572846367606187"/>
        <n v="0.3564059275933178"/>
        <n v="0.15178825538373644"/>
        <n v="-0.06808014005056719"/>
        <n v="-0.40862871804619105"/>
        <n v="1.431861419845792"/>
        <n v="-0.009979044007574997"/>
        <n v="0.09755145839429744"/>
        <n v="0.09764671418807591"/>
        <n v="0.3035347106628829"/>
        <n v="0.12499999999999563"/>
        <n v="0.029123386079022557"/>
        <n v="0.627316794981476"/>
        <n v="0.07987220447284175"/>
        <n v="1.5959409594095846"/>
        <n v="0.3986048829098214"/>
        <n v="-0.00997307270369094"/>
        <n v="-0.009718172983484078"/>
        <n v="-0.019120458891009582"/>
        <n v="0.5441008018327541"/>
        <n v="-0.274517228322611"/>
        <n v="0.38186157517900304"/>
        <n v="0.10839574300354693"/>
        <n v="0.13953951958536887"/>
        <n v="-0.04704996706502038"/>
        <n v="0.08036970062286346"/>
        <n v="-0.9243377167905459"/>
        <n v="0.15907735136209644"/>
        <n v="0.2127453824581751"/>
        <n v="0.23667518697339773"/>
        <n v="0.5966587112171782"/>
        <n v="-0.048454307587941815"/>
        <n v="1.2794363063230072"/>
        <n v="-0.12787723785165792"/>
        <n v="0.27113392079016285"/>
        <n v="0.20082337584095075"/>
        <n v="0.050115265109749584"/>
        <n v="-0.20620581304007066"/>
        <n v="0.14156285390714013"/>
        <n v="0.04974629390110154"/>
        <n v="0.590056103695105"/>
        <n v="-0.6285602042820531"/>
        <n v="2.0542241140001973"/>
        <n v="0.34910783553141916"/>
        <n v="-0.31575925748732014"/>
        <n v="0.9302771650522672"/>
        <n v="0.3463289135167171"/>
        <n v="0.07801072647488863"/>
        <n v="1.75751628155946"/>
        <n v="-0.4076762454012097"/>
        <n v="0.40223055123868523"/>
        <n v="-0.39525691699605303"/>
        <n v="0.9467109115752617"/>
        <n v="1.1632453567937417"/>
        <n v="-0.009936406995235608"/>
        <n v="-0.0982704402515807"/>
        <n v="-0.29345593270077"/>
        <n v="0.4638129287853937"/>
        <n v="0.3528850739151212"/>
        <n v="0.30917522960807803"/>
        <n v="-0.030087253033784903"/>
        <n v="1.7391304347825973"/>
        <n v="0.048567265662940416"/>
        <n v="-0.06786891603646247"/>
        <n v="0.1300994331381847"/>
        <n v="2.4241897645320982"/>
        <n v="2.186878727634197"/>
        <n v="-0.15576323987538054"/>
        <n v="1.5440242353171096"/>
        <n v="0.8334967640713808"/>
        <n v="0.3301611963487951"/>
        <n v="0.5484642999601088"/>
        <n v="1.7967332123412012"/>
        <n v="-0.03724048040218978"/>
        <n v="0.07126313914127765"/>
        <n v="0.07853146166682859"/>
        <n v="3.7099811676082837"/>
        <n v="0.8175978197391508"/>
        <n v="-0.04850601474582572"/>
        <n v="0.1054953486141742"/>
        <n v="0.30010316046141555"/>
        <n v="0.7582471688823201"/>
        <n v="0.10434452665528308"/>
        <n v="0.00991276764473148"/>
        <n v="0.7120478496154942"/>
        <n v="0.17463859512953026"/>
        <n v="-0.7331814128604073"/>
        <n v="-0.008704735376036651"/>
        <n v="-0.01754078231888793"/>
        <n v="0.38048780487804934"/>
        <n v="1.2676462114664433"/>
        <n v="-0.4099590040996008"/>
        <n v="0.839679750048818"/>
        <n v="0.1574219835169939"/>
        <n v="-0.009903931860953863"/>
        <n v="0.2446183953033268"/>
        <n v="-1.573794491719291"/>
        <n v="0.9884185303514469"/>
        <n v="0.1686006148963619"/>
        <n v="-1.885125184094244"/>
        <n v="0.009725734292944092"/>
        <n v="0.30849770963821477"/>
        <n v="1.43558395850699"/>
        <n v="0.06918363312907015"/>
        <n v="-0.40758100672509234"/>
        <n v="1.1914974740253552"/>
        <n v="0.019815713861087905"/>
        <n v="0.08670520231214202"/>
        <n v="-0.019625159454416664"/>
        <n v="-0.01955225339721403"/>
        <n v="0.784989469653463"/>
        <n v="0.03952178638475077"/>
        <n v="0.5418719211822632"/>
        <n v="0.00963483957991223"/>
        <n v="1.6048144433299945"/>
        <n v="0.0193442305832247"/>
        <n v="0.13556696039508143"/>
        <n v="0.12680452594616629"/>
        <n v="1.1497792834411298"/>
        <n v="-0.010154346060118924"/>
        <n v="0.4876621476640983"/>
        <n v="-0.15209896572703882"/>
        <n v="-0.7272727272727246"/>
        <n v="0.7565399690092176"/>
        <n v="-0.029880478087650535"/>
        <n v="-0.20542761379608362"/>
        <n v="0.3105590062111735"/>
        <n v="0.009400263207374615"/>
        <n v="0.35635964912280754"/>
        <n v="2.1906010110466236"/>
        <n v="-0.27907903917073773"/>
        <n v="1.8827431470100404"/>
        <n v="-0.10077874484654094"/>
        <n v="-0.01013376570734203"/>
        <n v="0.11956521739130374"/>
        <n v="0.581284543548694"/>
        <n v="-0.12436621065722324"/>
        <n v="-0.886236209079403"/>
        <n v="0.9010853983207143"/>
        <n v="0.40000000000000563"/>
        <n v="1.7632241813602023"/>
        <n v="0.14477367049513143"/>
        <n v="0.5109196553796885"/>
        <n v="2.7422990232907605"/>
        <n v="-0.3286095707537412"/>
        <n v="0.009708737864082636"/>
        <n v="0.4391217564870237"/>
        <n v="0.05727376861396341"/>
        <n v="0.31847133757961105"/>
        <n v="-0.06546950991396128"/>
        <n v="-1.1554332874827977"/>
        <n v="-0.22414969301238083"/>
        <n v="0.10379316852236217"/>
        <n v="-2.056484782012613"/>
        <n v="-0.3107637253978701"/>
        <n v="-3.78271007859056"/>
        <n v="-0.17825311942958788"/>
        <n v="-0.05740528128588048"/>
        <n v="0.2350176263219691"/>
        <n v="0.12014787430683499"/>
        <n v="-1.070351269825819"/>
        <n v="0.31609195402298684"/>
        <n v="0.1446759259259177"/>
        <n v="0.7791232516661957"/>
        <n v="0.30361299463616753"/>
        <n v="0.2302763315979215"/>
        <n v="0.13883379611265426"/>
        <n v="0.17145738779625566"/>
        <n v="0.5872880553187503"/>
        <n v="0.15893513459818873"/>
        <n v="-0.0194401244167924"/>
        <n v="-0.32236654972978424"/>
        <n v="0.29999999999999716"/>
        <n v="-0.16022620169650093"/>
        <n v="-2.6448238428895614"/>
        <n v="3.706586243798023"/>
        <n v="-0.12604227263912687"/>
        <n v="-0.880616431502061"/>
        <n v="-3.8384023451813833"/>
        <n v="0.008869966294132621"/>
        <n v="3.029460811561975"/>
        <n v="0.3513313609467545"/>
        <n v="0.03970223325062656"/>
        <n v="0.1315913149732123"/>
        <n v="-0.23560456130430682"/>
        <n v="0.9065420560747652"/>
        <n v="0.3736347959379197"/>
        <n v="1.4646613584979797"/>
        <n v="2.1221221221221125"/>
        <n v="1.3509762191172463"/>
        <n v="0.6554047816855977"/>
        <n v="0.4217475016044815"/>
        <n v="0.47996865510823283"/>
        <n v="0.04977105315549609"/>
        <n v="0.02891287586738737"/>
        <n v="1.4370158988993034"/>
        <n v="0.02912055911473611"/>
        <n v="0.21866613656694053"/>
        <n v="-0.191127653153604"/>
        <n v="0.5539654694857301"/>
        <n v="1.9689023829239125"/>
        <n v="0.7775294003304473"/>
        <n v="-0.05925340707090882"/>
        <n v="0.1991040318566479"/>
        <n v="0.27601717440197326"/>
        <n v="0.5937610776320468"/>
        <n v="1.7663817663817658"/>
        <n v="-3.520373431877861"/>
        <n v="0.11536243030186939"/>
        <n v="-0.05702337958563228"/>
        <n v="3.4340401576280697"/>
        <n v="3.0680728667305814"/>
        <n v="-0.029180040852058296"/>
        <n v="-1.6008633869952344"/>
        <n v="1.2323943661971881"/>
        <n v="2.977667493796517"/>
        <n v="1.4007192882831763"/>
        <n v="1.276913039425846"/>
        <n v="0.01890001890002857"/>
        <n v="0.009446438692617718"/>
        <n v="0.038055370564176814"/>
        <n v="-0.018953752843059155"/>
        <n v="0.07540767273069875"/>
        <n v="-0.09177679882525176"/>
        <n v="0.19446654291522927"/>
        <n v="0.8415415511140955"/>
        <n v="0.02101281781886533"/>
        <n v="0.08668849932575941"/>
        <n v="1.0185373803218578"/>
        <n v="2.0314735336194656"/>
        <n v="0.25240267935151045"/>
        <n v="6.5187101910828"/>
        <n v="0.7129781289141486"/>
        <n v="1.4597878320790636"/>
        <n v="1.0441256582531375"/>
        <n v="-0.2774588595484042"/>
        <n v="0.1831148804934442"/>
        <n v="-0.02979737783075202"/>
        <n v="1.0597496972143694"/>
        <n v="2.0484002537841066"/>
        <n v="0.027500229168577448"/>
        <n v="-0.1174628034455661"/>
        <n v="0.8500700607192869"/>
        <n v="-0.09323140033564098"/>
        <n v="0.26488766800745217"/>
        <n v="0.5811228793701421"/>
        <n v="0.18000000000000682"/>
        <n v="0.02926258291065269"/>
        <n v="-0.3992987923646385"/>
        <n v="-0.8485199112910959"/>
        <n v="0.7752698724239372"/>
        <n v="0.04781028877414148"/>
        <n v="0.20242914979757853"/>
        <n v="-0.020108586366374442"/>
        <n v="-0.8033419023136247"/>
        <n v="-0.3657507268123423"/>
        <n v="1.5327036178934226"/>
        <n v="0.1639818655348719"/>
        <n v="0.15539305301644193"/>
        <n v="0.24333177351427712"/>
        <n v="-0.5743142885434185"/>
        <n v="0.15556635877492542"/>
        <n v="2.3995686168778665"/>
        <n v="0.4756468797564688"/>
        <n v="-0.11243324276211425"/>
        <n v="0.43116119549240345"/>
        <n v="-0.009495774380405579"/>
        <n v="0.8486697816344049"/>
        <n v="-0.8475421278293035"/>
        <n v="0.01888930865131303"/>
        <n v="0.009748488984212435"/>
        <n v="0.10550546710147651"/>
        <n v="0.41103934233704"/>
        <n v="-0.07057874571486931"/>
        <n v="0.35444454808321024"/>
        <n v="1.5444015444015402"/>
        <n v="-0.08618213157139079"/>
        <n v="0.2801661675200387"/>
        <n v="-0.01993819160601737"/>
        <n v="0.009542895314429721"/>
        <n v="1.8777943368107306"/>
        <n v="0.7924715205547272"/>
        <n v="1.5758131012368288"/>
        <n v="0.9338093930238909"/>
        <n v="2.1024107643431136"/>
        <n v="0.922953451043326"/>
        <n v="0.09448223733937482"/>
        <n v="-0.058536585365855875"/>
        <n v="0.08905600633287493"/>
        <n v="1.1145083341552378"/>
        <n v="0.08794215360563164"/>
        <n v="-1.5926160528459008"/>
        <n v="0.0495392846527268"/>
        <n v="1.6161431701972335"/>
        <n v="0.7071996856890275"/>
        <n v="-0.1123136614253619"/>
        <n v="-1.503616292348685"/>
        <n v="0.5253940455341429"/>
        <n v="0.31381778954595213"/>
        <n v="1.5821354307928759"/>
        <n v="2.2040423484119267"/>
        <n v="0.8649367930805161"/>
        <n v="1.7663408948265031"/>
        <n v="-0.17282765242439443"/>
        <n v="1.3086047825268317"/>
        <n v="1.3433244996801597"/>
        <n v="-0.03902058335772729"/>
        <n v="0.059506099375188214"/>
        <n v="-0.1992392682485047"/>
        <n v="-0.8616268335213758"/>
        <n v="0.2659574468085126"/>
        <n v="-0.2798591676446712"/>
        <n v="0.7697488694313452"/>
        <n v="0.009997000899735195"/>
        <n v="1.2294705936324466"/>
        <n v="0.07590853022108197"/>
        <n v="0.6736675252625389"/>
        <n v="0.09531071292412725"/>
        <n v="0.02000400080015605"/>
        <n v="-0.048704461328654934"/>
        <n v="1.0201149425287472"/>
        <n v="-0.4075829383886321"/>
        <n v="0.11039558417662405"/>
        <n v="-0.2599152868694609"/>
        <n v="0.3321934538348837"/>
        <n v="2.134462495679225"/>
        <n v="-0.17312686351831547"/>
        <n v="0.4183693325549646"/>
        <n v="0.00933706816060235"/>
        <n v="-0.009467007478927298"/>
        <n v="0.12939185826614458"/>
        <n v="0.760282128789959"/>
        <n v="-0.8975317875841379"/>
        <n v="0.31608060055314835"/>
        <n v="0.2919708029197053"/>
        <n v="0.1450256211930692"/>
        <n v="0.13418959072174885"/>
        <n v="-0.729064039408862"/>
        <n v="4.144660281084961"/>
        <n v="0.5232613452573467"/>
        <n v="0.3195506923598318"/>
        <n v="-0.28180354267310903"/>
        <n v="0.11808699074984289"/>
        <n v="0.6904714933912043"/>
        <n v="-0.009641342074821748"/>
        <n v="0.19370460048426424"/>
        <n v="2.680739772090421"/>
        <n v="-1.0927895404429606"/>
        <n v="-0.2179080824088737"/>
        <n v="1.0847457627118688"/>
        <n v="0.4542443456042434"/>
        <n v="0.06884343036978086"/>
        <n v="0.06550014035743723"/>
        <n v="0.5790223065970569"/>
        <n v="-0.10244947378224778"/>
        <n v="-0.045896823939780756"/>
        <n v="0.059982005398382755"/>
        <n v="1.9792736439174723"/>
        <n v="0.140884756269377"/>
        <n v="-0.99737532808399"/>
        <n v="0.3153330705557678"/>
        <n v="-0.26904967810126545"/>
        <n v="0.6849985321460054"/>
        <n v="3.1034173468472583"/>
        <n v="2.195034184958616"/>
        <n v="-0.763813113778391"/>
        <n v="0.08494572911751148"/>
        <n v="0.009684292078240272"/>
        <n v="-1.169001310087686"/>
        <n v="1.0857956568173717"/>
        <n v="0.2440397972592368"/>
        <n v="0.5612099305621644"/>
        <n v="0.1569858712715822"/>
        <n v="-0.038666022232968826"/>
        <n v="0.009928514694206827"/>
        <n v="0.6951820025103922"/>
        <n v="3.1574699889034696"/>
        <n v="0.5905693457598972"/>
        <n v="0.49083163548805436"/>
        <n v="1.415628539071348"/>
        <n v="0.019617459538985797"/>
        <n v="1.382098533283188"/>
        <n v="0.9879470460383323"/>
        <n v="-0.35372848948373836"/>
        <n v="0.34653929006275597"/>
        <n v="0.1845018450184426"/>
        <n v="0.6196818349981518"/>
        <n v="1.9836272040302274"/>
        <n v="-0.030003000300031144"/>
        <n v="-0.5255985984037299"/>
        <n v="1.5567765567765595"/>
        <n v="0.03029996970003145"/>
        <n v="-0.08903838543728078"/>
        <n v="-0.10283256987940492"/>
        <n v="0.05821851348729116"/>
        <n v="1.5206701875796775"/>
        <n v="0.058156440825823656"/>
        <n v="-0.21879558241301097"/>
        <n v="0.20531873289009947"/>
        <n v="0.019663749877111624"/>
        <n v="0.7786534991928526"/>
        <n v="-2.50593260560038"/>
        <n v="0.0293743268383444"/>
        <n v="1.438848920863307"/>
        <n v="0.058445353594391465"/>
        <n v="0.6776664702416146"/>
        <n v="0.7142138617845368"/>
        <n v="0.16760327319332297"/>
        <n v="-0.17112945439903535"/>
        <n v="2.988814317673381"/>
        <n v="2.7059037900874623"/>
        <n v="-0.13786312161496855"/>
        <n v="2.1152829190904336"/>
        <n v="0.2238007200544945"/>
        <n v="2.9545454545454546"/>
        <n v="-1.1652957305131195"/>
        <n v="0.018816445573427435"/>
        <n v="0.1604076240800167"/>
        <n v="-0.10338345864661601"/>
        <n v="0.2567901234567952"/>
        <n v="-0.1349918040690392"/>
        <n v="-0.019686977064681793"/>
        <n v="1.3868962219033982"/>
        <n v="0.42086001829826897"/>
        <n v="0.7217718014633221"/>
        <n v="2.397166984472896"/>
        <n v="0.6442795782897273"/>
        <n v="0.2398081534772182"/>
        <n v="-0.2042331971778675"/>
        <n v="0.3195179842979681"/>
        <n v="0.03019931548218355"/>
        <n v="1.527066569129482"/>
        <n v="-0.5154137897500741"/>
        <n v="-0.5883506569915753"/>
        <n v="0.7015547971179321"/>
        <n v="0.12197601138443236"/>
        <n v="2.132792897124101"/>
        <n v="0.12816991668955469"/>
        <n v="0.4325174481470536"/>
        <n v="0.4430318790330424"/>
        <n v="0.010090817356211016"/>
        <n v="0.09955201592831689"/>
        <n v="0.217262492593323"/>
        <n v="1.1777798386348846"/>
        <n v="-0.17049443385817623"/>
        <n v="0.8518405841192612"/>
        <n v="0.31911807368726264"/>
        <n v="0.22452989054167358"/>
        <n v="0.27965284474444746"/>
        <n v="-0.3775459513164527"/>
        <n v="-0.0574327558150687"/>
        <n v="1.7233560090703"/>
        <n v="-1.7682289190987732"/>
        <n v="0.0490580847723677"/>
        <n v="-0.09834775767113346"/>
        <n v="-0.009965122072736327"/>
        <n v="0.22406234778372114"/>
        <n v="0.037817906778865706"/>
        <n v="-0.029518842861360955"/>
        <n v="2.681431316921394"/>
        <n v="-0.25493945188017947"/>
        <n v="-0.028793550244746266"/>
        <n v="-0.5540166204986133"/>
        <n v="0.36679536679537617"/>
        <n v="0.23957834211787254"/>
        <n v="0.06572769953051003"/>
        <n v="1.4707217430776127"/>
        <n v="0.14848544842605987"/>
        <n v="0.02957121734844863"/>
        <n v="-0.13663868826859318"/>
        <n v="1.190141505013598"/>
        <n v="0.01817686085612653"/>
        <n v="0.10795956423594016"/>
        <n v="1.6597908471649139"/>
        <n v="-0.0194855806703001"/>
        <n v="0.06647673314340682"/>
        <n v="-0.3029468465987446"/>
        <n v="0.6582040432534113"/>
        <n v="-2.700762673844778"/>
        <n v="0.5370157268891468"/>
        <n v="0.31502264225241916"/>
        <n v="-4.470463012240546"/>
        <n v="-0.049495149475348596"/>
        <n v="2.7055987141709092"/>
        <n v="0.11529592621061159"/>
        <n v="1.9921067468520997"/>
        <n v="3.8141854451422192"/>
        <n v="0.5893330714075182"/>
        <n v="0.5564616713038456"/>
        <n v="-0.27966440271674103"/>
        <n v="1.4561747409689185"/>
        <n v="0.20547945205478838"/>
        <n v="-0.019698611247903106"/>
        <n v="0.17771957721447734"/>
        <n v="-1.3156612415943811"/>
        <n v="-0.03899395593682203"/>
        <n v="-2.46947581015332"/>
        <n v="0.368376310569567"/>
        <n v="3.240655496225369"/>
        <n v="0.8441303494307023"/>
        <n v="-0.14478764478763656"/>
        <n v="-0.12512030798845972"/>
        <n v="0.5570495582020728"/>
        <n v="0.20489803883306465"/>
        <n v="2.8095543149995494"/>
        <n v="-9.985567382283955"/>
        <n v="0.5387403271623049"/>
        <n v="0.5029417346745123"/>
        <n v="-0.9779951100244498"/>
        <n v="1.867480696713951"/>
        <n v="0.009447331128960904"/>
        <n v="-0.03918111470271942"/>
        <n v="0.581162324649297"/>
        <n v="-0.009451795841201234"/>
        <n v="-1.9354148845166834"/>
        <n v="0.29185718455102355"/>
        <n v="-2.457137618043452"/>
        <n v="0.42735042735042"/>
        <n v="1.6486295135025746"/>
        <n v="1.3184486574920649"/>
        <n v="0.2842732691425972"/>
        <n v="-0.03937007874014965"/>
        <n v="0.14420303787733674"/>
        <n v="-0.04472671974238426"/>
        <n v="1.3176765865901747"/>
        <n v="-0.0678228853793171"/>
        <n v="-3.479985575189325"/>
        <n v="0.6122039341629861"/>
        <n v="-0.03875593450246299"/>
        <n v="1.9160131043383228"/>
        <n v="-0.8491749493389902"/>
        <n v="0.6693315980292025"/>
        <n v="0.02820609251598452"/>
        <n v="4.4868146461772"/>
        <n v="0.2238597145788724"/>
        <n v="-0.15475384466582512"/>
        <n v="0.916125589255525"/>
        <n v="1.2070395282410413"/>
        <n v="0.23323615160349356"/>
        <n v="6.861206020869879"/>
        <n v="-0.44456793553765306"/>
        <n v="-0.8388776395718738"/>
        <n v="0.5405936701395827"/>
        <n v="0.0290838584585566"/>
        <n v="-0.23564064801177703"/>
        <n v="-0.2560063016935852"/>
        <n v="1.0477081384471378"/>
        <n v="0.5067064083457435"/>
        <n v="1.946246524559772"/>
        <n v="0.7492368883544559"/>
        <n v="2.042007001166856"/>
        <n v="0.20424473847793623"/>
        <n v="0.40702869055891644"/>
        <n v="0.019201228878658057"/>
        <n v="0.40233353450009196"/>
        <n v="-0.21515892420537786"/>
        <n v="0.08638894221538605"/>
        <n v="-0.01922707171697368"/>
      </sharedItems>
    </cacheField>
    <cacheField name="Kriteria Inflasi" numFmtId="0">
      <sharedItems>
        <s v="Stabil"/>
        <s v="Deflasi"/>
        <s v="Inflasi Tinggi"/>
        <s v="Inflasi Normal"/>
      </sharedItems>
    </cacheField>
    <cacheField name="Perubahan Poin IHK" numFmtId="0">
      <sharedItems containsSemiMixedTypes="0" containsString="0" containsNumber="1">
        <n v="0.0"/>
        <n v="-0.3199999999999932"/>
        <n v="1.6800000000000068"/>
        <n v="0.01999999999999602"/>
        <n v="0.10999999999999943"/>
        <n v="0.980000000000004"/>
        <n v="0.5600000000000023"/>
        <n v="2.200000000000003"/>
        <n v="0.2599999999999909"/>
        <n v="-0.09000000000000341"/>
        <n v="0.060000000000002274"/>
        <n v="-0.010000000000005116"/>
        <n v="-4.109999999999999"/>
        <n v="0.6700000000000017"/>
        <n v="0.4300000000000068"/>
        <n v="0.1599999999999966"/>
        <n v="-0.6500000000000057"/>
        <n v="-0.10999999999999943"/>
        <n v="0.21999999999999886"/>
        <n v="0.14000000000000057"/>
        <n v="1.1099999999999994"/>
        <n v="1.1199999999999903"/>
        <n v="0.0799999999999983"/>
        <n v="3.530000000000001"/>
        <n v="-1.990000000000009"/>
        <n v="-0.45000000000000284"/>
        <n v="0.7799999999999869"/>
        <n v="1.0600000000000023"/>
        <n v="0.020000000000010232"/>
        <n v="0.9200000000000017"/>
        <n v="0.0899999999999892"/>
        <n v="-0.04000000000000625"/>
        <n v="-0.01999999999999602"/>
        <n v="0.3999999999999915"/>
        <n v="-2.219999999999999"/>
        <n v="-0.14000000000000057"/>
        <n v="-0.04999999999999716"/>
        <n v="0.7600000000000051"/>
        <n v="1.9500000000000028"/>
        <n v="1.5499999999999972"/>
        <n v="0.9299999999999926"/>
        <n v="0.3499999999999943"/>
        <n v="0.28000000000000114"/>
        <n v="0.03999999999999204"/>
        <n v="1.970000000000013"/>
        <n v="-0.18999999999999773"/>
        <n v="0.37999999999999545"/>
        <n v="0.030000000000001137"/>
        <n v="2.009999999999991"/>
        <n v="0.18999999999999773"/>
        <n v="0.8299999999999983"/>
        <n v="0.8400000000000034"/>
        <n v="1.3999999999999915"/>
        <n v="-1.1499999999999915"/>
        <n v="0.22999999999998977"/>
        <n v="-0.1799999999999926"/>
        <n v="0.6800000000000068"/>
        <n v="0.5999999999999943"/>
        <n v="-0.15000000000000568"/>
        <n v="0.13000000000000966"/>
        <n v="-0.18000000000000682"/>
        <n v="0.2400000000000091"/>
        <n v="0.14999999999999147"/>
        <n v="0.20000000000000284"/>
        <n v="2.6099999999999994"/>
        <n v="0.010000000000005116"/>
        <n v="0.3100000000000023"/>
        <n v="0.04000000000000625"/>
        <n v="2.5799999999999983"/>
        <n v="3.3900000000000006"/>
        <n v="0.3200000000000074"/>
        <n v="-0.0799999999999983"/>
        <n v="0.12999999999999545"/>
        <n v="1.5200000000000102"/>
        <n v="2.4799999999999898"/>
        <n v="-0.06999999999999318"/>
        <n v="0.5"/>
        <n v="0.3400000000000034"/>
        <n v="0.18000000000000682"/>
        <n v="-0.20999999999999375"/>
        <n v="0.009999999999990905"/>
        <n v="0.3299999999999983"/>
        <n v="-0.6700000000000017"/>
        <n v="-0.29000000000000625"/>
        <n v="-0.6099999999999994"/>
        <n v="1.1300000000000097"/>
        <n v="0.09000000000000341"/>
        <n v="-1.289999999999992"/>
        <n v="0.6299999999999955"/>
        <n v="0.21000000000000796"/>
        <n v="-0.28999999999999204"/>
        <n v="-0.12000000000000455"/>
        <n v="-10.870000000000005"/>
        <n v="0.19999999999998863"/>
        <n v="1.6299999999999955"/>
        <n v="0.04999999999999716"/>
        <n v="1.1500000000000057"/>
        <n v="-0.4299999999999926"/>
        <n v="-1.519999999999996"/>
        <n v="0.09999999999999432"/>
        <n v="0.07000000000000739"/>
        <n v="-0.46999999999999886"/>
        <n v="-0.3400000000000034"/>
        <n v="0.710000000000008"/>
        <n v="0.4399999999999977"/>
        <n v="0.1700000000000017"/>
        <n v="-3.1899999999999977"/>
        <n v="-0.13000000000000966"/>
        <n v="0.28999999999999204"/>
        <n v="-1.2399999999999949"/>
        <n v="0.1600000000000108"/>
        <n v="-0.020000000000010232"/>
        <n v="6.570000000000007"/>
        <n v="0.06999999999999318"/>
        <n v="-0.3999999999999915"/>
        <n v="-2.280000000000001"/>
        <n v="0.45999999999999375"/>
        <n v="2.509999999999991"/>
        <n v="-0.030000000000001137"/>
        <n v="-2.1799999999999926"/>
        <n v="-6.659999999999997"/>
        <n v="0.8700000000000045"/>
        <n v="-0.6200000000000045"/>
        <n v="6.179999999999993"/>
        <n v="0.4900000000000091"/>
        <n v="0.8699999999999903"/>
        <n v="0.1799999999999926"/>
        <n v="-0.009999999999990905"/>
        <n v="0.46999999999999886"/>
        <n v="0.269999999999996"/>
        <n v="3.4099999999999966"/>
        <n v="1.039999999999992"/>
        <n v="-0.980000000000004"/>
        <n v="1.5900000000000034"/>
        <n v="0.789999999999992"/>
        <n v="-0.09999999999999432"/>
        <n v="3.1700000000000017"/>
        <n v="0.12000000000000455"/>
        <n v="0.10000000000000853"/>
        <n v="0.480000000000004"/>
        <n v="0.8900000000000006"/>
        <n v="1.1700000000000017"/>
        <n v="2.549999999999997"/>
        <n v="-2.2900000000000063"/>
        <n v="0.6699999999999875"/>
        <n v="0.5900000000000034"/>
        <n v="-1.440000000000012"/>
        <n v="0.9900000000000091"/>
        <n v="20.289999999999992"/>
        <n v="0.8499999999999943"/>
        <n v="0.7199999999999989"/>
        <n v="-0.5400000000000063"/>
        <n v="-0.710000000000008"/>
        <n v="-0.539999999999992"/>
        <n v="2.529999999999987"/>
        <n v="-0.14999999999999147"/>
        <n v="0.25"/>
        <n v="0.0800000000000125"/>
        <n v="-1.3200000000000074"/>
        <n v="-0.7000000000000028"/>
        <n v="0.15000000000000568"/>
        <n v="0.6199999999999903"/>
        <n v="1.0400000000000063"/>
        <n v="2.740000000000009"/>
        <n v="-0.8200000000000074"/>
        <n v="0.1699999999999875"/>
        <n v="0.11999999999999034"/>
        <n v="2.990000000000009"/>
        <n v="0.7999999999999972"/>
        <n v="-2.9299999999999926"/>
        <n v="0.36999999999999034"/>
        <n v="0.5899999999999892"/>
        <n v="-1.5799999999999983"/>
        <n v="3.3499999999999943"/>
        <n v="0.29999999999999716"/>
        <n v="-2.1700000000000017"/>
        <n v="3.1899999999999977"/>
        <n v="-1.0999999999999943"/>
        <n v="2.690000000000012"/>
        <n v="1.1400000000000006"/>
        <n v="-0.060000000000002274"/>
        <n v="2.1899999999999977"/>
        <n v="-0.8099999999999881"/>
        <n v="-1.210000000000008"/>
        <n v="2.539999999999992"/>
        <n v="1.8100000000000023"/>
        <n v="0.9899999999999949"/>
        <n v="2.1700000000000017"/>
        <n v="0.519999999999996"/>
        <n v="1.4000000000000057"/>
        <n v="1.0"/>
        <n v="0.4899999999999949"/>
        <n v="0.5300000000000011"/>
        <n v="-4.829999999999998"/>
        <n v="0.45000000000000284"/>
        <n v="4.140000000000001"/>
        <n v="-0.3300000000000125"/>
        <n v="-0.519999999999996"/>
        <n v="-1.0700000000000074"/>
        <n v="0.20999999999999375"/>
        <n v="-0.03999999999999204"/>
        <n v="0.6899999999999977"/>
        <n v="3.289999999999992"/>
        <n v="-1.3400000000000034"/>
        <n v="1.0500000000000114"/>
        <n v="0.23999999999999488"/>
        <n v="-0.7599999999999909"/>
        <n v="-0.5999999999999943"/>
        <n v="-3.509999999999991"/>
        <n v="1.3799999999999955"/>
        <n v="0.05000000000001137"/>
        <n v="3.8700000000000045"/>
        <n v="1.8900000000000006"/>
        <n v="-2.430000000000007"/>
        <n v="-0.2600000000000051"/>
        <n v="-0.35999999999999943"/>
        <n v="0.30000000000001137"/>
        <n v="-3.25"/>
        <n v="-3.519999999999996"/>
        <n v="-0.7800000000000011"/>
        <n v="2.049999999999997"/>
        <n v="0.6799999999999926"/>
        <n v="0.29000000000000625"/>
        <n v="2.700000000000003"/>
        <n v="-0.1599999999999966"/>
        <n v="1.0900000000000034"/>
        <n v="2.4099999999999966"/>
        <n v="2.3900000000000006"/>
        <n v="3.6599999999999966"/>
        <n v="-0.5"/>
        <n v="2.3499999999999943"/>
        <n v="2.1300000000000097"/>
        <n v="-3.5400000000000063"/>
        <n v="0.4700000000000131"/>
        <n v="1.8199999999999932"/>
        <n v="2.1200000000000045"/>
        <n v="-0.1600000000000108"/>
        <n v="0.730000000000004"/>
        <n v="0.3399999999999892"/>
        <n v="0.35999999999999943"/>
        <n v="0.5100000000000051"/>
        <n v="-0.07000000000000739"/>
        <n v="3.509999999999991"/>
        <n v="-0.269999999999996"/>
        <n v="2.069999999999993"/>
        <n v="-0.28000000000000114"/>
        <n v="-0.25"/>
        <n v="1.0799999999999983"/>
        <n v="2.0600000000000023"/>
        <n v="0.6900000000000119"/>
        <n v="-1.740000000000009"/>
        <n v="-0.730000000000004"/>
        <n v="3.490000000000009"/>
        <n v="0.9599999999999937"/>
        <n v="0.7800000000000011"/>
        <n v="-0.20000000000000284"/>
        <n v="1.4899999999999949"/>
        <n v="0.39000000000000057"/>
        <n v="0.27000000000001023"/>
        <n v="1.3499999999999943"/>
        <n v="2.3599999999999994"/>
        <n v="0.5799999999999983"/>
        <n v="2.3200000000000074"/>
        <n v="1.2000000000000028"/>
        <n v="0.37000000000000455"/>
        <n v="-0.10000000000000853"/>
        <n v="0.47999999999998977"/>
        <n v="1.730000000000004"/>
        <n v="-0.21000000000000796"/>
        <n v="0.8099999999999881"/>
        <n v="3.3400000000000034"/>
        <n v="1.3199999999999932"/>
        <n v="0.7099999999999937"/>
        <n v="3.6799999999999926"/>
        <n v="1.8999999999999915"/>
        <n v="0.2600000000000051"/>
        <n v="9.929999999999993"/>
        <n v="1.289999999999992"/>
        <n v="-1.2099999999999937"/>
        <n v="-0.5499999999999972"/>
        <n v="-2.5700000000000074"/>
        <n v="-0.3299999999999983"/>
        <n v="1.1800000000000068"/>
        <n v="0.19000000000001194"/>
        <n v="0.3500000000000085"/>
        <n v="-0.6899999999999977"/>
        <n v="0.8500000000000085"/>
        <n v="2.8400000000000034"/>
        <n v="-0.12999999999999545"/>
        <n v="-1.5899999999999892"/>
        <n v="-0.3499999999999943"/>
        <n v="-1.2199999999999989"/>
        <n v="2.0999999999999943"/>
        <n v="2.1099999999999994"/>
        <n v="3.8400000000000034"/>
        <n v="2.4599999999999937"/>
        <n v="-1.8700000000000045"/>
        <n v="2.1499999999999915"/>
        <n v="0.769999999999996"/>
        <n v="-7.3700000000000045"/>
        <n v="1.5799999999999983"/>
        <n v="-0.1700000000000017"/>
        <n v="-0.7199999999999989"/>
        <n v="1.5"/>
        <n v="-0.23999999999999488"/>
        <n v="0.6300000000000097"/>
        <n v="2.930000000000007"/>
        <n v="1.0999999999999943"/>
        <n v="2.710000000000008"/>
        <n v="-0.029999999999986926"/>
        <n v="1.6400000000000006"/>
        <n v="0.3199999999999932"/>
        <n v="2.6899999999999977"/>
        <n v="1.5600000000000023"/>
        <n v="2.3299999999999983"/>
        <n v="0.6600000000000108"/>
        <n v="1.3500000000000085"/>
        <n v="-2.6599999999999966"/>
        <n v="1.9899999999999949"/>
        <n v="-0.4399999999999977"/>
        <n v="-0.3100000000000023"/>
        <n v="0.23000000000000398"/>
        <n v="1.2800000000000011"/>
        <n v="-0.4099999999999966"/>
        <n v="-1.0300000000000011"/>
        <n v="0.4200000000000017"/>
        <n v="1.8799999999999955"/>
        <n v="2.4499999999999886"/>
        <n v="-2.160000000000011"/>
        <n v="1.6200000000000045"/>
        <n v="-1.0600000000000023"/>
        <n v="-1.230000000000004"/>
        <n v="-0.6299999999999955"/>
        <n v="2.8100000000000023"/>
        <n v="2.059999999999988"/>
        <n v="1.4100000000000108"/>
        <n v="0.4099999999999966"/>
        <n v="1.1499999999999915"/>
        <n v="-0.36999999999999034"/>
        <n v="-0.30000000000001137"/>
        <n v="1.4699999999999989"/>
        <n v="0.9399999999999977"/>
        <n v="-1.3900000000000006"/>
        <n v="-3.3700000000000045"/>
        <n v="0.6400000000000006"/>
        <n v="2.3799999999999955"/>
        <n v="0.7000000000000028"/>
        <n v="0.44999999999998863"/>
        <n v="-0.4899999999999949"/>
        <n v="0.6500000000000057"/>
        <n v="2.1399999999999864"/>
        <n v="3.3299999999999983"/>
        <n v="0.5699999999999932"/>
        <n v="-0.5099999999999909"/>
        <n v="1.3900000000000006"/>
        <n v="1.2099999999999937"/>
        <n v="0.7299999999999898"/>
        <n v="3.9200000000000017"/>
        <n v="0.8599999999999994"/>
        <n v="-0.46000000000000796"/>
        <n v="1.2600000000000051"/>
        <n v="2.450000000000003"/>
        <n v="1.4500000000000028"/>
        <n v="2.75"/>
        <n v="3.989999999999995"/>
        <n v="4.200000000000003"/>
        <n v="-0.37000000000000455"/>
        <n v="4.010000000000005"/>
        <n v="0.6099999999999994"/>
        <n v="-2.019999999999996"/>
        <n v="-1.240000000000009"/>
        <n v="0.4000000000000057"/>
        <n v="-0.05000000000001137"/>
        <n v="-1.5300000000000011"/>
        <n v="5.310000000000002"/>
        <n v="2.510000000000005"/>
        <n v="0.7599999999999909"/>
        <n v="1.6500000000000057"/>
        <n v="1.5699999999999932"/>
        <n v="1.75"/>
        <n v="-1.2000000000000028"/>
        <n v="-5.739999999999995"/>
        <n v="-2.260000000000005"/>
        <n v="1.7999999999999972"/>
        <n v="-1.0"/>
        <n v="2.3400000000000034"/>
        <n v="0.5299999999999869"/>
        <n v="1.1200000000000045"/>
        <n v="0.8199999999999932"/>
        <n v="-1.8900000000000006"/>
        <n v="1.5400000000000063"/>
        <n v="2.2700000000000102"/>
        <n v="2.0400000000000063"/>
        <n v="-1.4099999999999966"/>
        <n v="0.960000000000008"/>
        <n v="0.6499999999999915"/>
        <n v="3.239999999999995"/>
        <n v="1.7000000000000028"/>
        <n v="3.9000000000000057"/>
        <n v="-0.21999999999999886"/>
        <n v="5.3799999999999955"/>
        <n v="2.220000000000013"/>
        <n v="2.019999999999996"/>
        <n v="2.6599999999999966"/>
        <n v="-0.8900000000000006"/>
        <n v="-0.9700000000000131"/>
        <n v="2.2099999999999937"/>
        <n v="-1.8999999999999915"/>
        <n v="0.4100000000000108"/>
        <n v="3.8999999999999915"/>
        <n v="1.0699999999999932"/>
        <n v="-0.8499999999999943"/>
        <n v="-0.38000000000000966"/>
        <n v="-0.13999999999998636"/>
        <n v="2.0500000000000114"/>
        <n v="1.240000000000009"/>
        <n v="1.0899999999999892"/>
        <n v="3.0"/>
        <n v="1.019999999999996"/>
        <n v="-2.3599999999999994"/>
        <n v="-0.8599999999999994"/>
        <n v="2.030000000000001"/>
        <n v="1.4299999999999926"/>
        <n v="-4.949999999999989"/>
        <n v="11.429999999999993"/>
        <n v="2.260000000000005"/>
        <n v="1.710000000000008"/>
        <n v="-1.6299999999999955"/>
        <n v="3.010000000000005"/>
        <n v="3.469999999999999"/>
        <n v="2.769999999999996"/>
        <n v="1.0499999999999972"/>
        <n v="-0.37999999999999545"/>
        <n v="0.9100000000000108"/>
        <n v="1.519999999999996"/>
        <n v="0.05999999999998806"/>
        <n v="-0.3200000000000074"/>
        <n v="1.0700000000000074"/>
        <n v="0.5700000000000074"/>
        <n v="-0.2799999999999869"/>
        <n v="1.059999999999988"/>
        <n v="-0.5799999999999983"/>
        <n v="0.5599999999999881"/>
        <n v="-0.7099999999999937"/>
        <n v="-0.6799999999999926"/>
        <n v="0.5499999999999972"/>
        <n v="0.9199999999999875"/>
        <n v="-1.75"/>
        <n v="1.2399999999999949"/>
        <n v="-12.36"/>
        <n v="7.410000000000011"/>
        <n v="1.490000000000009"/>
        <n v="-1.3799999999999955"/>
        <n v="1.6100000000000136"/>
        <n v="-0.9200000000000017"/>
        <n v="4.490000000000009"/>
        <n v="0.7399999999999949"/>
        <n v="-0.0800000000000125"/>
        <n v="-5.030000000000001"/>
        <n v="5.949999999999989"/>
        <n v="1.9699999999999989"/>
        <n v="0.38000000000000966"/>
        <n v="-1.4000000000000057"/>
        <n v="0.8200000000000074"/>
        <n v="-0.4300000000000068"/>
        <n v="1.7299999999999898"/>
        <n v="-0.9699999999999989"/>
        <n v="-0.6399999999999864"/>
        <n v="0.9699999999999989"/>
        <n v="-0.4000000000000057"/>
        <n v="0.9700000000000131"/>
        <n v="1.1899999999999977"/>
        <n v="-0.29999999999999716"/>
        <n v="1.9199999999999875"/>
        <n v="2.789999999999992"/>
        <n v="2.3100000000000023"/>
        <n v="1.980000000000004"/>
        <n v="3.9399999999999977"/>
        <n v="0.75"/>
        <n v="-0.7400000000000091"/>
        <n v="1.3200000000000074"/>
        <n v="-0.4100000000000108"/>
        <n v="-1.720000000000013"/>
        <n v="-1.9199999999999875"/>
        <n v="1.25"/>
        <n v="1.7600000000000051"/>
        <n v="-0.7999999999999972"/>
        <n v="0.8300000000000125"/>
        <n v="1.9299999999999926"/>
        <n v="0.8800000000000097"/>
        <n v="2.9200000000000017"/>
        <n v="-1.259999999999991"/>
        <n v="-0.23000000000000398"/>
        <n v="-2.25"/>
        <n v="-4.38000000000001"/>
        <n v="0.6200000000000045"/>
        <n v="-0.1699999999999875"/>
        <n v="-2.6799999999999926"/>
        <n v="3.809999999999988"/>
        <n v="-0.8800000000000097"/>
        <n v="-4.189999999999998"/>
        <n v="3.269999999999996"/>
        <n v="2.1199999999999903"/>
        <n v="1.460000000000008"/>
        <n v="0.46000000000000796"/>
        <n v="1.4099999999999966"/>
        <n v="2.1400000000000006"/>
        <n v="1.8599999999999994"/>
        <n v="-3.6200000000000045"/>
        <n v="3.519999999999996"/>
        <n v="-1.7800000000000011"/>
        <n v="3.4799999999999898"/>
        <n v="1.480000000000004"/>
        <n v="1.3699999999999903"/>
        <n v="6.549999999999997"/>
        <n v="1.6099999999999994"/>
        <n v="-0.11999999999999034"/>
        <n v="0.9099999999999966"/>
        <n v="-0.8799999999999955"/>
        <n v="-0.75"/>
        <n v="-0.39000000000000057"/>
        <n v="1.7199999999999989"/>
        <n v="2.6700000000000017"/>
        <n v="-0.8500000000000085"/>
        <n v="0.4199999999999875"/>
        <n v="2.25"/>
        <n v="1.1299999999999955"/>
        <n v="-1.7600000000000051"/>
        <n v="1.7700000000000102"/>
        <n v="0.539999999999992"/>
        <n v="2.289999999999992"/>
        <n v="-0.8399999999999892"/>
        <n v="1.3400000000000034"/>
        <n v="1.420000000000016"/>
        <n v="2.469999999999999"/>
        <n v="0.4299999999999926"/>
        <n v="-0.9599999999999937"/>
        <n v="-0.7399999999999949"/>
        <n v="4.63000000000001"/>
        <n v="2.8700000000000045"/>
        <n v="-1.1199999999999903"/>
        <n v="-1.1400000000000006"/>
        <n v="3.460000000000008"/>
        <n v="2.4399999999999977"/>
        <n v="-0.769999999999996"/>
        <n v="-1.1600000000000108"/>
        <n v="1.2199999999999989"/>
        <n v="0.7200000000000131"/>
        <n v="3.1300000000000097"/>
        <n v="1.6700000000000017"/>
        <n v="-2.6400000000000006"/>
        <n v="1.4399999999999977"/>
        <n v="2.969999999999999"/>
        <n v="2.4000000000000057"/>
        <n v="3.25"/>
        <n v="-1.1899999999999977"/>
        <n v="2.6400000000000006"/>
        <n v="0.6599999999999966"/>
        <n v="-0.5300000000000011"/>
        <n v="-0.6000000000000085"/>
        <n v="1.269999999999996"/>
        <n v="1.9000000000000057"/>
        <n v="-1.8599999999999994"/>
        <n v="1.6199999999999903"/>
        <n v="1.2700000000000102"/>
        <n v="-3.010000000000005"/>
        <n v="-5.039999999999992"/>
        <n v="3.030000000000001"/>
        <n v="4.1299999999999955"/>
        <n v="-1.3499999999999943"/>
        <n v="-2.690000000000012"/>
        <n v="3.0700000000000074"/>
        <n v="-11.069999999999993"/>
        <n v="2.0799999999999983"/>
        <n v="-1.8100000000000023"/>
        <n v="1.3700000000000045"/>
        <n v="-3.8599999999999994"/>
        <n v="4.730000000000004"/>
        <n v="1.029999999999987"/>
        <n v="1.3100000000000023"/>
        <n v="7.429999999999993"/>
        <n v="-0.480000000000004"/>
        <n v="-0.8699999999999903"/>
        <n v="0.5500000000000114"/>
        <n v="0.5099999999999909"/>
        <n v="0.8100000000000023"/>
      </sharedItems>
    </cacheField>
    <cacheField name="Status Perubahan Harga Relatif" numFmtId="0">
      <sharedItems>
        <s v="Perubahan Normal"/>
        <s v="Akselerasi Persentase"/>
        <s v="Akselerasi Kua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4:B155" firstHeaderRow="0" firstDataRow="1" firstDataCol="0" rowPageCount="1" colPageCount="1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axis="axisRow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Page" compact="0" numFmtId="164" outline="0" multipleItemSelectionAllowed="1" showAll="0">
      <items>
        <item h="1" x="0"/>
        <item h="1"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pageFields>
    <pageField fld="4"/>
  </pageFields>
  <dataFields>
    <dataField name="SUM of Laju Inflasi M-t-M" fld="9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D4:E155" firstHeaderRow="0" firstDataRow="1" firstDataCol="0" rowPageCount="1" colPageCount="1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axis="axisRow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Page" compact="0" numFmtId="164" outline="0" multipleItemSelectionAllowed="1" showAll="0">
      <items>
        <item h="1" x="0"/>
        <item h="1"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pageFields>
    <pageField fld="4"/>
  </pageFields>
  <dataFields>
    <dataField name="AVERAGE of Perubahan Poin IHK" fld="11" subtotal="average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G5:I281" firstHeaderRow="0" firstDataRow="2" firstDataCol="0" rowPageCount="2" colPageCount="1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Page" compact="0" numFmtId="164" outline="0" multipleItemSelectionAllowed="1" showAll="0">
      <items>
        <item h="1" x="0"/>
        <item h="1"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axis="axisRow" compact="0" outline="0" multipleItemSelectionAllowed="1" showAll="0" sortType="ascending" defaultSubtotal="0">
      <items>
        <item x="9"/>
        <item x="2"/>
        <item x="6"/>
        <item x="0"/>
        <item x="10"/>
        <item x="3"/>
        <item x="7"/>
        <item x="4"/>
        <item x="5"/>
        <item x="1"/>
        <item x="8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axis="axisPage" compact="0" outline="0" multipleItemSelectionAllowed="1" showAll="0">
      <items>
        <item h="1" x="0"/>
        <item x="1"/>
        <item h="1" x="2"/>
        <item h="1"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6"/>
    <field x="1"/>
  </rowFields>
  <pageFields>
    <pageField fld="4"/>
    <pageField fld="10"/>
  </pageFields>
  <dataFields>
    <dataField name="SUM of Laju Inflasi M-t-M" fld="9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K4:M155" firstHeaderRow="0" firstDataRow="2" firstDataCol="0" rowPageCount="1" colPageCount="1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axis="axisRow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Page" compact="0" numFmtId="164" outline="0" multipleItemSelectionAllowed="1" showAll="0">
      <items>
        <item h="1" x="0"/>
        <item h="1"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axis="axisRow" compact="0" outline="0" multipleItemSelectionAllowed="1" showAll="0" sortType="ascending" defaultSubtotal="0">
      <items>
        <item h="1" sd="0" x="9"/>
        <item h="1" sd="0" x="2"/>
        <item h="1" sd="0" x="6"/>
        <item h="1" sd="0" x="0"/>
        <item h="1" sd="0" x="10"/>
        <item x="3"/>
        <item h="1" sd="0" x="7"/>
        <item h="1" sd="0" x="4"/>
        <item h="1" sd="0" x="5"/>
        <item h="1" sd="0" x="1"/>
        <item h="1" x="8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6"/>
    <field x="1"/>
  </rowFields>
  <pageFields>
    <pageField fld="4"/>
  </pageFields>
  <dataFields>
    <dataField name="AVERAGE of Laju Inflasi M-t-M" fld="9" subtotal="average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O2:P7" firstHeaderRow="0" firstDataRow="1" firstDataCol="0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compact="0" numFmtId="164" outline="0" multipleItemSelectionAllowed="1" showAll="0">
      <items>
        <item x="0"/>
        <item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axis="axisRow" dataField="1" compact="0" outline="0" multipleItemSelectionAllowed="1" showAll="0" sortType="ascending">
      <items>
        <item x="1"/>
        <item x="3"/>
        <item x="2"/>
        <item x="0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10"/>
  </rowFields>
  <dataFields>
    <dataField name="COUNTA of Kriteria Inflasi" fld="10" subtotal="count" showDataAs="percentOfCol" baseField="0" numFmtId="10"/>
  </dataFields>
</pivotTableDefinition>
</file>

<file path=xl/pivotTables/pivotTable6.xml><?xml version="1.0" encoding="utf-8"?>
<pivotTableDefinition xmlns="http://schemas.openxmlformats.org/spreadsheetml/2006/main" name="Pivot Table 6" cacheId="0" dataCaption="" rowGrandTotals="0" colGrandTotals="0" compact="0" compactData="0">
  <location ref="R2:T14" firstHeaderRow="0" firstDataRow="1" firstDataCol="1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Col" compact="0" numFmtId="164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4"/>
  </colFields>
  <dataFields>
    <dataField name="AVERAGE of Laju Inflasi M-t-M" fld="9" subtotal="average" baseField="0"/>
  </dataFields>
</pivotTableDefinition>
</file>

<file path=xl/pivotTables/pivotTable7.xml><?xml version="1.0" encoding="utf-8"?>
<pivotTableDefinition xmlns="http://schemas.openxmlformats.org/spreadsheetml/2006/main" name="Pivot Table 7" cacheId="0" dataCaption="" colGrandTotals="0" compact="0" compactData="0">
  <location ref="W4:Y6" firstHeaderRow="0" firstDataRow="0" firstDataCol="1" rowPageCount="1" colPageCount="1"/>
  <pivotFields>
    <pivotField name="Kota/Kabupaten" axis="axisCol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x="144"/>
        <item h="1" x="145"/>
        <item h="1" x="146"/>
        <item h="1" x="147"/>
        <item h="1" x="148"/>
        <item h="1" x="1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p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Page" compact="0" numFmtId="164" outline="0" multipleItemSelectionAllowed="1" showAll="0">
      <items>
        <item h="1" x="0"/>
        <item h="1"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colFields>
    <field x="0"/>
  </colFields>
  <pageFields>
    <pageField fld="4"/>
  </pageFields>
  <dataFields>
    <dataField name="AVERAGE of Laju Inflasi M-t-M" fld="9" subtotal="average" baseField="0"/>
  </dataFields>
</pivotTableDefinition>
</file>

<file path=xl/pivotTables/pivotTable8.xml><?xml version="1.0" encoding="utf-8"?>
<pivotTableDefinition xmlns="http://schemas.openxmlformats.org/spreadsheetml/2006/main" name="Pivot Table 8" cacheId="0" dataCaption="" compact="0" compactData="0">
  <location ref="AB5:AD40" firstHeaderRow="0" firstDataRow="2" firstDataCol="0" rowPageCount="2" colPageCount="1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vinsi" axis="axisRow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Page" compact="0" numFmtId="164" outline="0" multipleItemSelectionAllowed="1" showAll="0">
      <items>
        <item h="1" x="0"/>
        <item h="1"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axis="axisPage" dataField="1" compact="0" outline="0" multipleItemSelectionAllowed="1" showAll="0">
      <items>
        <item x="0"/>
        <item h="1" x="1"/>
        <item h="1" x="2"/>
        <item t="default"/>
      </items>
    </pivotField>
  </pivotFields>
  <rowFields>
    <field x="2"/>
  </rowFields>
  <colFields>
    <field x="-2"/>
  </colFields>
  <pageFields>
    <pageField fld="4"/>
    <pageField fld="12"/>
  </pageFields>
  <dataFields>
    <dataField name="COUNTA of Status Perubahan Harga Relatif" fld="12" subtotal="count" baseField="0"/>
    <dataField name="COUNTA of Status Perubahan Harga Relatif" fld="12" subtotal="count" showDataAs="percentOfCol" baseField="0" numFmtId="10"/>
  </dataFields>
</pivotTableDefinition>
</file>

<file path=xl/pivotTables/pivotTable9.xml><?xml version="1.0" encoding="utf-8"?>
<pivotTableDefinition xmlns="http://schemas.openxmlformats.org/spreadsheetml/2006/main" name="Pivot Table 9" cacheId="0" dataCaption="" compact="0" compactData="0">
  <location ref="AF2:AG4" firstHeaderRow="0" firstDataRow="1" firstDataCol="0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axis="axisRow" compact="0" numFmtId="164" outline="0" multipleItemSelectionAllowed="1" showAll="0" sortType="ascending">
      <items>
        <item h="1" x="81"/>
        <item h="1" x="37"/>
        <item h="1" x="54"/>
        <item h="1" x="34"/>
        <item h="1" x="71"/>
        <item h="1" x="121"/>
        <item h="1" x="131"/>
        <item h="1" x="23"/>
        <item h="1" x="67"/>
        <item h="1" x="106"/>
        <item h="1" x="38"/>
        <item h="1" x="130"/>
        <item h="1" x="143"/>
        <item h="1" x="107"/>
        <item h="1" x="60"/>
        <item h="1" x="91"/>
        <item h="1" x="77"/>
        <item h="1" x="58"/>
        <item h="1" x="132"/>
        <item h="1" x="9"/>
        <item h="1" x="8"/>
        <item h="1" x="102"/>
        <item h="1" x="109"/>
        <item h="1" x="99"/>
        <item h="1" x="73"/>
        <item h="1" x="83"/>
        <item h="1" x="70"/>
        <item h="1" x="145"/>
        <item h="1" x="146"/>
        <item h="1" x="0"/>
        <item h="1" x="110"/>
        <item h="1" x="41"/>
        <item h="1" x="140"/>
        <item h="1" x="36"/>
        <item h="1" x="148"/>
        <item h="1" x="79"/>
        <item h="1" x="50"/>
        <item h="1" x="89"/>
        <item h="1" x="29"/>
        <item h="1" x="141"/>
        <item h="1" x="65"/>
        <item h="1" x="82"/>
        <item h="1" x="62"/>
        <item h="1" x="40"/>
        <item h="1" x="15"/>
        <item h="1" x="126"/>
        <item h="1" x="147"/>
        <item h="1" x="19"/>
        <item h="1" x="17"/>
        <item h="1" x="22"/>
        <item h="1" x="125"/>
        <item h="1" x="115"/>
        <item h="1" x="98"/>
        <item h="1" x="137"/>
        <item h="1" x="7"/>
        <item h="1" x="45"/>
        <item h="1" x="105"/>
        <item h="1" x="32"/>
        <item h="1" x="24"/>
        <item h="1" x="118"/>
        <item h="1" x="64"/>
        <item h="1" x="78"/>
        <item h="1" x="20"/>
        <item h="1" x="30"/>
        <item h="1" x="142"/>
        <item h="1" x="26"/>
        <item h="1" x="113"/>
        <item h="1" x="120"/>
        <item h="1" x="55"/>
        <item h="1" x="25"/>
        <item h="1" x="44"/>
        <item h="1" x="27"/>
        <item h="1" x="2"/>
        <item h="1" x="39"/>
        <item h="1" x="149"/>
        <item h="1" x="1"/>
        <item h="1" x="46"/>
        <item h="1" x="84"/>
        <item h="1" x="66"/>
        <item h="1" x="88"/>
        <item h="1" x="119"/>
        <item h="1" x="72"/>
        <item h="1" x="28"/>
        <item h="1" x="134"/>
        <item x="144"/>
        <item h="1" x="33"/>
        <item h="1" x="10"/>
        <item h="1" x="5"/>
        <item h="1" x="111"/>
        <item h="1" x="59"/>
        <item h="1" x="92"/>
        <item h="1" x="18"/>
        <item h="1" x="4"/>
        <item h="1" x="136"/>
        <item h="1" x="129"/>
        <item h="1" x="61"/>
        <item h="1" x="13"/>
        <item h="1" x="123"/>
        <item h="1" x="85"/>
        <item h="1" x="100"/>
        <item h="1" x="6"/>
        <item h="1" x="80"/>
        <item h="1" x="104"/>
        <item h="1" x="96"/>
        <item h="1" x="122"/>
        <item h="1" x="90"/>
        <item h="1" x="135"/>
        <item h="1" x="114"/>
        <item h="1" x="127"/>
        <item h="1" x="47"/>
        <item h="1" x="139"/>
        <item h="1" x="74"/>
        <item h="1" x="138"/>
        <item h="1" x="42"/>
        <item h="1" x="124"/>
        <item h="1" x="108"/>
        <item h="1" x="57"/>
        <item h="1" x="103"/>
        <item h="1" x="101"/>
        <item h="1" x="75"/>
        <item h="1" x="112"/>
        <item h="1" x="116"/>
        <item h="1" x="35"/>
        <item h="1" x="97"/>
        <item h="1" x="51"/>
        <item h="1" x="133"/>
        <item h="1" x="63"/>
        <item h="1" x="49"/>
        <item h="1" x="95"/>
        <item h="1" x="56"/>
        <item h="1" x="93"/>
        <item h="1" x="16"/>
        <item h="1" x="128"/>
        <item h="1" x="52"/>
        <item h="1" x="94"/>
        <item h="1" x="21"/>
        <item h="1" x="53"/>
        <item h="1" x="87"/>
        <item h="1" x="14"/>
        <item h="1" x="48"/>
        <item h="1" x="11"/>
        <item h="1" x="3"/>
        <item h="1" x="31"/>
        <item h="1" x="12"/>
        <item h="1" x="86"/>
        <item h="1" x="68"/>
        <item h="1" x="43"/>
        <item h="1" x="76"/>
        <item h="1" x="69"/>
        <item h="1" x="117"/>
        <item t="default"/>
      </items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compact="0" numFmtId="164" outline="0" multipleItemSelectionAllowed="1" showAll="0">
      <items>
        <item x="0"/>
        <item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AVERAGE of Laju Inflasi M-t-M" fld="9" subtotal="average" baseField="0"/>
  </dataFields>
</pivotTableDefinition>
</file>

<file path=xl/pivotTables/pivotTable10.xml><?xml version="1.0" encoding="utf-8"?>
<pivotTableDefinition xmlns="http://schemas.openxmlformats.org/spreadsheetml/2006/main" name="Pivot Table 5" cacheId="0" dataCaption="" rowGrandTotals="0" compact="0" compactData="0">
  <location ref="A1:B3" firstHeaderRow="0" firstDataRow="1" firstDataCol="0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axis="axisRow" compact="0" numFmtId="164" outline="0" multipleItemSelectionAllowed="1" showAll="0" sortType="ascending">
      <items>
        <item x="0"/>
        <item x="1"/>
        <item t="default"/>
      </items>
    </pivotField>
    <pivotField name="Kelompok Kategori" compact="0" outline="0" multipleItemSelectionAllowed="1" showAll="0">
      <items>
        <item x="0"/>
        <item x="1"/>
        <item x="2"/>
        <item x="3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Avg. Laju Inflasi M-t-M" fld="9" subtotal="average" baseField="0"/>
  </dataFields>
</pivotTableDefinition>
</file>

<file path=xl/pivotTables/pivotTable11.xml><?xml version="1.0" encoding="utf-8"?>
<pivotTableDefinition xmlns="http://schemas.openxmlformats.org/spreadsheetml/2006/main" name="Pivot Table 5 2" cacheId="0" dataCaption="" rowGrandTotals="0" compact="0" compactData="0">
  <location ref="D1:F4" firstHeaderRow="0" firstDataRow="2" firstDataCol="0"/>
  <pivotFields>
    <pivotField name="Kota/Kabupat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p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rovins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Bulan Pencatatan" compact="0" numFmtId="164" outline="0" multipleItemSelectionAllowed="1" showAll="0">
      <items>
        <item x="0"/>
        <item x="1"/>
        <item t="default"/>
      </items>
    </pivotField>
    <pivotField name="Kelompok Kategori" axis="axisRow" compact="0" outline="0" multipleItemSelectionAllowed="1" showAll="0" sortType="descending">
      <items>
        <item h="1"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dex Harga Konsumen (IHK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name="Index Harga Konsumen (IHK) Bulan Lal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Laju Inflasi M-t-M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t="default"/>
      </items>
    </pivotField>
    <pivotField name="Kriteria Inflasi" compact="0" outline="0" multipleItemSelectionAllowed="1" showAll="0">
      <items>
        <item x="0"/>
        <item x="1"/>
        <item x="2"/>
        <item x="3"/>
        <item t="default"/>
      </items>
    </pivotField>
    <pivotField name="Perubahan Poin I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t="default"/>
      </items>
    </pivotField>
    <pivotField name="Status Perubahan Harga Relatif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-2"/>
  </colFields>
  <dataFields>
    <dataField name="Avg. IHK Februari" fld="8" subtotal="average" baseField="0"/>
    <dataField name="Avg. IHK Maret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5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63.5"/>
  </cols>
  <sheetData>
    <row r="1">
      <c r="C1" s="1"/>
      <c r="D1" s="1"/>
    </row>
    <row r="2">
      <c r="C2" s="2" t="s">
        <v>0</v>
      </c>
      <c r="D2" s="3"/>
    </row>
    <row r="3" ht="52.5" customHeight="1">
      <c r="A3" s="4"/>
      <c r="B3" s="4"/>
      <c r="C3" s="5" t="s">
        <v>1</v>
      </c>
      <c r="D3" s="6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2.5" customHeight="1">
      <c r="C4" s="5" t="s">
        <v>3</v>
      </c>
      <c r="D4" s="6" t="s">
        <v>4</v>
      </c>
    </row>
    <row r="5" ht="52.5" customHeight="1">
      <c r="C5" s="5" t="s">
        <v>5</v>
      </c>
      <c r="D5" s="6" t="s">
        <v>6</v>
      </c>
    </row>
    <row r="6" ht="15.75" customHeight="1"/>
    <row r="7">
      <c r="C7" s="7" t="s">
        <v>7</v>
      </c>
      <c r="D7" s="8"/>
    </row>
    <row r="8">
      <c r="A8" s="9"/>
      <c r="B8" s="9"/>
      <c r="C8" s="10" t="s">
        <v>8</v>
      </c>
      <c r="D8" s="10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4"/>
      <c r="B9" s="4"/>
      <c r="C9" s="11" t="s">
        <v>10</v>
      </c>
      <c r="D9" s="12" t="s">
        <v>11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13" t="s">
        <v>12</v>
      </c>
      <c r="D10" s="14" t="s">
        <v>13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13" t="s">
        <v>14</v>
      </c>
      <c r="D11" s="14" t="s">
        <v>15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13" t="s">
        <v>16</v>
      </c>
      <c r="D12" s="14" t="s">
        <v>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13" t="s">
        <v>18</v>
      </c>
      <c r="D13" s="14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13" t="s">
        <v>20</v>
      </c>
      <c r="D14" s="14" t="s">
        <v>21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13" t="s">
        <v>22</v>
      </c>
      <c r="D15" s="14" t="s">
        <v>23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13" t="s">
        <v>24</v>
      </c>
      <c r="D16" s="14" t="s">
        <v>25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13" t="s">
        <v>26</v>
      </c>
      <c r="D17" s="14" t="s">
        <v>27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13" t="s">
        <v>28</v>
      </c>
      <c r="D18" s="14" t="s">
        <v>29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15" t="s">
        <v>30</v>
      </c>
      <c r="D19" s="16" t="s">
        <v>31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</sheetData>
  <mergeCells count="2">
    <mergeCell ref="C2:D2"/>
    <mergeCell ref="C7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2.88"/>
    <col customWidth="1" min="4" max="4" width="21.13"/>
    <col customWidth="1" min="6" max="6" width="15.13"/>
    <col customWidth="1" min="8" max="8" width="18.75"/>
    <col customWidth="1" min="9" max="9" width="17.38"/>
    <col customWidth="1" min="11" max="11" width="37.5"/>
    <col customWidth="1" min="12" max="12" width="20.38"/>
    <col customWidth="1" min="13" max="13" width="22.63"/>
  </cols>
  <sheetData>
    <row r="1">
      <c r="A1" s="17" t="s">
        <v>32</v>
      </c>
      <c r="D1" s="17" t="s">
        <v>33</v>
      </c>
      <c r="H1" s="17" t="s">
        <v>34</v>
      </c>
      <c r="K1" s="17" t="s">
        <v>35</v>
      </c>
    </row>
    <row r="2">
      <c r="A2" s="18" t="s">
        <v>36</v>
      </c>
      <c r="B2" s="19" t="s">
        <v>37</v>
      </c>
      <c r="D2" s="20" t="s">
        <v>38</v>
      </c>
      <c r="E2" s="20" t="s">
        <v>39</v>
      </c>
      <c r="F2" s="20" t="s">
        <v>40</v>
      </c>
      <c r="H2" s="21" t="s">
        <v>12</v>
      </c>
      <c r="I2" s="22" t="s">
        <v>41</v>
      </c>
      <c r="K2" s="23" t="s">
        <v>42</v>
      </c>
      <c r="L2" s="24" t="s">
        <v>43</v>
      </c>
      <c r="M2" s="25" t="s">
        <v>9</v>
      </c>
    </row>
    <row r="3">
      <c r="A3" s="26" t="s">
        <v>44</v>
      </c>
      <c r="B3" s="27" t="s">
        <v>45</v>
      </c>
      <c r="D3" s="28" t="s">
        <v>46</v>
      </c>
      <c r="E3" s="29" t="s">
        <v>47</v>
      </c>
      <c r="F3" s="29" t="s">
        <v>48</v>
      </c>
      <c r="H3" s="30" t="s">
        <v>49</v>
      </c>
      <c r="I3" s="31" t="s">
        <v>50</v>
      </c>
      <c r="K3" s="32" t="s">
        <v>51</v>
      </c>
      <c r="L3" s="33" t="s">
        <v>52</v>
      </c>
      <c r="M3" s="34" t="s">
        <v>53</v>
      </c>
    </row>
    <row r="4">
      <c r="A4" s="35" t="s">
        <v>54</v>
      </c>
      <c r="B4" s="36" t="s">
        <v>45</v>
      </c>
      <c r="D4" s="28" t="s">
        <v>46</v>
      </c>
      <c r="E4" s="13" t="s">
        <v>55</v>
      </c>
      <c r="F4" s="13" t="s">
        <v>56</v>
      </c>
      <c r="H4" s="37" t="s">
        <v>57</v>
      </c>
      <c r="I4" s="38" t="s">
        <v>58</v>
      </c>
      <c r="K4" s="39" t="s">
        <v>59</v>
      </c>
      <c r="L4" s="40" t="s">
        <v>60</v>
      </c>
      <c r="M4" s="41" t="s">
        <v>61</v>
      </c>
    </row>
    <row r="5">
      <c r="A5" s="42" t="s">
        <v>62</v>
      </c>
      <c r="B5" s="43" t="s">
        <v>45</v>
      </c>
      <c r="D5" s="28" t="s">
        <v>46</v>
      </c>
      <c r="E5" s="44" t="s">
        <v>63</v>
      </c>
      <c r="F5" s="44" t="s">
        <v>64</v>
      </c>
      <c r="H5" s="45" t="s">
        <v>65</v>
      </c>
      <c r="I5" s="46" t="s">
        <v>66</v>
      </c>
      <c r="K5" s="39" t="s">
        <v>67</v>
      </c>
      <c r="L5" s="40" t="s">
        <v>68</v>
      </c>
      <c r="M5" s="47" t="s">
        <v>69</v>
      </c>
    </row>
    <row r="6">
      <c r="A6" s="42" t="s">
        <v>70</v>
      </c>
      <c r="B6" s="43" t="s">
        <v>45</v>
      </c>
      <c r="D6" s="28" t="s">
        <v>46</v>
      </c>
      <c r="E6" s="48" t="s">
        <v>71</v>
      </c>
      <c r="F6" s="48" t="s">
        <v>72</v>
      </c>
      <c r="H6" s="49" t="s">
        <v>73</v>
      </c>
      <c r="I6" s="50" t="s">
        <v>14</v>
      </c>
      <c r="K6" s="51" t="s">
        <v>74</v>
      </c>
      <c r="L6" s="52" t="s">
        <v>75</v>
      </c>
      <c r="M6" s="53" t="s">
        <v>76</v>
      </c>
    </row>
    <row r="7">
      <c r="A7" s="42" t="s">
        <v>77</v>
      </c>
      <c r="B7" s="43" t="s">
        <v>45</v>
      </c>
      <c r="D7" s="54" t="s">
        <v>78</v>
      </c>
      <c r="E7" s="55" t="s">
        <v>79</v>
      </c>
      <c r="F7" s="55" t="s">
        <v>80</v>
      </c>
    </row>
    <row r="8">
      <c r="A8" s="42" t="s">
        <v>81</v>
      </c>
      <c r="B8" s="43" t="s">
        <v>82</v>
      </c>
      <c r="D8" s="54" t="s">
        <v>78</v>
      </c>
      <c r="E8" s="44" t="s">
        <v>83</v>
      </c>
      <c r="F8" s="44" t="s">
        <v>84</v>
      </c>
      <c r="H8" s="17" t="s">
        <v>85</v>
      </c>
      <c r="K8" s="17" t="s">
        <v>86</v>
      </c>
    </row>
    <row r="9">
      <c r="A9" s="35" t="s">
        <v>87</v>
      </c>
      <c r="B9" s="36" t="s">
        <v>82</v>
      </c>
      <c r="D9" s="54" t="s">
        <v>78</v>
      </c>
      <c r="E9" s="56" t="s">
        <v>88</v>
      </c>
      <c r="F9" s="56" t="s">
        <v>89</v>
      </c>
      <c r="H9" s="57" t="s">
        <v>90</v>
      </c>
      <c r="I9" s="3"/>
      <c r="K9" s="58" t="s">
        <v>91</v>
      </c>
    </row>
    <row r="10">
      <c r="A10" s="42" t="s">
        <v>92</v>
      </c>
      <c r="B10" s="43" t="s">
        <v>82</v>
      </c>
      <c r="D10" s="59" t="s">
        <v>93</v>
      </c>
      <c r="E10" s="60" t="s">
        <v>94</v>
      </c>
      <c r="F10" s="60" t="s">
        <v>95</v>
      </c>
    </row>
    <row r="11">
      <c r="A11" s="42" t="s">
        <v>96</v>
      </c>
      <c r="B11" s="43" t="s">
        <v>82</v>
      </c>
      <c r="D11" s="59" t="s">
        <v>93</v>
      </c>
      <c r="E11" s="48" t="s">
        <v>97</v>
      </c>
      <c r="F11" s="48" t="s">
        <v>98</v>
      </c>
    </row>
    <row r="12">
      <c r="A12" s="42" t="s">
        <v>99</v>
      </c>
      <c r="B12" s="43" t="s">
        <v>82</v>
      </c>
      <c r="D12" s="54" t="s">
        <v>100</v>
      </c>
      <c r="E12" s="55" t="s">
        <v>101</v>
      </c>
      <c r="F12" s="55" t="s">
        <v>102</v>
      </c>
    </row>
    <row r="13">
      <c r="A13" s="42" t="s">
        <v>103</v>
      </c>
      <c r="B13" s="43" t="s">
        <v>82</v>
      </c>
      <c r="D13" s="54" t="s">
        <v>100</v>
      </c>
      <c r="E13" s="48" t="s">
        <v>104</v>
      </c>
      <c r="F13" s="48" t="s">
        <v>105</v>
      </c>
    </row>
    <row r="14">
      <c r="A14" s="42" t="s">
        <v>106</v>
      </c>
      <c r="B14" s="43" t="s">
        <v>82</v>
      </c>
    </row>
    <row r="15">
      <c r="A15" s="42" t="s">
        <v>107</v>
      </c>
      <c r="B15" s="43" t="s">
        <v>82</v>
      </c>
    </row>
    <row r="16">
      <c r="A16" s="42" t="s">
        <v>108</v>
      </c>
      <c r="B16" s="43" t="s">
        <v>109</v>
      </c>
    </row>
    <row r="17">
      <c r="A17" s="42" t="s">
        <v>110</v>
      </c>
      <c r="B17" s="43" t="s">
        <v>109</v>
      </c>
    </row>
    <row r="18">
      <c r="A18" s="42" t="s">
        <v>111</v>
      </c>
      <c r="B18" s="43" t="s">
        <v>109</v>
      </c>
    </row>
    <row r="19">
      <c r="A19" s="42" t="s">
        <v>112</v>
      </c>
      <c r="B19" s="43" t="s">
        <v>109</v>
      </c>
    </row>
    <row r="20">
      <c r="A20" s="42" t="s">
        <v>113</v>
      </c>
      <c r="B20" s="43" t="s">
        <v>114</v>
      </c>
    </row>
    <row r="21">
      <c r="A21" s="42" t="s">
        <v>115</v>
      </c>
      <c r="B21" s="43" t="s">
        <v>114</v>
      </c>
    </row>
    <row r="22">
      <c r="A22" s="42" t="s">
        <v>116</v>
      </c>
      <c r="B22" s="43" t="s">
        <v>114</v>
      </c>
    </row>
    <row r="23">
      <c r="A23" s="42" t="s">
        <v>117</v>
      </c>
      <c r="B23" s="43" t="s">
        <v>114</v>
      </c>
    </row>
    <row r="24">
      <c r="A24" s="42" t="s">
        <v>118</v>
      </c>
      <c r="B24" s="43" t="s">
        <v>119</v>
      </c>
    </row>
    <row r="25">
      <c r="A25" s="42" t="s">
        <v>120</v>
      </c>
      <c r="B25" s="43" t="s">
        <v>119</v>
      </c>
    </row>
    <row r="26">
      <c r="A26" s="42" t="s">
        <v>121</v>
      </c>
      <c r="B26" s="43" t="s">
        <v>119</v>
      </c>
    </row>
    <row r="27">
      <c r="A27" s="42" t="s">
        <v>122</v>
      </c>
      <c r="B27" s="43" t="s">
        <v>123</v>
      </c>
    </row>
    <row r="28">
      <c r="A28" s="42" t="s">
        <v>124</v>
      </c>
      <c r="B28" s="43" t="s">
        <v>123</v>
      </c>
    </row>
    <row r="29">
      <c r="A29" s="42" t="s">
        <v>125</v>
      </c>
      <c r="B29" s="43" t="s">
        <v>123</v>
      </c>
    </row>
    <row r="30">
      <c r="A30" s="42" t="s">
        <v>126</v>
      </c>
      <c r="B30" s="43" t="s">
        <v>123</v>
      </c>
    </row>
    <row r="31">
      <c r="A31" s="42" t="s">
        <v>127</v>
      </c>
      <c r="B31" s="43" t="s">
        <v>128</v>
      </c>
    </row>
    <row r="32">
      <c r="A32" s="42" t="s">
        <v>129</v>
      </c>
      <c r="B32" s="43" t="s">
        <v>128</v>
      </c>
    </row>
    <row r="33">
      <c r="A33" s="42" t="s">
        <v>130</v>
      </c>
      <c r="B33" s="43" t="s">
        <v>131</v>
      </c>
    </row>
    <row r="34">
      <c r="A34" s="42" t="s">
        <v>132</v>
      </c>
      <c r="B34" s="43" t="s">
        <v>131</v>
      </c>
    </row>
    <row r="35">
      <c r="A35" s="42" t="s">
        <v>133</v>
      </c>
      <c r="B35" s="43" t="s">
        <v>131</v>
      </c>
    </row>
    <row r="36">
      <c r="A36" s="42" t="s">
        <v>134</v>
      </c>
      <c r="B36" s="43" t="s">
        <v>131</v>
      </c>
    </row>
    <row r="37">
      <c r="A37" s="42" t="s">
        <v>135</v>
      </c>
      <c r="B37" s="43" t="s">
        <v>136</v>
      </c>
    </row>
    <row r="38">
      <c r="A38" s="42" t="s">
        <v>137</v>
      </c>
      <c r="B38" s="43" t="s">
        <v>136</v>
      </c>
    </row>
    <row r="39">
      <c r="A39" s="42" t="s">
        <v>138</v>
      </c>
      <c r="B39" s="43" t="s">
        <v>136</v>
      </c>
    </row>
    <row r="40">
      <c r="A40" s="42" t="s">
        <v>139</v>
      </c>
      <c r="B40" s="43" t="s">
        <v>136</v>
      </c>
    </row>
    <row r="41">
      <c r="A41" s="42" t="s">
        <v>140</v>
      </c>
      <c r="B41" s="43" t="s">
        <v>141</v>
      </c>
    </row>
    <row r="42">
      <c r="A42" s="42" t="s">
        <v>142</v>
      </c>
      <c r="B42" s="43" t="s">
        <v>141</v>
      </c>
    </row>
    <row r="43">
      <c r="A43" s="42" t="s">
        <v>143</v>
      </c>
      <c r="B43" s="43" t="s">
        <v>141</v>
      </c>
    </row>
    <row r="44">
      <c r="A44" s="42" t="s">
        <v>144</v>
      </c>
      <c r="B44" s="43" t="s">
        <v>145</v>
      </c>
    </row>
    <row r="45">
      <c r="A45" s="42" t="s">
        <v>146</v>
      </c>
      <c r="B45" s="43" t="s">
        <v>147</v>
      </c>
    </row>
    <row r="46">
      <c r="A46" s="42" t="s">
        <v>148</v>
      </c>
      <c r="B46" s="43" t="s">
        <v>147</v>
      </c>
    </row>
    <row r="47">
      <c r="A47" s="42" t="s">
        <v>149</v>
      </c>
      <c r="B47" s="43" t="s">
        <v>147</v>
      </c>
    </row>
    <row r="48">
      <c r="A48" s="42" t="s">
        <v>150</v>
      </c>
      <c r="B48" s="43" t="s">
        <v>147</v>
      </c>
    </row>
    <row r="49">
      <c r="A49" s="42" t="s">
        <v>151</v>
      </c>
      <c r="B49" s="43" t="s">
        <v>147</v>
      </c>
    </row>
    <row r="50">
      <c r="A50" s="42" t="s">
        <v>152</v>
      </c>
      <c r="B50" s="43" t="s">
        <v>147</v>
      </c>
    </row>
    <row r="51">
      <c r="A51" s="42" t="s">
        <v>153</v>
      </c>
      <c r="B51" s="43" t="s">
        <v>147</v>
      </c>
    </row>
    <row r="52">
      <c r="A52" s="42" t="s">
        <v>154</v>
      </c>
      <c r="B52" s="43" t="s">
        <v>147</v>
      </c>
    </row>
    <row r="53">
      <c r="A53" s="42" t="s">
        <v>155</v>
      </c>
      <c r="B53" s="43" t="s">
        <v>147</v>
      </c>
    </row>
    <row r="54">
      <c r="A54" s="42" t="s">
        <v>156</v>
      </c>
      <c r="B54" s="43" t="s">
        <v>147</v>
      </c>
    </row>
    <row r="55">
      <c r="A55" s="42" t="s">
        <v>157</v>
      </c>
      <c r="B55" s="43" t="s">
        <v>158</v>
      </c>
    </row>
    <row r="56">
      <c r="A56" s="42" t="s">
        <v>159</v>
      </c>
      <c r="B56" s="43" t="s">
        <v>158</v>
      </c>
    </row>
    <row r="57">
      <c r="A57" s="42" t="s">
        <v>160</v>
      </c>
      <c r="B57" s="43" t="s">
        <v>158</v>
      </c>
    </row>
    <row r="58">
      <c r="A58" s="42" t="s">
        <v>161</v>
      </c>
      <c r="B58" s="43" t="s">
        <v>158</v>
      </c>
    </row>
    <row r="59">
      <c r="A59" s="42" t="s">
        <v>162</v>
      </c>
      <c r="B59" s="43" t="s">
        <v>158</v>
      </c>
    </row>
    <row r="60">
      <c r="A60" s="42" t="s">
        <v>163</v>
      </c>
      <c r="B60" s="43" t="s">
        <v>158</v>
      </c>
    </row>
    <row r="61">
      <c r="A61" s="42" t="s">
        <v>164</v>
      </c>
      <c r="B61" s="43" t="s">
        <v>158</v>
      </c>
    </row>
    <row r="62">
      <c r="A62" s="42" t="s">
        <v>165</v>
      </c>
      <c r="B62" s="43" t="s">
        <v>158</v>
      </c>
    </row>
    <row r="63">
      <c r="A63" s="42" t="s">
        <v>166</v>
      </c>
      <c r="B63" s="43" t="s">
        <v>158</v>
      </c>
    </row>
    <row r="64">
      <c r="A64" s="42" t="s">
        <v>167</v>
      </c>
      <c r="B64" s="43" t="s">
        <v>168</v>
      </c>
    </row>
    <row r="65">
      <c r="A65" s="42" t="s">
        <v>169</v>
      </c>
      <c r="B65" s="43" t="s">
        <v>168</v>
      </c>
    </row>
    <row r="66">
      <c r="A66" s="42" t="s">
        <v>170</v>
      </c>
      <c r="B66" s="43" t="s">
        <v>171</v>
      </c>
    </row>
    <row r="67">
      <c r="A67" s="42" t="s">
        <v>172</v>
      </c>
      <c r="B67" s="43" t="s">
        <v>171</v>
      </c>
    </row>
    <row r="68">
      <c r="A68" s="42" t="s">
        <v>173</v>
      </c>
      <c r="B68" s="43" t="s">
        <v>171</v>
      </c>
    </row>
    <row r="69">
      <c r="A69" s="42" t="s">
        <v>174</v>
      </c>
      <c r="B69" s="43" t="s">
        <v>171</v>
      </c>
    </row>
    <row r="70">
      <c r="A70" s="42" t="s">
        <v>175</v>
      </c>
      <c r="B70" s="43" t="s">
        <v>171</v>
      </c>
    </row>
    <row r="71">
      <c r="A71" s="42" t="s">
        <v>176</v>
      </c>
      <c r="B71" s="43" t="s">
        <v>171</v>
      </c>
    </row>
    <row r="72">
      <c r="A72" s="42" t="s">
        <v>177</v>
      </c>
      <c r="B72" s="43" t="s">
        <v>171</v>
      </c>
    </row>
    <row r="73">
      <c r="A73" s="42" t="s">
        <v>178</v>
      </c>
      <c r="B73" s="43" t="s">
        <v>171</v>
      </c>
    </row>
    <row r="74">
      <c r="A74" s="42" t="s">
        <v>179</v>
      </c>
      <c r="B74" s="43" t="s">
        <v>171</v>
      </c>
    </row>
    <row r="75">
      <c r="A75" s="42" t="s">
        <v>180</v>
      </c>
      <c r="B75" s="43" t="s">
        <v>171</v>
      </c>
    </row>
    <row r="76">
      <c r="A76" s="42" t="s">
        <v>181</v>
      </c>
      <c r="B76" s="43" t="s">
        <v>171</v>
      </c>
    </row>
    <row r="77">
      <c r="A77" s="42" t="s">
        <v>182</v>
      </c>
      <c r="B77" s="43" t="s">
        <v>183</v>
      </c>
    </row>
    <row r="78">
      <c r="A78" s="42" t="s">
        <v>184</v>
      </c>
      <c r="B78" s="43" t="s">
        <v>183</v>
      </c>
    </row>
    <row r="79">
      <c r="A79" s="42" t="s">
        <v>185</v>
      </c>
      <c r="B79" s="43" t="s">
        <v>183</v>
      </c>
    </row>
    <row r="80">
      <c r="A80" s="42" t="s">
        <v>186</v>
      </c>
      <c r="B80" s="43" t="s">
        <v>183</v>
      </c>
    </row>
    <row r="81">
      <c r="A81" s="42" t="s">
        <v>187</v>
      </c>
      <c r="B81" s="43" t="s">
        <v>183</v>
      </c>
    </row>
    <row r="82">
      <c r="A82" s="42" t="s">
        <v>188</v>
      </c>
      <c r="B82" s="43" t="s">
        <v>189</v>
      </c>
    </row>
    <row r="83">
      <c r="A83" s="42" t="s">
        <v>190</v>
      </c>
      <c r="B83" s="43" t="s">
        <v>189</v>
      </c>
    </row>
    <row r="84">
      <c r="A84" s="42" t="s">
        <v>191</v>
      </c>
      <c r="B84" s="43" t="s">
        <v>189</v>
      </c>
    </row>
    <row r="85">
      <c r="A85" s="42" t="s">
        <v>192</v>
      </c>
      <c r="B85" s="43" t="s">
        <v>189</v>
      </c>
    </row>
    <row r="86">
      <c r="A86" s="42" t="s">
        <v>193</v>
      </c>
      <c r="B86" s="43" t="s">
        <v>194</v>
      </c>
    </row>
    <row r="87">
      <c r="A87" s="42" t="s">
        <v>195</v>
      </c>
      <c r="B87" s="43" t="s">
        <v>194</v>
      </c>
    </row>
    <row r="88">
      <c r="A88" s="42" t="s">
        <v>196</v>
      </c>
      <c r="B88" s="43" t="s">
        <v>194</v>
      </c>
    </row>
    <row r="89">
      <c r="A89" s="42" t="s">
        <v>197</v>
      </c>
      <c r="B89" s="43" t="s">
        <v>198</v>
      </c>
    </row>
    <row r="90">
      <c r="A90" s="42" t="s">
        <v>199</v>
      </c>
      <c r="B90" s="43" t="s">
        <v>198</v>
      </c>
    </row>
    <row r="91">
      <c r="A91" s="42" t="s">
        <v>200</v>
      </c>
      <c r="B91" s="43" t="s">
        <v>198</v>
      </c>
    </row>
    <row r="92">
      <c r="A92" s="42" t="s">
        <v>201</v>
      </c>
      <c r="B92" s="43" t="s">
        <v>198</v>
      </c>
    </row>
    <row r="93">
      <c r="A93" s="42" t="s">
        <v>202</v>
      </c>
      <c r="B93" s="43" t="s">
        <v>198</v>
      </c>
    </row>
    <row r="94">
      <c r="A94" s="42" t="s">
        <v>203</v>
      </c>
      <c r="B94" s="43" t="s">
        <v>204</v>
      </c>
    </row>
    <row r="95">
      <c r="A95" s="42" t="s">
        <v>205</v>
      </c>
      <c r="B95" s="43" t="s">
        <v>204</v>
      </c>
    </row>
    <row r="96">
      <c r="A96" s="42" t="s">
        <v>206</v>
      </c>
      <c r="B96" s="43" t="s">
        <v>204</v>
      </c>
    </row>
    <row r="97">
      <c r="A97" s="42" t="s">
        <v>207</v>
      </c>
      <c r="B97" s="43" t="s">
        <v>204</v>
      </c>
    </row>
    <row r="98">
      <c r="A98" s="42" t="s">
        <v>208</v>
      </c>
      <c r="B98" s="43" t="s">
        <v>204</v>
      </c>
    </row>
    <row r="99">
      <c r="A99" s="42" t="s">
        <v>209</v>
      </c>
      <c r="B99" s="43" t="s">
        <v>210</v>
      </c>
    </row>
    <row r="100">
      <c r="A100" s="42" t="s">
        <v>211</v>
      </c>
      <c r="B100" s="43" t="s">
        <v>210</v>
      </c>
    </row>
    <row r="101">
      <c r="A101" s="42" t="s">
        <v>212</v>
      </c>
      <c r="B101" s="43" t="s">
        <v>210</v>
      </c>
    </row>
    <row r="102">
      <c r="A102" s="42" t="s">
        <v>213</v>
      </c>
      <c r="B102" s="43" t="s">
        <v>210</v>
      </c>
    </row>
    <row r="103">
      <c r="A103" s="42" t="s">
        <v>214</v>
      </c>
      <c r="B103" s="43" t="s">
        <v>215</v>
      </c>
    </row>
    <row r="104">
      <c r="A104" s="42" t="s">
        <v>216</v>
      </c>
      <c r="B104" s="43" t="s">
        <v>215</v>
      </c>
    </row>
    <row r="105">
      <c r="A105" s="42" t="s">
        <v>217</v>
      </c>
      <c r="B105" s="43" t="s">
        <v>215</v>
      </c>
    </row>
    <row r="106">
      <c r="A106" s="42" t="s">
        <v>218</v>
      </c>
      <c r="B106" s="43" t="s">
        <v>215</v>
      </c>
    </row>
    <row r="107">
      <c r="A107" s="42" t="s">
        <v>219</v>
      </c>
      <c r="B107" s="43" t="s">
        <v>215</v>
      </c>
    </row>
    <row r="108">
      <c r="A108" s="42" t="s">
        <v>220</v>
      </c>
      <c r="B108" s="43" t="s">
        <v>221</v>
      </c>
    </row>
    <row r="109">
      <c r="A109" s="42" t="s">
        <v>222</v>
      </c>
      <c r="B109" s="43" t="s">
        <v>221</v>
      </c>
    </row>
    <row r="110">
      <c r="A110" s="42" t="s">
        <v>223</v>
      </c>
      <c r="B110" s="43" t="s">
        <v>221</v>
      </c>
    </row>
    <row r="111">
      <c r="A111" s="42" t="s">
        <v>224</v>
      </c>
      <c r="B111" s="43" t="s">
        <v>221</v>
      </c>
    </row>
    <row r="112">
      <c r="A112" s="42" t="s">
        <v>225</v>
      </c>
      <c r="B112" s="43" t="s">
        <v>226</v>
      </c>
    </row>
    <row r="113">
      <c r="A113" s="42" t="s">
        <v>227</v>
      </c>
      <c r="B113" s="43" t="s">
        <v>226</v>
      </c>
    </row>
    <row r="114">
      <c r="A114" s="42" t="s">
        <v>228</v>
      </c>
      <c r="B114" s="43" t="s">
        <v>226</v>
      </c>
    </row>
    <row r="115">
      <c r="A115" s="42" t="s">
        <v>229</v>
      </c>
      <c r="B115" s="43" t="s">
        <v>230</v>
      </c>
    </row>
    <row r="116">
      <c r="A116" s="42" t="s">
        <v>231</v>
      </c>
      <c r="B116" s="43" t="s">
        <v>230</v>
      </c>
    </row>
    <row r="117">
      <c r="A117" s="42" t="s">
        <v>232</v>
      </c>
      <c r="B117" s="43" t="s">
        <v>230</v>
      </c>
    </row>
    <row r="118">
      <c r="A118" s="42" t="s">
        <v>233</v>
      </c>
      <c r="B118" s="43" t="s">
        <v>230</v>
      </c>
    </row>
    <row r="119">
      <c r="A119" s="42" t="s">
        <v>234</v>
      </c>
      <c r="B119" s="43" t="s">
        <v>235</v>
      </c>
    </row>
    <row r="120">
      <c r="A120" s="42" t="s">
        <v>236</v>
      </c>
      <c r="B120" s="43" t="s">
        <v>235</v>
      </c>
    </row>
    <row r="121">
      <c r="A121" s="42" t="s">
        <v>237</v>
      </c>
      <c r="B121" s="43" t="s">
        <v>235</v>
      </c>
    </row>
    <row r="122">
      <c r="A122" s="42" t="s">
        <v>238</v>
      </c>
      <c r="B122" s="43" t="s">
        <v>235</v>
      </c>
    </row>
    <row r="123">
      <c r="A123" s="42" t="s">
        <v>239</v>
      </c>
      <c r="B123" s="43" t="s">
        <v>240</v>
      </c>
    </row>
    <row r="124">
      <c r="A124" s="42" t="s">
        <v>241</v>
      </c>
      <c r="B124" s="43" t="s">
        <v>240</v>
      </c>
    </row>
    <row r="125">
      <c r="A125" s="42" t="s">
        <v>242</v>
      </c>
      <c r="B125" s="43" t="s">
        <v>240</v>
      </c>
    </row>
    <row r="126">
      <c r="A126" s="42" t="s">
        <v>243</v>
      </c>
      <c r="B126" s="43" t="s">
        <v>240</v>
      </c>
    </row>
    <row r="127">
      <c r="A127" s="42" t="s">
        <v>244</v>
      </c>
      <c r="B127" s="43" t="s">
        <v>240</v>
      </c>
    </row>
    <row r="128">
      <c r="A128" s="42" t="s">
        <v>245</v>
      </c>
      <c r="B128" s="43" t="s">
        <v>240</v>
      </c>
    </row>
    <row r="129">
      <c r="A129" s="42" t="s">
        <v>246</v>
      </c>
      <c r="B129" s="43" t="s">
        <v>240</v>
      </c>
    </row>
    <row r="130">
      <c r="A130" s="42" t="s">
        <v>247</v>
      </c>
      <c r="B130" s="43" t="s">
        <v>240</v>
      </c>
    </row>
    <row r="131">
      <c r="A131" s="42" t="s">
        <v>248</v>
      </c>
      <c r="B131" s="43" t="s">
        <v>249</v>
      </c>
    </row>
    <row r="132">
      <c r="A132" s="42" t="s">
        <v>250</v>
      </c>
      <c r="B132" s="43" t="s">
        <v>249</v>
      </c>
    </row>
    <row r="133">
      <c r="A133" s="42" t="s">
        <v>251</v>
      </c>
      <c r="B133" s="43" t="s">
        <v>249</v>
      </c>
    </row>
    <row r="134">
      <c r="A134" s="42" t="s">
        <v>252</v>
      </c>
      <c r="B134" s="43" t="s">
        <v>249</v>
      </c>
    </row>
    <row r="135">
      <c r="A135" s="42" t="s">
        <v>253</v>
      </c>
      <c r="B135" s="43" t="s">
        <v>254</v>
      </c>
    </row>
    <row r="136">
      <c r="A136" s="42" t="s">
        <v>255</v>
      </c>
      <c r="B136" s="43" t="s">
        <v>254</v>
      </c>
    </row>
    <row r="137">
      <c r="A137" s="42" t="s">
        <v>256</v>
      </c>
      <c r="B137" s="43" t="s">
        <v>257</v>
      </c>
    </row>
    <row r="138">
      <c r="A138" s="42" t="s">
        <v>258</v>
      </c>
      <c r="B138" s="43" t="s">
        <v>257</v>
      </c>
    </row>
    <row r="139">
      <c r="A139" s="42" t="s">
        <v>259</v>
      </c>
      <c r="B139" s="43" t="s">
        <v>260</v>
      </c>
    </row>
    <row r="140">
      <c r="A140" s="42" t="s">
        <v>261</v>
      </c>
      <c r="B140" s="43" t="s">
        <v>260</v>
      </c>
    </row>
    <row r="141">
      <c r="A141" s="42" t="s">
        <v>262</v>
      </c>
      <c r="B141" s="43" t="s">
        <v>260</v>
      </c>
    </row>
    <row r="142">
      <c r="A142" s="42" t="s">
        <v>263</v>
      </c>
      <c r="B142" s="43" t="s">
        <v>264</v>
      </c>
    </row>
    <row r="143">
      <c r="A143" s="42" t="s">
        <v>265</v>
      </c>
      <c r="B143" s="43" t="s">
        <v>264</v>
      </c>
    </row>
    <row r="144">
      <c r="A144" s="42" t="s">
        <v>266</v>
      </c>
      <c r="B144" s="43" t="s">
        <v>267</v>
      </c>
    </row>
    <row r="145">
      <c r="A145" s="42" t="s">
        <v>268</v>
      </c>
      <c r="B145" s="43" t="s">
        <v>267</v>
      </c>
    </row>
    <row r="146">
      <c r="A146" s="42" t="s">
        <v>269</v>
      </c>
      <c r="B146" s="43" t="s">
        <v>267</v>
      </c>
    </row>
    <row r="147">
      <c r="A147" s="42" t="s">
        <v>270</v>
      </c>
      <c r="B147" s="43" t="s">
        <v>267</v>
      </c>
    </row>
    <row r="148">
      <c r="A148" s="42" t="s">
        <v>271</v>
      </c>
      <c r="B148" s="43" t="s">
        <v>272</v>
      </c>
    </row>
    <row r="149">
      <c r="A149" s="42" t="s">
        <v>273</v>
      </c>
      <c r="B149" s="43" t="s">
        <v>272</v>
      </c>
    </row>
    <row r="150">
      <c r="A150" s="42" t="s">
        <v>274</v>
      </c>
      <c r="B150" s="43" t="s">
        <v>272</v>
      </c>
    </row>
    <row r="151">
      <c r="A151" s="42" t="s">
        <v>275</v>
      </c>
      <c r="B151" s="43" t="s">
        <v>272</v>
      </c>
    </row>
    <row r="152">
      <c r="A152" s="61" t="s">
        <v>276</v>
      </c>
      <c r="B152" s="62" t="s">
        <v>272</v>
      </c>
    </row>
  </sheetData>
  <mergeCells count="6">
    <mergeCell ref="A1:B1"/>
    <mergeCell ref="D1:F1"/>
    <mergeCell ref="H1:I1"/>
    <mergeCell ref="K1:M1"/>
    <mergeCell ref="H8:I8"/>
    <mergeCell ref="H9:I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38"/>
    <col customWidth="1" min="2" max="2" width="13.38"/>
    <col customWidth="1" min="9" max="9" width="13.5"/>
  </cols>
  <sheetData>
    <row r="1" ht="22.5" customHeight="1">
      <c r="A1" s="63" t="s">
        <v>277</v>
      </c>
      <c r="B1" s="64"/>
      <c r="C1" s="64"/>
      <c r="D1" s="64"/>
      <c r="E1" s="64"/>
      <c r="F1" s="64"/>
      <c r="G1" s="64"/>
      <c r="H1" s="64"/>
      <c r="I1" s="65"/>
      <c r="J1" s="66"/>
      <c r="K1" s="67"/>
      <c r="L1" s="67"/>
      <c r="M1" s="67"/>
    </row>
    <row r="2">
      <c r="A2" s="68"/>
      <c r="B2" s="67"/>
      <c r="C2" s="67"/>
      <c r="D2" s="68"/>
      <c r="E2" s="69"/>
      <c r="F2" s="67"/>
      <c r="G2" s="70"/>
      <c r="H2" s="68"/>
      <c r="I2" s="68"/>
      <c r="J2" s="66"/>
      <c r="K2" s="67"/>
      <c r="L2" s="67"/>
      <c r="M2" s="67"/>
    </row>
    <row r="3">
      <c r="A3" s="71"/>
      <c r="B3" s="72" t="s">
        <v>278</v>
      </c>
      <c r="C3" s="72" t="s">
        <v>279</v>
      </c>
      <c r="D3" s="71"/>
      <c r="E3" s="73"/>
      <c r="F3" s="72" t="s">
        <v>280</v>
      </c>
      <c r="G3" s="74"/>
      <c r="H3" s="71"/>
      <c r="I3" s="71"/>
      <c r="J3" s="75" t="s">
        <v>281</v>
      </c>
      <c r="K3" s="72" t="s">
        <v>282</v>
      </c>
      <c r="L3" s="72" t="s">
        <v>283</v>
      </c>
      <c r="M3" s="72" t="s">
        <v>284</v>
      </c>
    </row>
    <row r="4">
      <c r="A4" s="76" t="s">
        <v>36</v>
      </c>
      <c r="B4" s="77" t="s">
        <v>285</v>
      </c>
      <c r="C4" s="77" t="s">
        <v>37</v>
      </c>
      <c r="D4" s="76" t="s">
        <v>286</v>
      </c>
      <c r="E4" s="78" t="s">
        <v>287</v>
      </c>
      <c r="F4" s="77" t="s">
        <v>38</v>
      </c>
      <c r="G4" s="76" t="s">
        <v>40</v>
      </c>
      <c r="H4" s="76" t="s">
        <v>288</v>
      </c>
      <c r="I4" s="76" t="s">
        <v>289</v>
      </c>
      <c r="J4" s="79" t="s">
        <v>290</v>
      </c>
      <c r="K4" s="77" t="s">
        <v>291</v>
      </c>
      <c r="L4" s="77" t="s">
        <v>292</v>
      </c>
      <c r="M4" s="77" t="s">
        <v>293</v>
      </c>
    </row>
    <row r="5" ht="18.75" customHeight="1">
      <c r="A5" s="80" t="s">
        <v>294</v>
      </c>
      <c r="B5" s="81" t="str">
        <f t="shared" ref="B5:B2910" si="1">PROPER(A5)</f>
        <v>Kab Labuhanbatu</v>
      </c>
      <c r="C5" s="81" t="str">
        <f t="array" ref="C5">XLOOKUP(B5,Reference!$A$2:$A$152,Reference!$B$2:$B$152)</f>
        <v>Sumatera Utara</v>
      </c>
      <c r="D5" s="82" t="s">
        <v>295</v>
      </c>
      <c r="E5" s="83">
        <v>45323.0</v>
      </c>
      <c r="F5" s="84" t="str">
        <f t="array" ref="F5">XLOOKUP(G5,Reference!$F:$F,Reference!$D:$D,"null")</f>
        <v>Rumah Tangga</v>
      </c>
      <c r="G5" s="85" t="s">
        <v>84</v>
      </c>
      <c r="H5" s="86">
        <v>104.73</v>
      </c>
      <c r="I5" s="86">
        <v>104.73</v>
      </c>
      <c r="J5" s="87">
        <f t="shared" ref="J5:J3304" si="2">((H5-I5)/I5)*100</f>
        <v>0</v>
      </c>
      <c r="K5" s="84" t="str">
        <f t="shared" ref="K5:K3304" si="3">ifs(J5=0,"Stabil",J5&lt;0,"Deflasi",J5&gt;0.51,"Inflasi Tinggi",TRUE,"Inflasi Normal")</f>
        <v>Stabil</v>
      </c>
      <c r="L5" s="84">
        <f t="shared" ref="L5:L3304" si="4">H5-I5</f>
        <v>0</v>
      </c>
      <c r="M5" s="88" t="str">
        <f t="shared" ref="M5:M3304" si="5">IFS(AND(J5&gt;=0.5,L5&gt;=2),"Akselerasi Kuat",J5&gt;=0.5,"Akselerasi Persentase",L5&gt;=2,"Akselerasi Poin Absolut",TRUE,"Perubahan Normal")</f>
        <v>Perubahan Normal</v>
      </c>
    </row>
    <row r="6" ht="18.75" customHeight="1">
      <c r="A6" s="80" t="s">
        <v>296</v>
      </c>
      <c r="B6" s="81" t="str">
        <f t="shared" si="1"/>
        <v>Kota Bogor</v>
      </c>
      <c r="C6" s="81" t="str">
        <f t="array" ref="C6">XLOOKUP(B6,Reference!$A$2:$A$152,Reference!$B$2:$B$152)</f>
        <v>Jawa Barat</v>
      </c>
      <c r="D6" s="82" t="s">
        <v>297</v>
      </c>
      <c r="E6" s="83">
        <v>45352.0</v>
      </c>
      <c r="F6" s="84" t="str">
        <f t="array" ref="F6">XLOOKUP(G6,Reference!$F:$F,Reference!$D:$D,"null")</f>
        <v>Rumah Tangga</v>
      </c>
      <c r="G6" s="85" t="s">
        <v>84</v>
      </c>
      <c r="H6" s="86">
        <v>104.08</v>
      </c>
      <c r="I6" s="86">
        <v>104.08</v>
      </c>
      <c r="J6" s="87">
        <f t="shared" si="2"/>
        <v>0</v>
      </c>
      <c r="K6" s="84" t="str">
        <f t="shared" si="3"/>
        <v>Stabil</v>
      </c>
      <c r="L6" s="84">
        <f t="shared" si="4"/>
        <v>0</v>
      </c>
      <c r="M6" s="88" t="str">
        <f t="shared" si="5"/>
        <v>Perubahan Normal</v>
      </c>
    </row>
    <row r="7" ht="18.75" customHeight="1">
      <c r="A7" s="80" t="s">
        <v>298</v>
      </c>
      <c r="B7" s="81" t="str">
        <f t="shared" si="1"/>
        <v>Kota Bekasi</v>
      </c>
      <c r="C7" s="81" t="str">
        <f t="array" ref="C7">XLOOKUP(B7,Reference!$A$2:$A$152,Reference!$B$2:$B$152)</f>
        <v>Jawa Barat</v>
      </c>
      <c r="D7" s="82" t="s">
        <v>299</v>
      </c>
      <c r="E7" s="83">
        <v>45352.0</v>
      </c>
      <c r="F7" s="84" t="str">
        <f t="array" ref="F7">XLOOKUP(G7,Reference!$F:$F,Reference!$D:$D,"null")</f>
        <v>Rekreasi dan Kendaraan</v>
      </c>
      <c r="G7" s="85" t="s">
        <v>102</v>
      </c>
      <c r="H7" s="86">
        <v>110.05</v>
      </c>
      <c r="I7" s="86">
        <v>110.05</v>
      </c>
      <c r="J7" s="87">
        <f t="shared" si="2"/>
        <v>0</v>
      </c>
      <c r="K7" s="84" t="str">
        <f t="shared" si="3"/>
        <v>Stabil</v>
      </c>
      <c r="L7" s="84">
        <f t="shared" si="4"/>
        <v>0</v>
      </c>
      <c r="M7" s="88" t="str">
        <f t="shared" si="5"/>
        <v>Perubahan Normal</v>
      </c>
    </row>
    <row r="8" ht="18.75" customHeight="1">
      <c r="A8" s="80" t="s">
        <v>300</v>
      </c>
      <c r="B8" s="81" t="str">
        <f t="shared" si="1"/>
        <v>Sintang</v>
      </c>
      <c r="C8" s="81" t="str">
        <f t="array" ref="C8">XLOOKUP(B8,Reference!$A$2:$A$152,Reference!$B$2:$B$152)</f>
        <v>Kalimantan Barat</v>
      </c>
      <c r="D8" s="82" t="s">
        <v>301</v>
      </c>
      <c r="E8" s="83">
        <v>45352.0</v>
      </c>
      <c r="F8" s="84" t="str">
        <f t="array" ref="F8">XLOOKUP(G8,Reference!$F:$F,Reference!$D:$D,"null")</f>
        <v>Rumah Tangga</v>
      </c>
      <c r="G8" s="85" t="s">
        <v>89</v>
      </c>
      <c r="H8" s="86">
        <v>107.64</v>
      </c>
      <c r="I8" s="86">
        <v>107.64</v>
      </c>
      <c r="J8" s="87">
        <f t="shared" si="2"/>
        <v>0</v>
      </c>
      <c r="K8" s="84" t="str">
        <f t="shared" si="3"/>
        <v>Stabil</v>
      </c>
      <c r="L8" s="84">
        <f t="shared" si="4"/>
        <v>0</v>
      </c>
      <c r="M8" s="88" t="str">
        <f t="shared" si="5"/>
        <v>Perubahan Normal</v>
      </c>
    </row>
    <row r="9" ht="18.75" customHeight="1">
      <c r="A9" s="80" t="s">
        <v>302</v>
      </c>
      <c r="B9" s="81" t="str">
        <f t="shared" si="1"/>
        <v>Kota Lubuk Linggau</v>
      </c>
      <c r="C9" s="81" t="str">
        <f t="array" ref="C9">XLOOKUP(B9,Reference!$A$2:$A$152,Reference!$B$2:$B$152)</f>
        <v>Sumatera Selatan</v>
      </c>
      <c r="D9" s="82" t="s">
        <v>303</v>
      </c>
      <c r="E9" s="83">
        <v>45352.0</v>
      </c>
      <c r="F9" s="84" t="str">
        <f t="array" ref="F9">XLOOKUP(G9,Reference!$F:$F,Reference!$D:$D,"null")</f>
        <v>Rumah Tangga</v>
      </c>
      <c r="G9" s="85" t="s">
        <v>89</v>
      </c>
      <c r="H9" s="86">
        <v>101.04</v>
      </c>
      <c r="I9" s="86">
        <v>101.36</v>
      </c>
      <c r="J9" s="87">
        <f t="shared" si="2"/>
        <v>-0.3157063931</v>
      </c>
      <c r="K9" s="84" t="str">
        <f t="shared" si="3"/>
        <v>Deflasi</v>
      </c>
      <c r="L9" s="84">
        <f t="shared" si="4"/>
        <v>-0.32</v>
      </c>
      <c r="M9" s="88" t="str">
        <f t="shared" si="5"/>
        <v>Perubahan Normal</v>
      </c>
    </row>
    <row r="10" ht="18.75" customHeight="1">
      <c r="A10" s="80" t="s">
        <v>304</v>
      </c>
      <c r="B10" s="81" t="str">
        <f t="shared" si="1"/>
        <v>Kota Kediri</v>
      </c>
      <c r="C10" s="81" t="str">
        <f t="array" ref="C10">XLOOKUP(B10,Reference!$A$2:$A$152,Reference!$B$2:$B$152)</f>
        <v>Jawa Timur</v>
      </c>
      <c r="D10" s="82" t="s">
        <v>305</v>
      </c>
      <c r="E10" s="83">
        <v>45352.0</v>
      </c>
      <c r="F10" s="84" t="str">
        <f t="array" ref="F10">XLOOKUP(G10,Reference!$F:$F,Reference!$D:$D,"null")</f>
        <v>Makanan dan Pakaian </v>
      </c>
      <c r="G10" s="85" t="s">
        <v>56</v>
      </c>
      <c r="H10" s="86">
        <v>103.13</v>
      </c>
      <c r="I10" s="86">
        <v>103.13</v>
      </c>
      <c r="J10" s="87">
        <f t="shared" si="2"/>
        <v>0</v>
      </c>
      <c r="K10" s="84" t="str">
        <f t="shared" si="3"/>
        <v>Stabil</v>
      </c>
      <c r="L10" s="84">
        <f t="shared" si="4"/>
        <v>0</v>
      </c>
      <c r="M10" s="88" t="str">
        <f t="shared" si="5"/>
        <v>Perubahan Normal</v>
      </c>
    </row>
    <row r="11" ht="18.75" customHeight="1">
      <c r="A11" s="80" t="s">
        <v>306</v>
      </c>
      <c r="B11" s="81" t="str">
        <f t="shared" si="1"/>
        <v>Kota Padang</v>
      </c>
      <c r="C11" s="81" t="str">
        <f t="array" ref="C11">XLOOKUP(B11,Reference!$A$2:$A$152,Reference!$B$2:$B$152)</f>
        <v>Sumatera Barat</v>
      </c>
      <c r="D11" s="82" t="s">
        <v>307</v>
      </c>
      <c r="E11" s="83">
        <v>45323.0</v>
      </c>
      <c r="F11" s="84" t="str">
        <f t="array" ref="F11">XLOOKUP(G11,Reference!$F:$F,Reference!$D:$D,"null")</f>
        <v>Pendidikan dan Kesehatan</v>
      </c>
      <c r="G11" s="85" t="s">
        <v>95</v>
      </c>
      <c r="H11" s="86">
        <v>103.02</v>
      </c>
      <c r="I11" s="86">
        <v>103.02</v>
      </c>
      <c r="J11" s="87">
        <f t="shared" si="2"/>
        <v>0</v>
      </c>
      <c r="K11" s="84" t="str">
        <f t="shared" si="3"/>
        <v>Stabil</v>
      </c>
      <c r="L11" s="84">
        <f t="shared" si="4"/>
        <v>0</v>
      </c>
      <c r="M11" s="88" t="str">
        <f t="shared" si="5"/>
        <v>Perubahan Normal</v>
      </c>
    </row>
    <row r="12" ht="18.75" customHeight="1">
      <c r="A12" s="80" t="s">
        <v>308</v>
      </c>
      <c r="B12" s="81" t="str">
        <f t="shared" si="1"/>
        <v>Kab Sukamara</v>
      </c>
      <c r="C12" s="81" t="str">
        <f t="array" ref="C12">XLOOKUP(B12,Reference!$A$2:$A$152,Reference!$B$2:$B$152)</f>
        <v>Kalimantan Tengah</v>
      </c>
      <c r="D12" s="82" t="s">
        <v>309</v>
      </c>
      <c r="E12" s="83">
        <v>45323.0</v>
      </c>
      <c r="F12" s="84" t="str">
        <f t="array" ref="F12">XLOOKUP(G12,Reference!$F:$F,Reference!$D:$D,"null")</f>
        <v>Pendidikan dan Kesehatan</v>
      </c>
      <c r="G12" s="85" t="s">
        <v>98</v>
      </c>
      <c r="H12" s="86">
        <v>105.59</v>
      </c>
      <c r="I12" s="86">
        <v>103.91</v>
      </c>
      <c r="J12" s="87">
        <f t="shared" si="2"/>
        <v>1.616783755</v>
      </c>
      <c r="K12" s="84" t="str">
        <f t="shared" si="3"/>
        <v>Inflasi Tinggi</v>
      </c>
      <c r="L12" s="84">
        <f t="shared" si="4"/>
        <v>1.68</v>
      </c>
      <c r="M12" s="88" t="str">
        <f t="shared" si="5"/>
        <v>Akselerasi Persentase</v>
      </c>
    </row>
    <row r="13" ht="18.75" customHeight="1">
      <c r="A13" s="80" t="s">
        <v>310</v>
      </c>
      <c r="B13" s="81" t="str">
        <f t="shared" si="1"/>
        <v>Kab Kampar</v>
      </c>
      <c r="C13" s="81" t="str">
        <f t="array" ref="C13">XLOOKUP(B13,Reference!$A$2:$A$152,Reference!$B$2:$B$152)</f>
        <v>Riau</v>
      </c>
      <c r="D13" s="82" t="s">
        <v>311</v>
      </c>
      <c r="E13" s="83">
        <v>45352.0</v>
      </c>
      <c r="F13" s="84" t="str">
        <f t="array" ref="F13">XLOOKUP(G13,Reference!$F:$F,Reference!$D:$D,"null")</f>
        <v>Rekreasi dan Kendaraan</v>
      </c>
      <c r="G13" s="85" t="s">
        <v>105</v>
      </c>
      <c r="H13" s="86">
        <v>99.59</v>
      </c>
      <c r="I13" s="86">
        <v>99.59</v>
      </c>
      <c r="J13" s="87">
        <f t="shared" si="2"/>
        <v>0</v>
      </c>
      <c r="K13" s="84" t="str">
        <f t="shared" si="3"/>
        <v>Stabil</v>
      </c>
      <c r="L13" s="84">
        <f t="shared" si="4"/>
        <v>0</v>
      </c>
      <c r="M13" s="88" t="str">
        <f t="shared" si="5"/>
        <v>Perubahan Normal</v>
      </c>
    </row>
    <row r="14" ht="18.75" customHeight="1">
      <c r="A14" s="80" t="s">
        <v>312</v>
      </c>
      <c r="B14" s="81" t="str">
        <f t="shared" si="1"/>
        <v>Kab Jayawijaya</v>
      </c>
      <c r="C14" s="81" t="str">
        <f t="array" ref="C14">XLOOKUP(B14,Reference!$A$2:$A$152,Reference!$B$2:$B$152)</f>
        <v>Papua</v>
      </c>
      <c r="D14" s="82" t="s">
        <v>313</v>
      </c>
      <c r="E14" s="83">
        <v>45352.0</v>
      </c>
      <c r="F14" s="84" t="str">
        <f t="array" ref="F14">XLOOKUP(G14,Reference!$F:$F,Reference!$D:$D,"null")</f>
        <v>Pendidikan dan Kesehatan</v>
      </c>
      <c r="G14" s="89" t="s">
        <v>95</v>
      </c>
      <c r="H14" s="90">
        <v>100.0</v>
      </c>
      <c r="I14" s="90">
        <v>100.0</v>
      </c>
      <c r="J14" s="87">
        <f t="shared" si="2"/>
        <v>0</v>
      </c>
      <c r="K14" s="84" t="str">
        <f t="shared" si="3"/>
        <v>Stabil</v>
      </c>
      <c r="L14" s="91">
        <f t="shared" si="4"/>
        <v>0</v>
      </c>
      <c r="M14" s="88" t="str">
        <f t="shared" si="5"/>
        <v>Perubahan Normal</v>
      </c>
    </row>
    <row r="15" ht="18.75" customHeight="1">
      <c r="A15" s="80" t="s">
        <v>314</v>
      </c>
      <c r="B15" s="81" t="str">
        <f t="shared" si="1"/>
        <v>Kota Jayapura</v>
      </c>
      <c r="C15" s="81" t="str">
        <f t="array" ref="C15">XLOOKUP(B15,Reference!$A$2:$A$152,Reference!$B$2:$B$152)</f>
        <v>Papua</v>
      </c>
      <c r="D15" s="82" t="s">
        <v>315</v>
      </c>
      <c r="E15" s="83">
        <v>45352.0</v>
      </c>
      <c r="F15" s="84" t="str">
        <f t="array" ref="F15">XLOOKUP(G15,Reference!$F:$F,Reference!$D:$D,"null")</f>
        <v>Rekreasi dan Kendaraan</v>
      </c>
      <c r="G15" s="85" t="s">
        <v>105</v>
      </c>
      <c r="H15" s="86">
        <v>104.53</v>
      </c>
      <c r="I15" s="86">
        <v>104.53</v>
      </c>
      <c r="J15" s="87">
        <f t="shared" si="2"/>
        <v>0</v>
      </c>
      <c r="K15" s="84" t="str">
        <f t="shared" si="3"/>
        <v>Stabil</v>
      </c>
      <c r="L15" s="84">
        <f t="shared" si="4"/>
        <v>0</v>
      </c>
      <c r="M15" s="88" t="str">
        <f t="shared" si="5"/>
        <v>Perubahan Normal</v>
      </c>
    </row>
    <row r="16" ht="18.75" customHeight="1">
      <c r="A16" s="80" t="s">
        <v>316</v>
      </c>
      <c r="B16" s="81" t="str">
        <f t="shared" si="1"/>
        <v>Singaraja</v>
      </c>
      <c r="C16" s="81" t="str">
        <f t="array" ref="C16">XLOOKUP(B16,Reference!$A$2:$A$152,Reference!$B$2:$B$152)</f>
        <v>Bali</v>
      </c>
      <c r="D16" s="82" t="s">
        <v>317</v>
      </c>
      <c r="E16" s="83">
        <v>45352.0</v>
      </c>
      <c r="F16" s="84" t="str">
        <f t="array" ref="F16">XLOOKUP(G16,Reference!$F:$F,Reference!$D:$D,"null")</f>
        <v>Rumah Tangga</v>
      </c>
      <c r="G16" s="85" t="s">
        <v>84</v>
      </c>
      <c r="H16" s="86">
        <v>104.28</v>
      </c>
      <c r="I16" s="86">
        <v>104.28</v>
      </c>
      <c r="J16" s="87">
        <f t="shared" si="2"/>
        <v>0</v>
      </c>
      <c r="K16" s="84" t="str">
        <f t="shared" si="3"/>
        <v>Stabil</v>
      </c>
      <c r="L16" s="84">
        <f t="shared" si="4"/>
        <v>0</v>
      </c>
      <c r="M16" s="88" t="str">
        <f t="shared" si="5"/>
        <v>Perubahan Normal</v>
      </c>
    </row>
    <row r="17" ht="18.75" customHeight="1">
      <c r="A17" s="80" t="s">
        <v>318</v>
      </c>
      <c r="B17" s="81" t="str">
        <f t="shared" si="1"/>
        <v>Tanjung</v>
      </c>
      <c r="C17" s="81" t="str">
        <f t="array" ref="C17">XLOOKUP(B17,Reference!$A$2:$A$152,Reference!$B$2:$B$152)</f>
        <v>Kalimantan Selatan</v>
      </c>
      <c r="D17" s="82" t="s">
        <v>319</v>
      </c>
      <c r="E17" s="83">
        <v>45323.0</v>
      </c>
      <c r="F17" s="84" t="str">
        <f t="array" ref="F17">XLOOKUP(G17,Reference!$F:$F,Reference!$D:$D,"null")</f>
        <v>Makanan dan Pakaian </v>
      </c>
      <c r="G17" s="85" t="s">
        <v>64</v>
      </c>
      <c r="H17" s="86">
        <v>101.82</v>
      </c>
      <c r="I17" s="86">
        <v>101.8</v>
      </c>
      <c r="J17" s="87">
        <f t="shared" si="2"/>
        <v>0.01964636542</v>
      </c>
      <c r="K17" s="84" t="str">
        <f t="shared" si="3"/>
        <v>Inflasi Normal</v>
      </c>
      <c r="L17" s="84">
        <f t="shared" si="4"/>
        <v>0.02</v>
      </c>
      <c r="M17" s="88" t="str">
        <f t="shared" si="5"/>
        <v>Perubahan Normal</v>
      </c>
    </row>
    <row r="18" ht="18.75" customHeight="1">
      <c r="A18" s="80" t="s">
        <v>320</v>
      </c>
      <c r="B18" s="81" t="str">
        <f t="shared" si="1"/>
        <v>Kota Manado</v>
      </c>
      <c r="C18" s="81" t="str">
        <f t="array" ref="C18">XLOOKUP(B18,Reference!$A$2:$A$152,Reference!$B$2:$B$152)</f>
        <v>Sulawesi Utara</v>
      </c>
      <c r="D18" s="82" t="s">
        <v>321</v>
      </c>
      <c r="E18" s="83">
        <v>45323.0</v>
      </c>
      <c r="F18" s="84" t="str">
        <f t="array" ref="F18">XLOOKUP(G18,Reference!$F:$F,Reference!$D:$D,"null")</f>
        <v>Pendidikan dan Kesehatan</v>
      </c>
      <c r="G18" s="85" t="s">
        <v>95</v>
      </c>
      <c r="H18" s="86">
        <v>100.06</v>
      </c>
      <c r="I18" s="86">
        <v>100.06</v>
      </c>
      <c r="J18" s="87">
        <f t="shared" si="2"/>
        <v>0</v>
      </c>
      <c r="K18" s="84" t="str">
        <f t="shared" si="3"/>
        <v>Stabil</v>
      </c>
      <c r="L18" s="84">
        <f t="shared" si="4"/>
        <v>0</v>
      </c>
      <c r="M18" s="88" t="str">
        <f t="shared" si="5"/>
        <v>Perubahan Normal</v>
      </c>
    </row>
    <row r="19" ht="18.75" customHeight="1">
      <c r="A19" s="80" t="s">
        <v>322</v>
      </c>
      <c r="B19" s="81" t="str">
        <f t="shared" si="1"/>
        <v>Purwokerto</v>
      </c>
      <c r="C19" s="81" t="str">
        <f t="array" ref="C19">XLOOKUP(B19,Reference!$A$2:$A$152,Reference!$B$2:$B$152)</f>
        <v>Jawa Tengah</v>
      </c>
      <c r="D19" s="82" t="s">
        <v>323</v>
      </c>
      <c r="E19" s="83">
        <v>45323.0</v>
      </c>
      <c r="F19" s="84" t="str">
        <f t="array" ref="F19">XLOOKUP(G19,Reference!$F:$F,Reference!$D:$D,"null")</f>
        <v>Makanan dan Pakaian </v>
      </c>
      <c r="G19" s="85" t="s">
        <v>64</v>
      </c>
      <c r="H19" s="86">
        <v>102.44</v>
      </c>
      <c r="I19" s="86">
        <v>102.33</v>
      </c>
      <c r="J19" s="87">
        <f t="shared" si="2"/>
        <v>0.1074953582</v>
      </c>
      <c r="K19" s="84" t="str">
        <f t="shared" si="3"/>
        <v>Inflasi Normal</v>
      </c>
      <c r="L19" s="84">
        <f t="shared" si="4"/>
        <v>0.11</v>
      </c>
      <c r="M19" s="88" t="str">
        <f t="shared" si="5"/>
        <v>Perubahan Normal</v>
      </c>
    </row>
    <row r="20" ht="18.75" customHeight="1">
      <c r="A20" s="80" t="s">
        <v>324</v>
      </c>
      <c r="B20" s="81" t="str">
        <f t="shared" si="1"/>
        <v>Kab Nunukan</v>
      </c>
      <c r="C20" s="81" t="str">
        <f t="array" ref="C20">XLOOKUP(B20,Reference!$A$2:$A$152,Reference!$B$2:$B$152)</f>
        <v>Kalimantan Utara</v>
      </c>
      <c r="D20" s="82" t="s">
        <v>325</v>
      </c>
      <c r="E20" s="83">
        <v>45323.0</v>
      </c>
      <c r="F20" s="84" t="str">
        <f t="array" ref="F20">XLOOKUP(G20,Reference!$F:$F,Reference!$D:$D,"null")</f>
        <v>Pendidikan dan Kesehatan</v>
      </c>
      <c r="G20" s="85" t="s">
        <v>98</v>
      </c>
      <c r="H20" s="86">
        <v>101.39</v>
      </c>
      <c r="I20" s="86">
        <v>100.41</v>
      </c>
      <c r="J20" s="87">
        <f t="shared" si="2"/>
        <v>0.9759984065</v>
      </c>
      <c r="K20" s="84" t="str">
        <f t="shared" si="3"/>
        <v>Inflasi Tinggi</v>
      </c>
      <c r="L20" s="84">
        <f t="shared" si="4"/>
        <v>0.98</v>
      </c>
      <c r="M20" s="88" t="str">
        <f t="shared" si="5"/>
        <v>Akselerasi Persentase</v>
      </c>
    </row>
    <row r="21" ht="18.75" customHeight="1">
      <c r="A21" s="80" t="s">
        <v>326</v>
      </c>
      <c r="B21" s="81" t="str">
        <f t="shared" si="1"/>
        <v>Luwuk</v>
      </c>
      <c r="C21" s="81" t="str">
        <f t="array" ref="C21">XLOOKUP(B21,Reference!$A$2:$A$152,Reference!$B$2:$B$152)</f>
        <v>Sulawesi Tengah</v>
      </c>
      <c r="D21" s="82" t="s">
        <v>327</v>
      </c>
      <c r="E21" s="83">
        <v>45352.0</v>
      </c>
      <c r="F21" s="84" t="str">
        <f t="array" ref="F21">XLOOKUP(G21,Reference!$F:$F,Reference!$D:$D,"null")</f>
        <v>Rekreasi dan Kendaraan</v>
      </c>
      <c r="G21" s="85" t="s">
        <v>105</v>
      </c>
      <c r="H21" s="86">
        <v>105.32</v>
      </c>
      <c r="I21" s="86">
        <v>105.32</v>
      </c>
      <c r="J21" s="87">
        <f t="shared" si="2"/>
        <v>0</v>
      </c>
      <c r="K21" s="84" t="str">
        <f t="shared" si="3"/>
        <v>Stabil</v>
      </c>
      <c r="L21" s="84">
        <f t="shared" si="4"/>
        <v>0</v>
      </c>
      <c r="M21" s="88" t="str">
        <f t="shared" si="5"/>
        <v>Perubahan Normal</v>
      </c>
    </row>
    <row r="22" ht="18.75" customHeight="1">
      <c r="A22" s="80" t="s">
        <v>310</v>
      </c>
      <c r="B22" s="81" t="str">
        <f t="shared" si="1"/>
        <v>Kab Kampar</v>
      </c>
      <c r="C22" s="81" t="str">
        <f t="array" ref="C22">XLOOKUP(B22,Reference!$A$2:$A$152,Reference!$B$2:$B$152)</f>
        <v>Riau</v>
      </c>
      <c r="D22" s="82" t="s">
        <v>328</v>
      </c>
      <c r="E22" s="83">
        <v>45352.0</v>
      </c>
      <c r="F22" s="84" t="str">
        <f t="array" ref="F22">XLOOKUP(G22,Reference!$F:$F,Reference!$D:$D,"null")</f>
        <v>Rumah Tangga</v>
      </c>
      <c r="G22" s="85" t="s">
        <v>89</v>
      </c>
      <c r="H22" s="86">
        <v>109.98</v>
      </c>
      <c r="I22" s="86">
        <v>109.42</v>
      </c>
      <c r="J22" s="87">
        <f t="shared" si="2"/>
        <v>0.5117894352</v>
      </c>
      <c r="K22" s="84" t="str">
        <f t="shared" si="3"/>
        <v>Inflasi Tinggi</v>
      </c>
      <c r="L22" s="84">
        <f t="shared" si="4"/>
        <v>0.56</v>
      </c>
      <c r="M22" s="88" t="str">
        <f t="shared" si="5"/>
        <v>Akselerasi Persentase</v>
      </c>
    </row>
    <row r="23" ht="18.75" customHeight="1">
      <c r="A23" s="80" t="s">
        <v>329</v>
      </c>
      <c r="B23" s="81" t="str">
        <f t="shared" si="1"/>
        <v>Kab Penajam Paser Utara</v>
      </c>
      <c r="C23" s="81" t="str">
        <f t="array" ref="C23">XLOOKUP(B23,Reference!$A$2:$A$152,Reference!$B$2:$B$152)</f>
        <v>Kalimantan Timur</v>
      </c>
      <c r="D23" s="82" t="s">
        <v>330</v>
      </c>
      <c r="E23" s="83">
        <v>45323.0</v>
      </c>
      <c r="F23" s="84" t="str">
        <f t="array" ref="F23">XLOOKUP(G23,Reference!$F:$F,Reference!$D:$D,"null")</f>
        <v>Rumah Tangga</v>
      </c>
      <c r="G23" s="85" t="s">
        <v>80</v>
      </c>
      <c r="H23" s="86">
        <v>100.0</v>
      </c>
      <c r="I23" s="86">
        <v>100.0</v>
      </c>
      <c r="J23" s="87">
        <f t="shared" si="2"/>
        <v>0</v>
      </c>
      <c r="K23" s="84" t="str">
        <f t="shared" si="3"/>
        <v>Stabil</v>
      </c>
      <c r="L23" s="84">
        <f t="shared" si="4"/>
        <v>0</v>
      </c>
      <c r="M23" s="88" t="str">
        <f t="shared" si="5"/>
        <v>Perubahan Normal</v>
      </c>
    </row>
    <row r="24" ht="18.75" customHeight="1">
      <c r="A24" s="80" t="s">
        <v>331</v>
      </c>
      <c r="B24" s="81" t="str">
        <f t="shared" si="1"/>
        <v>Kota Lhokseumawe</v>
      </c>
      <c r="C24" s="81" t="str">
        <f t="array" ref="C24">XLOOKUP(B24,Reference!$A$2:$A$152,Reference!$B$2:$B$152)</f>
        <v>Aceh</v>
      </c>
      <c r="D24" s="82" t="s">
        <v>332</v>
      </c>
      <c r="E24" s="83">
        <v>45352.0</v>
      </c>
      <c r="F24" s="84" t="str">
        <f t="array" ref="F24">XLOOKUP(G24,Reference!$F:$F,Reference!$D:$D,"null")</f>
        <v>Makanan dan Pakaian </v>
      </c>
      <c r="G24" s="85" t="s">
        <v>56</v>
      </c>
      <c r="H24" s="86">
        <v>105.3</v>
      </c>
      <c r="I24" s="86">
        <v>103.1</v>
      </c>
      <c r="J24" s="87">
        <f t="shared" si="2"/>
        <v>2.13385063</v>
      </c>
      <c r="K24" s="84" t="str">
        <f t="shared" si="3"/>
        <v>Inflasi Tinggi</v>
      </c>
      <c r="L24" s="84">
        <f t="shared" si="4"/>
        <v>2.2</v>
      </c>
      <c r="M24" s="88" t="str">
        <f t="shared" si="5"/>
        <v>Akselerasi Kuat</v>
      </c>
    </row>
    <row r="25" ht="18.75" customHeight="1">
      <c r="A25" s="80" t="s">
        <v>333</v>
      </c>
      <c r="B25" s="81" t="str">
        <f t="shared" si="1"/>
        <v>Kab Pasaman Barat</v>
      </c>
      <c r="C25" s="81" t="str">
        <f t="array" ref="C25">XLOOKUP(B25,Reference!$A$2:$A$152,Reference!$B$2:$B$152)</f>
        <v>Sumatera Barat</v>
      </c>
      <c r="D25" s="82" t="s">
        <v>334</v>
      </c>
      <c r="E25" s="83">
        <v>45323.0</v>
      </c>
      <c r="F25" s="84" t="str">
        <f t="array" ref="F25">XLOOKUP(G25,Reference!$F:$F,Reference!$D:$D,"null")</f>
        <v>Makanan dan Pakaian </v>
      </c>
      <c r="G25" s="85" t="s">
        <v>64</v>
      </c>
      <c r="H25" s="86">
        <v>105.99</v>
      </c>
      <c r="I25" s="86">
        <v>105.73</v>
      </c>
      <c r="J25" s="87">
        <f t="shared" si="2"/>
        <v>0.2459093918</v>
      </c>
      <c r="K25" s="84" t="str">
        <f t="shared" si="3"/>
        <v>Inflasi Normal</v>
      </c>
      <c r="L25" s="84">
        <f t="shared" si="4"/>
        <v>0.26</v>
      </c>
      <c r="M25" s="88" t="str">
        <f t="shared" si="5"/>
        <v>Perubahan Normal</v>
      </c>
    </row>
    <row r="26" ht="18.75" customHeight="1">
      <c r="A26" s="80" t="s">
        <v>335</v>
      </c>
      <c r="B26" s="81" t="str">
        <f t="shared" si="1"/>
        <v>Kab Wonogiri</v>
      </c>
      <c r="C26" s="81" t="str">
        <f t="array" ref="C26">XLOOKUP(B26,Reference!$A$2:$A$152,Reference!$B$2:$B$152)</f>
        <v>Jawa Tengah</v>
      </c>
      <c r="D26" s="82" t="s">
        <v>336</v>
      </c>
      <c r="E26" s="83">
        <v>45323.0</v>
      </c>
      <c r="F26" s="84" t="str">
        <f t="array" ref="F26">XLOOKUP(G26,Reference!$F:$F,Reference!$D:$D,"null")</f>
        <v>Makanan dan Pakaian </v>
      </c>
      <c r="G26" s="89" t="s">
        <v>56</v>
      </c>
      <c r="H26" s="90">
        <v>114.17</v>
      </c>
      <c r="I26" s="90">
        <v>114.26</v>
      </c>
      <c r="J26" s="87">
        <f t="shared" si="2"/>
        <v>-0.07876772274</v>
      </c>
      <c r="K26" s="84" t="str">
        <f t="shared" si="3"/>
        <v>Deflasi</v>
      </c>
      <c r="L26" s="91">
        <f t="shared" si="4"/>
        <v>-0.09</v>
      </c>
      <c r="M26" s="88" t="str">
        <f t="shared" si="5"/>
        <v>Perubahan Normal</v>
      </c>
    </row>
    <row r="27" ht="18.75" customHeight="1">
      <c r="A27" s="80" t="s">
        <v>337</v>
      </c>
      <c r="B27" s="81" t="str">
        <f t="shared" si="1"/>
        <v>Merauke</v>
      </c>
      <c r="C27" s="81" t="str">
        <f t="array" ref="C27">XLOOKUP(B27,Reference!$A$2:$A$152,Reference!$B$2:$B$152)</f>
        <v>Papua</v>
      </c>
      <c r="D27" s="82" t="s">
        <v>338</v>
      </c>
      <c r="E27" s="83">
        <v>45323.0</v>
      </c>
      <c r="F27" s="84" t="str">
        <f t="array" ref="F27">XLOOKUP(G27,Reference!$F:$F,Reference!$D:$D,"null")</f>
        <v>Makanan dan Pakaian </v>
      </c>
      <c r="G27" s="85" t="s">
        <v>72</v>
      </c>
      <c r="H27" s="86">
        <v>104.14</v>
      </c>
      <c r="I27" s="86">
        <v>104.08</v>
      </c>
      <c r="J27" s="87">
        <f t="shared" si="2"/>
        <v>0.05764796311</v>
      </c>
      <c r="K27" s="84" t="str">
        <f t="shared" si="3"/>
        <v>Inflasi Normal</v>
      </c>
      <c r="L27" s="84">
        <f t="shared" si="4"/>
        <v>0.06</v>
      </c>
      <c r="M27" s="88" t="str">
        <f t="shared" si="5"/>
        <v>Perubahan Normal</v>
      </c>
    </row>
    <row r="28" ht="18.75" customHeight="1">
      <c r="A28" s="80" t="s">
        <v>302</v>
      </c>
      <c r="B28" s="81" t="str">
        <f t="shared" si="1"/>
        <v>Kota Lubuk Linggau</v>
      </c>
      <c r="C28" s="81" t="str">
        <f t="array" ref="C28">XLOOKUP(B28,Reference!$A$2:$A$152,Reference!$B$2:$B$152)</f>
        <v>Sumatera Selatan</v>
      </c>
      <c r="D28" s="82" t="s">
        <v>339</v>
      </c>
      <c r="E28" s="83">
        <v>45323.0</v>
      </c>
      <c r="F28" s="84" t="str">
        <f t="array" ref="F28">XLOOKUP(G28,Reference!$F:$F,Reference!$D:$D,"null")</f>
        <v>Rekreasi dan Kendaraan</v>
      </c>
      <c r="G28" s="85" t="s">
        <v>105</v>
      </c>
      <c r="H28" s="86">
        <v>105.5</v>
      </c>
      <c r="I28" s="86">
        <v>105.5</v>
      </c>
      <c r="J28" s="87">
        <f t="shared" si="2"/>
        <v>0</v>
      </c>
      <c r="K28" s="84" t="str">
        <f t="shared" si="3"/>
        <v>Stabil</v>
      </c>
      <c r="L28" s="84">
        <f t="shared" si="4"/>
        <v>0</v>
      </c>
      <c r="M28" s="88" t="str">
        <f t="shared" si="5"/>
        <v>Perubahan Normal</v>
      </c>
    </row>
    <row r="29" ht="18.75" customHeight="1">
      <c r="A29" s="80" t="s">
        <v>340</v>
      </c>
      <c r="B29" s="81" t="str">
        <f t="shared" si="1"/>
        <v>Kab Rembang</v>
      </c>
      <c r="C29" s="81" t="str">
        <f t="array" ref="C29">XLOOKUP(B29,Reference!$A$2:$A$152,Reference!$B$2:$B$152)</f>
        <v>Jawa Tengah</v>
      </c>
      <c r="D29" s="82" t="s">
        <v>341</v>
      </c>
      <c r="E29" s="83">
        <v>45352.0</v>
      </c>
      <c r="F29" s="84" t="str">
        <f t="array" ref="F29">XLOOKUP(G29,Reference!$F:$F,Reference!$D:$D,"null")</f>
        <v>Pendidikan dan Kesehatan</v>
      </c>
      <c r="G29" s="85" t="s">
        <v>95</v>
      </c>
      <c r="H29" s="86">
        <v>100.08</v>
      </c>
      <c r="I29" s="86">
        <v>100.08</v>
      </c>
      <c r="J29" s="87">
        <f t="shared" si="2"/>
        <v>0</v>
      </c>
      <c r="K29" s="84" t="str">
        <f t="shared" si="3"/>
        <v>Stabil</v>
      </c>
      <c r="L29" s="84">
        <f t="shared" si="4"/>
        <v>0</v>
      </c>
      <c r="M29" s="88" t="str">
        <f t="shared" si="5"/>
        <v>Perubahan Normal</v>
      </c>
    </row>
    <row r="30" ht="18.75" customHeight="1">
      <c r="A30" s="80" t="s">
        <v>342</v>
      </c>
      <c r="B30" s="81" t="str">
        <f t="shared" si="1"/>
        <v>Kab Bandung</v>
      </c>
      <c r="C30" s="81" t="str">
        <f t="array" ref="C30">XLOOKUP(B30,Reference!$A$2:$A$152,Reference!$B$2:$B$152)</f>
        <v>Jawa Barat</v>
      </c>
      <c r="D30" s="82" t="s">
        <v>343</v>
      </c>
      <c r="E30" s="83">
        <v>45323.0</v>
      </c>
      <c r="F30" s="84" t="str">
        <f t="array" ref="F30">XLOOKUP(G30,Reference!$F:$F,Reference!$D:$D,"null")</f>
        <v>Rekreasi dan Kendaraan</v>
      </c>
      <c r="G30" s="85" t="s">
        <v>102</v>
      </c>
      <c r="H30" s="86">
        <v>103.36</v>
      </c>
      <c r="I30" s="86">
        <v>103.36</v>
      </c>
      <c r="J30" s="87">
        <f t="shared" si="2"/>
        <v>0</v>
      </c>
      <c r="K30" s="84" t="str">
        <f t="shared" si="3"/>
        <v>Stabil</v>
      </c>
      <c r="L30" s="84">
        <f t="shared" si="4"/>
        <v>0</v>
      </c>
      <c r="M30" s="88" t="str">
        <f t="shared" si="5"/>
        <v>Perubahan Normal</v>
      </c>
    </row>
    <row r="31" ht="18.75" customHeight="1">
      <c r="A31" s="80" t="s">
        <v>298</v>
      </c>
      <c r="B31" s="81" t="str">
        <f t="shared" si="1"/>
        <v>Kota Bekasi</v>
      </c>
      <c r="C31" s="81" t="str">
        <f t="array" ref="C31">XLOOKUP(B31,Reference!$A$2:$A$152,Reference!$B$2:$B$152)</f>
        <v>Jawa Barat</v>
      </c>
      <c r="D31" s="82" t="s">
        <v>344</v>
      </c>
      <c r="E31" s="83">
        <v>45323.0</v>
      </c>
      <c r="F31" s="84" t="str">
        <f t="array" ref="F31">XLOOKUP(G31,Reference!$F:$F,Reference!$D:$D,"null")</f>
        <v>Makanan dan Pakaian </v>
      </c>
      <c r="G31" s="85" t="s">
        <v>56</v>
      </c>
      <c r="H31" s="86">
        <v>106.07</v>
      </c>
      <c r="I31" s="86">
        <v>106.08</v>
      </c>
      <c r="J31" s="87">
        <f t="shared" si="2"/>
        <v>-0.009426847662</v>
      </c>
      <c r="K31" s="84" t="str">
        <f t="shared" si="3"/>
        <v>Deflasi</v>
      </c>
      <c r="L31" s="84">
        <f t="shared" si="4"/>
        <v>-0.01</v>
      </c>
      <c r="M31" s="88" t="str">
        <f t="shared" si="5"/>
        <v>Perubahan Normal</v>
      </c>
    </row>
    <row r="32" ht="18.75" customHeight="1">
      <c r="A32" s="80" t="s">
        <v>335</v>
      </c>
      <c r="B32" s="81" t="str">
        <f t="shared" si="1"/>
        <v>Kab Wonogiri</v>
      </c>
      <c r="C32" s="81" t="str">
        <f t="array" ref="C32">XLOOKUP(B32,Reference!$A$2:$A$152,Reference!$B$2:$B$152)</f>
        <v>Jawa Tengah</v>
      </c>
      <c r="D32" s="82" t="s">
        <v>345</v>
      </c>
      <c r="E32" s="83">
        <v>45352.0</v>
      </c>
      <c r="F32" s="84" t="str">
        <f t="array" ref="F32">XLOOKUP(G32,Reference!$F:$F,Reference!$D:$D,"null")</f>
        <v>Rumah Tangga</v>
      </c>
      <c r="G32" s="85" t="s">
        <v>80</v>
      </c>
      <c r="H32" s="86">
        <v>100.3</v>
      </c>
      <c r="I32" s="86">
        <v>100.3</v>
      </c>
      <c r="J32" s="87">
        <f t="shared" si="2"/>
        <v>0</v>
      </c>
      <c r="K32" s="84" t="str">
        <f t="shared" si="3"/>
        <v>Stabil</v>
      </c>
      <c r="L32" s="84">
        <f t="shared" si="4"/>
        <v>0</v>
      </c>
      <c r="M32" s="88" t="str">
        <f t="shared" si="5"/>
        <v>Perubahan Normal</v>
      </c>
    </row>
    <row r="33" ht="18.75" customHeight="1">
      <c r="A33" s="80" t="s">
        <v>346</v>
      </c>
      <c r="B33" s="81" t="str">
        <f t="shared" si="1"/>
        <v>Kab Timor Tengah Selatan</v>
      </c>
      <c r="C33" s="81" t="str">
        <f t="array" ref="C33">XLOOKUP(B33,Reference!$A$2:$A$152,Reference!$B$2:$B$152)</f>
        <v>Nusa Tenggara Timur (NTT)</v>
      </c>
      <c r="D33" s="82" t="s">
        <v>347</v>
      </c>
      <c r="E33" s="83">
        <v>45323.0</v>
      </c>
      <c r="F33" s="84" t="str">
        <f t="array" ref="F33">XLOOKUP(G33,Reference!$F:$F,Reference!$D:$D,"null")</f>
        <v>Makanan dan Pakaian </v>
      </c>
      <c r="G33" s="85" t="s">
        <v>48</v>
      </c>
      <c r="H33" s="86">
        <v>112.29</v>
      </c>
      <c r="I33" s="86">
        <v>116.4</v>
      </c>
      <c r="J33" s="87">
        <f t="shared" si="2"/>
        <v>-3.530927835</v>
      </c>
      <c r="K33" s="84" t="str">
        <f t="shared" si="3"/>
        <v>Deflasi</v>
      </c>
      <c r="L33" s="84">
        <f t="shared" si="4"/>
        <v>-4.11</v>
      </c>
      <c r="M33" s="88" t="str">
        <f t="shared" si="5"/>
        <v>Perubahan Normal</v>
      </c>
    </row>
    <row r="34" ht="18.75" customHeight="1">
      <c r="A34" s="80" t="s">
        <v>298</v>
      </c>
      <c r="B34" s="81" t="str">
        <f t="shared" si="1"/>
        <v>Kota Bekasi</v>
      </c>
      <c r="C34" s="81" t="str">
        <f t="array" ref="C34">XLOOKUP(B34,Reference!$A$2:$A$152,Reference!$B$2:$B$152)</f>
        <v>Jawa Barat</v>
      </c>
      <c r="D34" s="82" t="s">
        <v>348</v>
      </c>
      <c r="E34" s="83">
        <v>45323.0</v>
      </c>
      <c r="F34" s="84" t="str">
        <f t="array" ref="F34">XLOOKUP(G34,Reference!$F:$F,Reference!$D:$D,"null")</f>
        <v>Rumah Tangga</v>
      </c>
      <c r="G34" s="85" t="s">
        <v>80</v>
      </c>
      <c r="H34" s="86">
        <v>101.11</v>
      </c>
      <c r="I34" s="86">
        <v>101.11</v>
      </c>
      <c r="J34" s="87">
        <f t="shared" si="2"/>
        <v>0</v>
      </c>
      <c r="K34" s="84" t="str">
        <f t="shared" si="3"/>
        <v>Stabil</v>
      </c>
      <c r="L34" s="84">
        <f t="shared" si="4"/>
        <v>0</v>
      </c>
      <c r="M34" s="88" t="str">
        <f t="shared" si="5"/>
        <v>Perubahan Normal</v>
      </c>
    </row>
    <row r="35" ht="18.75" customHeight="1">
      <c r="A35" s="80" t="s">
        <v>349</v>
      </c>
      <c r="B35" s="81" t="str">
        <f t="shared" si="1"/>
        <v>Kota Banjarmasin</v>
      </c>
      <c r="C35" s="81" t="str">
        <f t="array" ref="C35">XLOOKUP(B35,Reference!$A$2:$A$152,Reference!$B$2:$B$152)</f>
        <v>Kalimantan Selatan</v>
      </c>
      <c r="D35" s="82" t="s">
        <v>350</v>
      </c>
      <c r="E35" s="83">
        <v>45352.0</v>
      </c>
      <c r="F35" s="84" t="str">
        <f t="array" ref="F35">XLOOKUP(G35,Reference!$F:$F,Reference!$D:$D,"null")</f>
        <v>Rumah Tangga</v>
      </c>
      <c r="G35" s="85" t="s">
        <v>89</v>
      </c>
      <c r="H35" s="86">
        <v>104.44</v>
      </c>
      <c r="I35" s="86">
        <v>104.44</v>
      </c>
      <c r="J35" s="87">
        <f t="shared" si="2"/>
        <v>0</v>
      </c>
      <c r="K35" s="84" t="str">
        <f t="shared" si="3"/>
        <v>Stabil</v>
      </c>
      <c r="L35" s="84">
        <f t="shared" si="4"/>
        <v>0</v>
      </c>
      <c r="M35" s="88" t="str">
        <f t="shared" si="5"/>
        <v>Perubahan Normal</v>
      </c>
    </row>
    <row r="36" ht="18.75" customHeight="1">
      <c r="A36" s="80" t="s">
        <v>351</v>
      </c>
      <c r="B36" s="81" t="str">
        <f t="shared" si="1"/>
        <v>Kota Balikpapan</v>
      </c>
      <c r="C36" s="81" t="str">
        <f t="array" ref="C36">XLOOKUP(B36,Reference!$A$2:$A$152,Reference!$B$2:$B$152)</f>
        <v>Kalimantan Timur</v>
      </c>
      <c r="D36" s="82" t="s">
        <v>352</v>
      </c>
      <c r="E36" s="83">
        <v>45323.0</v>
      </c>
      <c r="F36" s="84" t="str">
        <f t="array" ref="F36">XLOOKUP(G36,Reference!$F:$F,Reference!$D:$D,"null")</f>
        <v>Rumah Tangga</v>
      </c>
      <c r="G36" s="85" t="s">
        <v>89</v>
      </c>
      <c r="H36" s="86">
        <v>102.41</v>
      </c>
      <c r="I36" s="86">
        <v>101.74</v>
      </c>
      <c r="J36" s="87">
        <f t="shared" si="2"/>
        <v>0.65854138</v>
      </c>
      <c r="K36" s="84" t="str">
        <f t="shared" si="3"/>
        <v>Inflasi Tinggi</v>
      </c>
      <c r="L36" s="84">
        <f t="shared" si="4"/>
        <v>0.67</v>
      </c>
      <c r="M36" s="88" t="str">
        <f t="shared" si="5"/>
        <v>Akselerasi Persentase</v>
      </c>
    </row>
    <row r="37" ht="18.75" customHeight="1">
      <c r="A37" s="80" t="s">
        <v>353</v>
      </c>
      <c r="B37" s="81" t="str">
        <f t="shared" si="1"/>
        <v>Kota Bau Bau</v>
      </c>
      <c r="C37" s="81" t="str">
        <f t="array" ref="C37">XLOOKUP(B37,Reference!$A$2:$A$152,Reference!$B$2:$B$152)</f>
        <v>Sulawesi Tenggara</v>
      </c>
      <c r="D37" s="82" t="s">
        <v>354</v>
      </c>
      <c r="E37" s="83">
        <v>45352.0</v>
      </c>
      <c r="F37" s="84" t="str">
        <f t="array" ref="F37">XLOOKUP(G37,Reference!$F:$F,Reference!$D:$D,"null")</f>
        <v>Rekreasi dan Kendaraan</v>
      </c>
      <c r="G37" s="85" t="s">
        <v>102</v>
      </c>
      <c r="H37" s="86">
        <v>103.67</v>
      </c>
      <c r="I37" s="86">
        <v>103.24</v>
      </c>
      <c r="J37" s="87">
        <f t="shared" si="2"/>
        <v>0.4165052305</v>
      </c>
      <c r="K37" s="84" t="str">
        <f t="shared" si="3"/>
        <v>Inflasi Normal</v>
      </c>
      <c r="L37" s="84">
        <f t="shared" si="4"/>
        <v>0.43</v>
      </c>
      <c r="M37" s="88" t="str">
        <f t="shared" si="5"/>
        <v>Perubahan Normal</v>
      </c>
    </row>
    <row r="38" ht="18.75" customHeight="1">
      <c r="A38" s="80" t="s">
        <v>355</v>
      </c>
      <c r="B38" s="81" t="str">
        <f t="shared" si="1"/>
        <v>Kota Gorontalo</v>
      </c>
      <c r="C38" s="81" t="str">
        <f t="array" ref="C38">XLOOKUP(B38,Reference!$A$2:$A$152,Reference!$B$2:$B$152)</f>
        <v>Gorontalo</v>
      </c>
      <c r="D38" s="82" t="s">
        <v>356</v>
      </c>
      <c r="E38" s="83">
        <v>45352.0</v>
      </c>
      <c r="F38" s="84" t="str">
        <f t="array" ref="F38">XLOOKUP(G38,Reference!$F:$F,Reference!$D:$D,"null")</f>
        <v>Rumah Tangga</v>
      </c>
      <c r="G38" s="85" t="s">
        <v>80</v>
      </c>
      <c r="H38" s="86">
        <v>100.43</v>
      </c>
      <c r="I38" s="86">
        <v>100.43</v>
      </c>
      <c r="J38" s="87">
        <f t="shared" si="2"/>
        <v>0</v>
      </c>
      <c r="K38" s="84" t="str">
        <f t="shared" si="3"/>
        <v>Stabil</v>
      </c>
      <c r="L38" s="84">
        <f t="shared" si="4"/>
        <v>0</v>
      </c>
      <c r="M38" s="88" t="str">
        <f t="shared" si="5"/>
        <v>Perubahan Normal</v>
      </c>
    </row>
    <row r="39" ht="18.75" customHeight="1">
      <c r="A39" s="80" t="s">
        <v>351</v>
      </c>
      <c r="B39" s="81" t="str">
        <f t="shared" si="1"/>
        <v>Kota Balikpapan</v>
      </c>
      <c r="C39" s="81" t="str">
        <f t="array" ref="C39">XLOOKUP(B39,Reference!$A$2:$A$152,Reference!$B$2:$B$152)</f>
        <v>Kalimantan Timur</v>
      </c>
      <c r="D39" s="82" t="s">
        <v>357</v>
      </c>
      <c r="E39" s="83">
        <v>45323.0</v>
      </c>
      <c r="F39" s="84" t="str">
        <f t="array" ref="F39">XLOOKUP(G39,Reference!$F:$F,Reference!$D:$D,"null")</f>
        <v>Rekreasi dan Kendaraan</v>
      </c>
      <c r="G39" s="89" t="s">
        <v>102</v>
      </c>
      <c r="H39" s="90">
        <v>100.54</v>
      </c>
      <c r="I39" s="90">
        <v>100.54</v>
      </c>
      <c r="J39" s="87">
        <f t="shared" si="2"/>
        <v>0</v>
      </c>
      <c r="K39" s="84" t="str">
        <f t="shared" si="3"/>
        <v>Stabil</v>
      </c>
      <c r="L39" s="91">
        <f t="shared" si="4"/>
        <v>0</v>
      </c>
      <c r="M39" s="88" t="str">
        <f t="shared" si="5"/>
        <v>Perubahan Normal</v>
      </c>
    </row>
    <row r="40" ht="18.75" customHeight="1">
      <c r="A40" s="80" t="s">
        <v>358</v>
      </c>
      <c r="B40" s="81" t="str">
        <f t="shared" si="1"/>
        <v>Kab Minahasa Utara</v>
      </c>
      <c r="C40" s="81" t="str">
        <f t="array" ref="C40">XLOOKUP(B40,Reference!$A$2:$A$152,Reference!$B$2:$B$152)</f>
        <v>Sulawesi Utara</v>
      </c>
      <c r="D40" s="82" t="s">
        <v>359</v>
      </c>
      <c r="E40" s="83">
        <v>45323.0</v>
      </c>
      <c r="F40" s="84" t="str">
        <f t="array" ref="F40">XLOOKUP(G40,Reference!$F:$F,Reference!$D:$D,"null")</f>
        <v>Rumah Tangga</v>
      </c>
      <c r="G40" s="85" t="s">
        <v>80</v>
      </c>
      <c r="H40" s="86">
        <v>100.0</v>
      </c>
      <c r="I40" s="86">
        <v>100.0</v>
      </c>
      <c r="J40" s="87">
        <f t="shared" si="2"/>
        <v>0</v>
      </c>
      <c r="K40" s="84" t="str">
        <f t="shared" si="3"/>
        <v>Stabil</v>
      </c>
      <c r="L40" s="84">
        <f t="shared" si="4"/>
        <v>0</v>
      </c>
      <c r="M40" s="88" t="str">
        <f t="shared" si="5"/>
        <v>Perubahan Normal</v>
      </c>
    </row>
    <row r="41" ht="18.75" customHeight="1">
      <c r="A41" s="80" t="s">
        <v>360</v>
      </c>
      <c r="B41" s="81" t="str">
        <f t="shared" si="1"/>
        <v>Kab Wonosobo</v>
      </c>
      <c r="C41" s="81" t="str">
        <f t="array" ref="C41">XLOOKUP(B41,Reference!$A$2:$A$152,Reference!$B$2:$B$152)</f>
        <v>Jawa Tengah</v>
      </c>
      <c r="D41" s="82" t="s">
        <v>361</v>
      </c>
      <c r="E41" s="83">
        <v>45323.0</v>
      </c>
      <c r="F41" s="84" t="str">
        <f t="array" ref="F41">XLOOKUP(G41,Reference!$F:$F,Reference!$D:$D,"null")</f>
        <v>Rekreasi dan Kendaraan</v>
      </c>
      <c r="G41" s="85" t="s">
        <v>102</v>
      </c>
      <c r="H41" s="86">
        <v>111.23</v>
      </c>
      <c r="I41" s="86">
        <v>111.23</v>
      </c>
      <c r="J41" s="87">
        <f t="shared" si="2"/>
        <v>0</v>
      </c>
      <c r="K41" s="84" t="str">
        <f t="shared" si="3"/>
        <v>Stabil</v>
      </c>
      <c r="L41" s="84">
        <f t="shared" si="4"/>
        <v>0</v>
      </c>
      <c r="M41" s="88" t="str">
        <f t="shared" si="5"/>
        <v>Perubahan Normal</v>
      </c>
    </row>
    <row r="42" ht="18.75" customHeight="1">
      <c r="A42" s="80" t="s">
        <v>362</v>
      </c>
      <c r="B42" s="81" t="str">
        <f t="shared" si="1"/>
        <v>Sumenep</v>
      </c>
      <c r="C42" s="81" t="str">
        <f t="array" ref="C42">XLOOKUP(B42,Reference!$A$2:$A$152,Reference!$B$2:$B$152)</f>
        <v>Jawa Timur</v>
      </c>
      <c r="D42" s="82" t="s">
        <v>363</v>
      </c>
      <c r="E42" s="83">
        <v>45323.0</v>
      </c>
      <c r="F42" s="84" t="str">
        <f t="array" ref="F42">XLOOKUP(G42,Reference!$F:$F,Reference!$D:$D,"null")</f>
        <v>Makanan dan Pakaian </v>
      </c>
      <c r="G42" s="85" t="s">
        <v>56</v>
      </c>
      <c r="H42" s="86">
        <v>103.72</v>
      </c>
      <c r="I42" s="86">
        <v>103.56</v>
      </c>
      <c r="J42" s="87">
        <f t="shared" si="2"/>
        <v>0.1544998069</v>
      </c>
      <c r="K42" s="84" t="str">
        <f t="shared" si="3"/>
        <v>Inflasi Normal</v>
      </c>
      <c r="L42" s="84">
        <f t="shared" si="4"/>
        <v>0.16</v>
      </c>
      <c r="M42" s="88" t="str">
        <f t="shared" si="5"/>
        <v>Perubahan Normal</v>
      </c>
    </row>
    <row r="43" ht="18.75" customHeight="1">
      <c r="A43" s="80" t="s">
        <v>364</v>
      </c>
      <c r="B43" s="81" t="str">
        <f t="shared" si="1"/>
        <v>Kab Tanah Laut</v>
      </c>
      <c r="C43" s="81" t="str">
        <f t="array" ref="C43">XLOOKUP(B43,Reference!$A$2:$A$152,Reference!$B$2:$B$152)</f>
        <v>Kalimantan Selatan</v>
      </c>
      <c r="D43" s="82" t="s">
        <v>365</v>
      </c>
      <c r="E43" s="83">
        <v>45323.0</v>
      </c>
      <c r="F43" s="84" t="str">
        <f t="array" ref="F43">XLOOKUP(G43,Reference!$F:$F,Reference!$D:$D,"null")</f>
        <v>Pendidikan dan Kesehatan</v>
      </c>
      <c r="G43" s="85" t="s">
        <v>95</v>
      </c>
      <c r="H43" s="86">
        <v>100.0</v>
      </c>
      <c r="I43" s="86">
        <v>100.0</v>
      </c>
      <c r="J43" s="87">
        <f t="shared" si="2"/>
        <v>0</v>
      </c>
      <c r="K43" s="84" t="str">
        <f t="shared" si="3"/>
        <v>Stabil</v>
      </c>
      <c r="L43" s="84">
        <f t="shared" si="4"/>
        <v>0</v>
      </c>
      <c r="M43" s="88" t="str">
        <f t="shared" si="5"/>
        <v>Perubahan Normal</v>
      </c>
    </row>
    <row r="44" ht="18.75" customHeight="1">
      <c r="A44" s="80" t="s">
        <v>304</v>
      </c>
      <c r="B44" s="81" t="str">
        <f t="shared" si="1"/>
        <v>Kota Kediri</v>
      </c>
      <c r="C44" s="81" t="str">
        <f t="array" ref="C44">XLOOKUP(B44,Reference!$A$2:$A$152,Reference!$B$2:$B$152)</f>
        <v>Jawa Timur</v>
      </c>
      <c r="D44" s="82" t="s">
        <v>366</v>
      </c>
      <c r="E44" s="83">
        <v>45352.0</v>
      </c>
      <c r="F44" s="84" t="str">
        <f t="array" ref="F44">XLOOKUP(G44,Reference!$F:$F,Reference!$D:$D,"null")</f>
        <v>Rumah Tangga</v>
      </c>
      <c r="G44" s="85" t="s">
        <v>84</v>
      </c>
      <c r="H44" s="86">
        <v>101.21</v>
      </c>
      <c r="I44" s="86">
        <v>101.21</v>
      </c>
      <c r="J44" s="87">
        <f t="shared" si="2"/>
        <v>0</v>
      </c>
      <c r="K44" s="84" t="str">
        <f t="shared" si="3"/>
        <v>Stabil</v>
      </c>
      <c r="L44" s="84">
        <f t="shared" si="4"/>
        <v>0</v>
      </c>
      <c r="M44" s="88" t="str">
        <f t="shared" si="5"/>
        <v>Perubahan Normal</v>
      </c>
    </row>
    <row r="45" ht="18.75" customHeight="1">
      <c r="A45" s="80" t="s">
        <v>367</v>
      </c>
      <c r="B45" s="81" t="str">
        <f t="shared" si="1"/>
        <v>Kota Jambi</v>
      </c>
      <c r="C45" s="81" t="str">
        <f t="array" ref="C45">XLOOKUP(B45,Reference!$A$2:$A$152,Reference!$B$2:$B$152)</f>
        <v>Jambi</v>
      </c>
      <c r="D45" s="82" t="s">
        <v>368</v>
      </c>
      <c r="E45" s="83">
        <v>45323.0</v>
      </c>
      <c r="F45" s="84" t="str">
        <f t="array" ref="F45">XLOOKUP(G45,Reference!$F:$F,Reference!$D:$D,"null")</f>
        <v>Pendidikan dan Kesehatan</v>
      </c>
      <c r="G45" s="85" t="s">
        <v>98</v>
      </c>
      <c r="H45" s="86">
        <v>103.25</v>
      </c>
      <c r="I45" s="86">
        <v>103.9</v>
      </c>
      <c r="J45" s="87">
        <f t="shared" si="2"/>
        <v>-0.6256015399</v>
      </c>
      <c r="K45" s="84" t="str">
        <f t="shared" si="3"/>
        <v>Deflasi</v>
      </c>
      <c r="L45" s="84">
        <f t="shared" si="4"/>
        <v>-0.65</v>
      </c>
      <c r="M45" s="88" t="str">
        <f t="shared" si="5"/>
        <v>Perubahan Normal</v>
      </c>
    </row>
    <row r="46" ht="18.75" customHeight="1">
      <c r="A46" s="80" t="s">
        <v>342</v>
      </c>
      <c r="B46" s="81" t="str">
        <f t="shared" si="1"/>
        <v>Kab Bandung</v>
      </c>
      <c r="C46" s="81" t="str">
        <f t="array" ref="C46">XLOOKUP(B46,Reference!$A$2:$A$152,Reference!$B$2:$B$152)</f>
        <v>Jawa Barat</v>
      </c>
      <c r="D46" s="82" t="s">
        <v>369</v>
      </c>
      <c r="E46" s="83">
        <v>45352.0</v>
      </c>
      <c r="F46" s="84" t="str">
        <f t="array" ref="F46">XLOOKUP(G46,Reference!$F:$F,Reference!$D:$D,"null")</f>
        <v>Rekreasi dan Kendaraan</v>
      </c>
      <c r="G46" s="89" t="s">
        <v>102</v>
      </c>
      <c r="H46" s="90">
        <v>103.36</v>
      </c>
      <c r="I46" s="90">
        <v>103.36</v>
      </c>
      <c r="J46" s="87">
        <f t="shared" si="2"/>
        <v>0</v>
      </c>
      <c r="K46" s="84" t="str">
        <f t="shared" si="3"/>
        <v>Stabil</v>
      </c>
      <c r="L46" s="91">
        <f t="shared" si="4"/>
        <v>0</v>
      </c>
      <c r="M46" s="88" t="str">
        <f t="shared" si="5"/>
        <v>Perubahan Normal</v>
      </c>
    </row>
    <row r="47" ht="18.75" customHeight="1">
      <c r="A47" s="80" t="s">
        <v>370</v>
      </c>
      <c r="B47" s="81" t="str">
        <f t="shared" si="1"/>
        <v>Jember</v>
      </c>
      <c r="C47" s="81" t="str">
        <f t="array" ref="C47">XLOOKUP(B47,Reference!$A$2:$A$152,Reference!$B$2:$B$152)</f>
        <v>Jawa Timur</v>
      </c>
      <c r="D47" s="82" t="s">
        <v>371</v>
      </c>
      <c r="E47" s="83">
        <v>45323.0</v>
      </c>
      <c r="F47" s="84" t="str">
        <f t="array" ref="F47">XLOOKUP(G47,Reference!$F:$F,Reference!$D:$D,"null")</f>
        <v>Rumah Tangga</v>
      </c>
      <c r="G47" s="89" t="s">
        <v>80</v>
      </c>
      <c r="H47" s="90">
        <v>105.56</v>
      </c>
      <c r="I47" s="90">
        <v>105.56</v>
      </c>
      <c r="J47" s="87">
        <f t="shared" si="2"/>
        <v>0</v>
      </c>
      <c r="K47" s="84" t="str">
        <f t="shared" si="3"/>
        <v>Stabil</v>
      </c>
      <c r="L47" s="91">
        <f t="shared" si="4"/>
        <v>0</v>
      </c>
      <c r="M47" s="88" t="str">
        <f t="shared" si="5"/>
        <v>Perubahan Normal</v>
      </c>
    </row>
    <row r="48" ht="18.75" customHeight="1">
      <c r="A48" s="80" t="s">
        <v>372</v>
      </c>
      <c r="B48" s="81" t="str">
        <f t="shared" si="1"/>
        <v>Kota Tanjung Pinang</v>
      </c>
      <c r="C48" s="81" t="str">
        <f t="array" ref="C48">XLOOKUP(B48,Reference!$A$2:$A$152,Reference!$B$2:$B$152)</f>
        <v>Kepulauan Riau</v>
      </c>
      <c r="D48" s="82" t="s">
        <v>373</v>
      </c>
      <c r="E48" s="83">
        <v>45352.0</v>
      </c>
      <c r="F48" s="84" t="str">
        <f t="array" ref="F48">XLOOKUP(G48,Reference!$F:$F,Reference!$D:$D,"null")</f>
        <v>Makanan dan Pakaian </v>
      </c>
      <c r="G48" s="85" t="s">
        <v>72</v>
      </c>
      <c r="H48" s="86">
        <v>98.74</v>
      </c>
      <c r="I48" s="86">
        <v>98.85</v>
      </c>
      <c r="J48" s="87">
        <f t="shared" si="2"/>
        <v>-0.1112797167</v>
      </c>
      <c r="K48" s="84" t="str">
        <f t="shared" si="3"/>
        <v>Deflasi</v>
      </c>
      <c r="L48" s="84">
        <f t="shared" si="4"/>
        <v>-0.11</v>
      </c>
      <c r="M48" s="88" t="str">
        <f t="shared" si="5"/>
        <v>Perubahan Normal</v>
      </c>
    </row>
    <row r="49" ht="18.75" customHeight="1">
      <c r="A49" s="80" t="s">
        <v>374</v>
      </c>
      <c r="B49" s="81" t="str">
        <f t="shared" si="1"/>
        <v>Kab Majalengka</v>
      </c>
      <c r="C49" s="81" t="str">
        <f t="array" ref="C49">XLOOKUP(B49,Reference!$A$2:$A$152,Reference!$B$2:$B$152)</f>
        <v>Jawa Barat</v>
      </c>
      <c r="D49" s="82" t="s">
        <v>375</v>
      </c>
      <c r="E49" s="83">
        <v>45323.0</v>
      </c>
      <c r="F49" s="84" t="str">
        <f t="array" ref="F49">XLOOKUP(G49,Reference!$F:$F,Reference!$D:$D,"null")</f>
        <v>Makanan dan Pakaian </v>
      </c>
      <c r="G49" s="85" t="s">
        <v>72</v>
      </c>
      <c r="H49" s="86">
        <v>99.08</v>
      </c>
      <c r="I49" s="86">
        <v>98.86</v>
      </c>
      <c r="J49" s="87">
        <f t="shared" si="2"/>
        <v>0.2225369209</v>
      </c>
      <c r="K49" s="84" t="str">
        <f t="shared" si="3"/>
        <v>Inflasi Normal</v>
      </c>
      <c r="L49" s="84">
        <f t="shared" si="4"/>
        <v>0.22</v>
      </c>
      <c r="M49" s="88" t="str">
        <f t="shared" si="5"/>
        <v>Perubahan Normal</v>
      </c>
    </row>
    <row r="50" ht="18.75" customHeight="1">
      <c r="A50" s="80" t="s">
        <v>376</v>
      </c>
      <c r="B50" s="81" t="str">
        <f t="shared" si="1"/>
        <v>Bulukumba</v>
      </c>
      <c r="C50" s="81" t="str">
        <f t="array" ref="C50">XLOOKUP(B50,Reference!$A$2:$A$152,Reference!$B$2:$B$152)</f>
        <v>Sulawesi Selatan</v>
      </c>
      <c r="D50" s="82" t="s">
        <v>377</v>
      </c>
      <c r="E50" s="83">
        <v>45352.0</v>
      </c>
      <c r="F50" s="84" t="str">
        <f t="array" ref="F50">XLOOKUP(G50,Reference!$F:$F,Reference!$D:$D,"null")</f>
        <v>Makanan dan Pakaian </v>
      </c>
      <c r="G50" s="85" t="s">
        <v>56</v>
      </c>
      <c r="H50" s="86">
        <v>104.35</v>
      </c>
      <c r="I50" s="86">
        <v>104.21</v>
      </c>
      <c r="J50" s="87">
        <f t="shared" si="2"/>
        <v>0.1343441128</v>
      </c>
      <c r="K50" s="84" t="str">
        <f t="shared" si="3"/>
        <v>Inflasi Normal</v>
      </c>
      <c r="L50" s="84">
        <f t="shared" si="4"/>
        <v>0.14</v>
      </c>
      <c r="M50" s="88" t="str">
        <f t="shared" si="5"/>
        <v>Perubahan Normal</v>
      </c>
    </row>
    <row r="51" ht="18.75" customHeight="1">
      <c r="A51" s="80" t="s">
        <v>378</v>
      </c>
      <c r="B51" s="81" t="str">
        <f t="shared" si="1"/>
        <v>Kab Berau</v>
      </c>
      <c r="C51" s="81" t="str">
        <f t="array" ref="C51">XLOOKUP(B51,Reference!$A$2:$A$152,Reference!$B$2:$B$152)</f>
        <v>Kalimantan Timur</v>
      </c>
      <c r="D51" s="82" t="s">
        <v>379</v>
      </c>
      <c r="E51" s="83">
        <v>45352.0</v>
      </c>
      <c r="F51" s="84" t="str">
        <f t="array" ref="F51">XLOOKUP(G51,Reference!$F:$F,Reference!$D:$D,"null")</f>
        <v>Rekreasi dan Kendaraan</v>
      </c>
      <c r="G51" s="89" t="s">
        <v>102</v>
      </c>
      <c r="H51" s="90">
        <v>106.04</v>
      </c>
      <c r="I51" s="90">
        <v>104.93</v>
      </c>
      <c r="J51" s="87">
        <f t="shared" si="2"/>
        <v>1.057848089</v>
      </c>
      <c r="K51" s="84" t="str">
        <f t="shared" si="3"/>
        <v>Inflasi Tinggi</v>
      </c>
      <c r="L51" s="91">
        <f t="shared" si="4"/>
        <v>1.11</v>
      </c>
      <c r="M51" s="88" t="str">
        <f t="shared" si="5"/>
        <v>Akselerasi Persentase</v>
      </c>
    </row>
    <row r="52" ht="18.75" customHeight="1">
      <c r="A52" s="80" t="s">
        <v>380</v>
      </c>
      <c r="B52" s="81" t="str">
        <f t="shared" si="1"/>
        <v>Kota Bengkulu</v>
      </c>
      <c r="C52" s="81" t="str">
        <f t="array" ref="C52">XLOOKUP(B52,Reference!$A$2:$A$152,Reference!$B$2:$B$152)</f>
        <v>Bengkulu</v>
      </c>
      <c r="D52" s="82" t="s">
        <v>381</v>
      </c>
      <c r="E52" s="83">
        <v>45352.0</v>
      </c>
      <c r="F52" s="84" t="str">
        <f t="array" ref="F52">XLOOKUP(G52,Reference!$F:$F,Reference!$D:$D,"null")</f>
        <v>Rekreasi dan Kendaraan</v>
      </c>
      <c r="G52" s="85" t="s">
        <v>102</v>
      </c>
      <c r="H52" s="86">
        <v>105.07</v>
      </c>
      <c r="I52" s="86">
        <v>103.95</v>
      </c>
      <c r="J52" s="87">
        <f t="shared" si="2"/>
        <v>1.077441077</v>
      </c>
      <c r="K52" s="84" t="str">
        <f t="shared" si="3"/>
        <v>Inflasi Tinggi</v>
      </c>
      <c r="L52" s="84">
        <f t="shared" si="4"/>
        <v>1.12</v>
      </c>
      <c r="M52" s="88" t="str">
        <f t="shared" si="5"/>
        <v>Akselerasi Persentase</v>
      </c>
    </row>
    <row r="53" ht="18.75" customHeight="1">
      <c r="A53" s="80" t="s">
        <v>382</v>
      </c>
      <c r="B53" s="81" t="str">
        <f t="shared" si="1"/>
        <v>Kab Ngada</v>
      </c>
      <c r="C53" s="81" t="str">
        <f t="array" ref="C53">XLOOKUP(B53,Reference!$A$2:$A$152,Reference!$B$2:$B$152)</f>
        <v>Nusa Tenggara Timur (NTT)</v>
      </c>
      <c r="D53" s="82" t="s">
        <v>383</v>
      </c>
      <c r="E53" s="83">
        <v>45323.0</v>
      </c>
      <c r="F53" s="84" t="str">
        <f t="array" ref="F53">XLOOKUP(G53,Reference!$F:$F,Reference!$D:$D,"null")</f>
        <v>Pendidikan dan Kesehatan</v>
      </c>
      <c r="G53" s="85" t="s">
        <v>98</v>
      </c>
      <c r="H53" s="86">
        <v>100.07</v>
      </c>
      <c r="I53" s="86">
        <v>100.07</v>
      </c>
      <c r="J53" s="87">
        <f t="shared" si="2"/>
        <v>0</v>
      </c>
      <c r="K53" s="84" t="str">
        <f t="shared" si="3"/>
        <v>Stabil</v>
      </c>
      <c r="L53" s="84">
        <f t="shared" si="4"/>
        <v>0</v>
      </c>
      <c r="M53" s="88" t="str">
        <f t="shared" si="5"/>
        <v>Perubahan Normal</v>
      </c>
    </row>
    <row r="54" ht="18.75" customHeight="1">
      <c r="A54" s="80" t="s">
        <v>384</v>
      </c>
      <c r="B54" s="81" t="str">
        <f t="shared" si="1"/>
        <v>Kab Lebak</v>
      </c>
      <c r="C54" s="81" t="str">
        <f t="array" ref="C54">XLOOKUP(B54,Reference!$A$2:$A$152,Reference!$B$2:$B$152)</f>
        <v>Banten</v>
      </c>
      <c r="D54" s="82" t="s">
        <v>385</v>
      </c>
      <c r="E54" s="83">
        <v>45323.0</v>
      </c>
      <c r="F54" s="84" t="str">
        <f t="array" ref="F54">XLOOKUP(G54,Reference!$F:$F,Reference!$D:$D,"null")</f>
        <v>Makanan dan Pakaian </v>
      </c>
      <c r="G54" s="85" t="s">
        <v>72</v>
      </c>
      <c r="H54" s="86">
        <v>99.48</v>
      </c>
      <c r="I54" s="86">
        <v>99.48</v>
      </c>
      <c r="J54" s="87">
        <f t="shared" si="2"/>
        <v>0</v>
      </c>
      <c r="K54" s="84" t="str">
        <f t="shared" si="3"/>
        <v>Stabil</v>
      </c>
      <c r="L54" s="84">
        <f t="shared" si="4"/>
        <v>0</v>
      </c>
      <c r="M54" s="88" t="str">
        <f t="shared" si="5"/>
        <v>Perubahan Normal</v>
      </c>
    </row>
    <row r="55" ht="18.75" customHeight="1">
      <c r="A55" s="80" t="s">
        <v>374</v>
      </c>
      <c r="B55" s="81" t="str">
        <f t="shared" si="1"/>
        <v>Kab Majalengka</v>
      </c>
      <c r="C55" s="81" t="str">
        <f t="array" ref="C55">XLOOKUP(B55,Reference!$A$2:$A$152,Reference!$B$2:$B$152)</f>
        <v>Jawa Barat</v>
      </c>
      <c r="D55" s="82" t="s">
        <v>386</v>
      </c>
      <c r="E55" s="83">
        <v>45323.0</v>
      </c>
      <c r="F55" s="84" t="str">
        <f t="array" ref="F55">XLOOKUP(G55,Reference!$F:$F,Reference!$D:$D,"null")</f>
        <v>Rumah Tangga</v>
      </c>
      <c r="G55" s="85" t="s">
        <v>80</v>
      </c>
      <c r="H55" s="86">
        <v>100.53</v>
      </c>
      <c r="I55" s="86">
        <v>100.45</v>
      </c>
      <c r="J55" s="87">
        <f t="shared" si="2"/>
        <v>0.07964161274</v>
      </c>
      <c r="K55" s="84" t="str">
        <f t="shared" si="3"/>
        <v>Inflasi Normal</v>
      </c>
      <c r="L55" s="84">
        <f t="shared" si="4"/>
        <v>0.08</v>
      </c>
      <c r="M55" s="88" t="str">
        <f t="shared" si="5"/>
        <v>Perubahan Normal</v>
      </c>
    </row>
    <row r="56" ht="18.75" customHeight="1">
      <c r="A56" s="80" t="s">
        <v>387</v>
      </c>
      <c r="B56" s="81" t="str">
        <f t="shared" si="1"/>
        <v>Kota Semarang</v>
      </c>
      <c r="C56" s="81" t="str">
        <f t="array" ref="C56">XLOOKUP(B56,Reference!$A$2:$A$152,Reference!$B$2:$B$152)</f>
        <v>Jawa Tengah</v>
      </c>
      <c r="D56" s="82" t="s">
        <v>388</v>
      </c>
      <c r="E56" s="83">
        <v>45352.0</v>
      </c>
      <c r="F56" s="84" t="str">
        <f t="array" ref="F56">XLOOKUP(G56,Reference!$F:$F,Reference!$D:$D,"null")</f>
        <v>Pendidikan dan Kesehatan</v>
      </c>
      <c r="G56" s="85" t="s">
        <v>95</v>
      </c>
      <c r="H56" s="86">
        <v>101.28</v>
      </c>
      <c r="I56" s="86">
        <v>101.28</v>
      </c>
      <c r="J56" s="87">
        <f t="shared" si="2"/>
        <v>0</v>
      </c>
      <c r="K56" s="84" t="str">
        <f t="shared" si="3"/>
        <v>Stabil</v>
      </c>
      <c r="L56" s="84">
        <f t="shared" si="4"/>
        <v>0</v>
      </c>
      <c r="M56" s="88" t="str">
        <f t="shared" si="5"/>
        <v>Perubahan Normal</v>
      </c>
    </row>
    <row r="57" ht="18.75" customHeight="1">
      <c r="A57" s="80" t="s">
        <v>389</v>
      </c>
      <c r="B57" s="81" t="str">
        <f t="shared" si="1"/>
        <v>Tembilahan</v>
      </c>
      <c r="C57" s="81" t="str">
        <f t="array" ref="C57">XLOOKUP(B57,Reference!$A$2:$A$152,Reference!$B$2:$B$152)</f>
        <v>Riau</v>
      </c>
      <c r="D57" s="82" t="s">
        <v>390</v>
      </c>
      <c r="E57" s="83">
        <v>45352.0</v>
      </c>
      <c r="F57" s="84" t="str">
        <f t="array" ref="F57">XLOOKUP(G57,Reference!$F:$F,Reference!$D:$D,"null")</f>
        <v>Rumah Tangga</v>
      </c>
      <c r="G57" s="85" t="s">
        <v>80</v>
      </c>
      <c r="H57" s="86">
        <v>100.28</v>
      </c>
      <c r="I57" s="86">
        <v>100.28</v>
      </c>
      <c r="J57" s="87">
        <f t="shared" si="2"/>
        <v>0</v>
      </c>
      <c r="K57" s="84" t="str">
        <f t="shared" si="3"/>
        <v>Stabil</v>
      </c>
      <c r="L57" s="84">
        <f t="shared" si="4"/>
        <v>0</v>
      </c>
      <c r="M57" s="88" t="str">
        <f t="shared" si="5"/>
        <v>Perubahan Normal</v>
      </c>
    </row>
    <row r="58" ht="18.75" customHeight="1">
      <c r="A58" s="80" t="s">
        <v>391</v>
      </c>
      <c r="B58" s="81" t="str">
        <f t="shared" si="1"/>
        <v>Kota Batam</v>
      </c>
      <c r="C58" s="81" t="str">
        <f t="array" ref="C58">XLOOKUP(B58,Reference!$A$2:$A$152,Reference!$B$2:$B$152)</f>
        <v>Kepulauan Riau</v>
      </c>
      <c r="D58" s="82" t="s">
        <v>392</v>
      </c>
      <c r="E58" s="83">
        <v>45352.0</v>
      </c>
      <c r="F58" s="84" t="str">
        <f t="array" ref="F58">XLOOKUP(G58,Reference!$F:$F,Reference!$D:$D,"null")</f>
        <v>Rumah Tangga</v>
      </c>
      <c r="G58" s="85" t="s">
        <v>84</v>
      </c>
      <c r="H58" s="86">
        <v>101.74</v>
      </c>
      <c r="I58" s="86">
        <v>101.74</v>
      </c>
      <c r="J58" s="87">
        <f t="shared" si="2"/>
        <v>0</v>
      </c>
      <c r="K58" s="84" t="str">
        <f t="shared" si="3"/>
        <v>Stabil</v>
      </c>
      <c r="L58" s="84">
        <f t="shared" si="4"/>
        <v>0</v>
      </c>
      <c r="M58" s="88" t="str">
        <f t="shared" si="5"/>
        <v>Perubahan Normal</v>
      </c>
    </row>
    <row r="59" ht="18.75" customHeight="1">
      <c r="A59" s="80" t="s">
        <v>393</v>
      </c>
      <c r="B59" s="81" t="str">
        <f t="shared" si="1"/>
        <v>Kab Sumbawa</v>
      </c>
      <c r="C59" s="81" t="str">
        <f t="array" ref="C59">XLOOKUP(B59,Reference!$A$2:$A$152,Reference!$B$2:$B$152)</f>
        <v>Nusa Tenggara Barat (NTB)</v>
      </c>
      <c r="D59" s="82" t="s">
        <v>394</v>
      </c>
      <c r="E59" s="83">
        <v>45323.0</v>
      </c>
      <c r="F59" s="84" t="str">
        <f t="array" ref="F59">XLOOKUP(G59,Reference!$F:$F,Reference!$D:$D,"null")</f>
        <v>Rekreasi dan Kendaraan</v>
      </c>
      <c r="G59" s="85" t="s">
        <v>105</v>
      </c>
      <c r="H59" s="86">
        <v>104.07</v>
      </c>
      <c r="I59" s="86">
        <v>103.91</v>
      </c>
      <c r="J59" s="87">
        <f t="shared" si="2"/>
        <v>0.1539794053</v>
      </c>
      <c r="K59" s="84" t="str">
        <f t="shared" si="3"/>
        <v>Inflasi Normal</v>
      </c>
      <c r="L59" s="84">
        <f t="shared" si="4"/>
        <v>0.16</v>
      </c>
      <c r="M59" s="88" t="str">
        <f t="shared" si="5"/>
        <v>Perubahan Normal</v>
      </c>
    </row>
    <row r="60" ht="18.75" customHeight="1">
      <c r="A60" s="80" t="s">
        <v>395</v>
      </c>
      <c r="B60" s="81" t="str">
        <f t="shared" si="1"/>
        <v>Kota Bukittinggi</v>
      </c>
      <c r="C60" s="81" t="str">
        <f t="array" ref="C60">XLOOKUP(B60,Reference!$A$2:$A$152,Reference!$B$2:$B$152)</f>
        <v>Sumatera Barat</v>
      </c>
      <c r="D60" s="82" t="s">
        <v>396</v>
      </c>
      <c r="E60" s="83">
        <v>45323.0</v>
      </c>
      <c r="F60" s="84" t="str">
        <f t="array" ref="F60">XLOOKUP(G60,Reference!$F:$F,Reference!$D:$D,"null")</f>
        <v>Makanan dan Pakaian </v>
      </c>
      <c r="G60" s="85" t="s">
        <v>48</v>
      </c>
      <c r="H60" s="86">
        <v>108.62</v>
      </c>
      <c r="I60" s="86">
        <v>105.09</v>
      </c>
      <c r="J60" s="87">
        <f t="shared" si="2"/>
        <v>3.359025597</v>
      </c>
      <c r="K60" s="84" t="str">
        <f t="shared" si="3"/>
        <v>Inflasi Tinggi</v>
      </c>
      <c r="L60" s="84">
        <f t="shared" si="4"/>
        <v>3.53</v>
      </c>
      <c r="M60" s="88" t="str">
        <f t="shared" si="5"/>
        <v>Akselerasi Kuat</v>
      </c>
    </row>
    <row r="61" ht="18.75" customHeight="1">
      <c r="A61" s="80" t="s">
        <v>397</v>
      </c>
      <c r="B61" s="81" t="str">
        <f t="shared" si="1"/>
        <v>Kota Pematangsiantar</v>
      </c>
      <c r="C61" s="81" t="str">
        <f t="array" ref="C61">XLOOKUP(B61,Reference!$A$2:$A$152,Reference!$B$2:$B$152)</f>
        <v>Sumatera Utara</v>
      </c>
      <c r="D61" s="82" t="s">
        <v>398</v>
      </c>
      <c r="E61" s="83">
        <v>45352.0</v>
      </c>
      <c r="F61" s="84" t="str">
        <f t="array" ref="F61">XLOOKUP(G61,Reference!$F:$F,Reference!$D:$D,"null")</f>
        <v>Makanan dan Pakaian </v>
      </c>
      <c r="G61" s="85" t="s">
        <v>72</v>
      </c>
      <c r="H61" s="86">
        <v>102.15</v>
      </c>
      <c r="I61" s="86">
        <v>102.15</v>
      </c>
      <c r="J61" s="87">
        <f t="shared" si="2"/>
        <v>0</v>
      </c>
      <c r="K61" s="84" t="str">
        <f t="shared" si="3"/>
        <v>Stabil</v>
      </c>
      <c r="L61" s="84">
        <f t="shared" si="4"/>
        <v>0</v>
      </c>
      <c r="M61" s="88" t="str">
        <f t="shared" si="5"/>
        <v>Perubahan Normal</v>
      </c>
    </row>
    <row r="62" ht="18.75" customHeight="1">
      <c r="A62" s="80" t="s">
        <v>399</v>
      </c>
      <c r="B62" s="81" t="str">
        <f t="shared" si="1"/>
        <v>Sampit</v>
      </c>
      <c r="C62" s="81" t="str">
        <f t="array" ref="C62">XLOOKUP(B62,Reference!$A$2:$A$152,Reference!$B$2:$B$152)</f>
        <v>Kalimantan Tengah</v>
      </c>
      <c r="D62" s="82" t="s">
        <v>400</v>
      </c>
      <c r="E62" s="83">
        <v>45323.0</v>
      </c>
      <c r="F62" s="84" t="str">
        <f t="array" ref="F62">XLOOKUP(G62,Reference!$F:$F,Reference!$D:$D,"null")</f>
        <v>Makanan dan Pakaian </v>
      </c>
      <c r="G62" s="85" t="s">
        <v>48</v>
      </c>
      <c r="H62" s="86">
        <v>104.52</v>
      </c>
      <c r="I62" s="86">
        <v>106.51</v>
      </c>
      <c r="J62" s="87">
        <f t="shared" si="2"/>
        <v>-1.868369167</v>
      </c>
      <c r="K62" s="84" t="str">
        <f t="shared" si="3"/>
        <v>Deflasi</v>
      </c>
      <c r="L62" s="84">
        <f t="shared" si="4"/>
        <v>-1.99</v>
      </c>
      <c r="M62" s="88" t="str">
        <f t="shared" si="5"/>
        <v>Perubahan Normal</v>
      </c>
    </row>
    <row r="63" ht="18.75" customHeight="1">
      <c r="A63" s="80" t="s">
        <v>401</v>
      </c>
      <c r="B63" s="81" t="str">
        <f t="shared" si="1"/>
        <v>Kota Tual</v>
      </c>
      <c r="C63" s="81" t="str">
        <f t="array" ref="C63">XLOOKUP(B63,Reference!$A$2:$A$152,Reference!$B$2:$B$152)</f>
        <v>Maluku</v>
      </c>
      <c r="D63" s="82" t="s">
        <v>402</v>
      </c>
      <c r="E63" s="83">
        <v>45323.0</v>
      </c>
      <c r="F63" s="84" t="str">
        <f t="array" ref="F63">XLOOKUP(G63,Reference!$F:$F,Reference!$D:$D,"null")</f>
        <v>Makanan dan Pakaian </v>
      </c>
      <c r="G63" s="85" t="s">
        <v>64</v>
      </c>
      <c r="H63" s="86">
        <v>98.32</v>
      </c>
      <c r="I63" s="86">
        <v>98.77</v>
      </c>
      <c r="J63" s="87">
        <f t="shared" si="2"/>
        <v>-0.4556039283</v>
      </c>
      <c r="K63" s="84" t="str">
        <f t="shared" si="3"/>
        <v>Deflasi</v>
      </c>
      <c r="L63" s="84">
        <f t="shared" si="4"/>
        <v>-0.45</v>
      </c>
      <c r="M63" s="88" t="str">
        <f t="shared" si="5"/>
        <v>Perubahan Normal</v>
      </c>
    </row>
    <row r="64" ht="18.75" customHeight="1">
      <c r="A64" s="80" t="s">
        <v>340</v>
      </c>
      <c r="B64" s="81" t="str">
        <f t="shared" si="1"/>
        <v>Kab Rembang</v>
      </c>
      <c r="C64" s="81" t="str">
        <f t="array" ref="C64">XLOOKUP(B64,Reference!$A$2:$A$152,Reference!$B$2:$B$152)</f>
        <v>Jawa Tengah</v>
      </c>
      <c r="D64" s="82" t="s">
        <v>403</v>
      </c>
      <c r="E64" s="83">
        <v>45352.0</v>
      </c>
      <c r="F64" s="84" t="str">
        <f t="array" ref="F64">XLOOKUP(G64,Reference!$F:$F,Reference!$D:$D,"null")</f>
        <v>Makanan dan Pakaian </v>
      </c>
      <c r="G64" s="85" t="s">
        <v>64</v>
      </c>
      <c r="H64" s="86">
        <v>110.96</v>
      </c>
      <c r="I64" s="86">
        <v>110.18</v>
      </c>
      <c r="J64" s="87">
        <f t="shared" si="2"/>
        <v>0.7079324741</v>
      </c>
      <c r="K64" s="84" t="str">
        <f t="shared" si="3"/>
        <v>Inflasi Tinggi</v>
      </c>
      <c r="L64" s="84">
        <f t="shared" si="4"/>
        <v>0.78</v>
      </c>
      <c r="M64" s="88" t="str">
        <f t="shared" si="5"/>
        <v>Akselerasi Persentase</v>
      </c>
    </row>
    <row r="65" ht="18.75" customHeight="1">
      <c r="A65" s="80" t="s">
        <v>404</v>
      </c>
      <c r="B65" s="81" t="str">
        <f t="shared" si="1"/>
        <v>Kab Mesuji</v>
      </c>
      <c r="C65" s="81" t="str">
        <f t="array" ref="C65">XLOOKUP(B65,Reference!$A$2:$A$152,Reference!$B$2:$B$152)</f>
        <v>Lampung</v>
      </c>
      <c r="D65" s="82" t="s">
        <v>405</v>
      </c>
      <c r="E65" s="83">
        <v>45323.0</v>
      </c>
      <c r="F65" s="84" t="str">
        <f t="array" ref="F65">XLOOKUP(G65,Reference!$F:$F,Reference!$D:$D,"null")</f>
        <v>Makanan dan Pakaian </v>
      </c>
      <c r="G65" s="85" t="s">
        <v>48</v>
      </c>
      <c r="H65" s="86">
        <v>114.54</v>
      </c>
      <c r="I65" s="86">
        <v>113.48</v>
      </c>
      <c r="J65" s="87">
        <f t="shared" si="2"/>
        <v>0.9340853014</v>
      </c>
      <c r="K65" s="84" t="str">
        <f t="shared" si="3"/>
        <v>Inflasi Tinggi</v>
      </c>
      <c r="L65" s="84">
        <f t="shared" si="4"/>
        <v>1.06</v>
      </c>
      <c r="M65" s="88" t="str">
        <f t="shared" si="5"/>
        <v>Akselerasi Persentase</v>
      </c>
    </row>
    <row r="66" ht="18.75" customHeight="1">
      <c r="A66" s="80" t="s">
        <v>406</v>
      </c>
      <c r="B66" s="81" t="str">
        <f t="shared" si="1"/>
        <v>Kota Tasikmalaya</v>
      </c>
      <c r="C66" s="81" t="str">
        <f t="array" ref="C66">XLOOKUP(B66,Reference!$A$2:$A$152,Reference!$B$2:$B$152)</f>
        <v>Jawa Barat</v>
      </c>
      <c r="D66" s="82" t="s">
        <v>407</v>
      </c>
      <c r="E66" s="83">
        <v>45323.0</v>
      </c>
      <c r="F66" s="84" t="str">
        <f t="array" ref="F66">XLOOKUP(G66,Reference!$F:$F,Reference!$D:$D,"null")</f>
        <v>Rumah Tangga</v>
      </c>
      <c r="G66" s="85" t="s">
        <v>80</v>
      </c>
      <c r="H66" s="86">
        <v>100.04</v>
      </c>
      <c r="I66" s="86">
        <v>100.04</v>
      </c>
      <c r="J66" s="87">
        <f t="shared" si="2"/>
        <v>0</v>
      </c>
      <c r="K66" s="84" t="str">
        <f t="shared" si="3"/>
        <v>Stabil</v>
      </c>
      <c r="L66" s="84">
        <f t="shared" si="4"/>
        <v>0</v>
      </c>
      <c r="M66" s="88" t="str">
        <f t="shared" si="5"/>
        <v>Perubahan Normal</v>
      </c>
    </row>
    <row r="67" ht="18.75" customHeight="1">
      <c r="A67" s="80" t="s">
        <v>408</v>
      </c>
      <c r="B67" s="81" t="str">
        <f t="shared" si="1"/>
        <v>Manokwari</v>
      </c>
      <c r="C67" s="81" t="str">
        <f t="array" ref="C67">XLOOKUP(B67,Reference!$A$2:$A$152,Reference!$B$2:$B$152)</f>
        <v>Papua Barat Daya</v>
      </c>
      <c r="D67" s="82" t="s">
        <v>409</v>
      </c>
      <c r="E67" s="83">
        <v>45323.0</v>
      </c>
      <c r="F67" s="84" t="str">
        <f t="array" ref="F67">XLOOKUP(G67,Reference!$F:$F,Reference!$D:$D,"null")</f>
        <v>Pendidikan dan Kesehatan</v>
      </c>
      <c r="G67" s="85" t="s">
        <v>98</v>
      </c>
      <c r="H67" s="86">
        <v>102.62</v>
      </c>
      <c r="I67" s="86">
        <v>102.62</v>
      </c>
      <c r="J67" s="87">
        <f t="shared" si="2"/>
        <v>0</v>
      </c>
      <c r="K67" s="84" t="str">
        <f t="shared" si="3"/>
        <v>Stabil</v>
      </c>
      <c r="L67" s="84">
        <f t="shared" si="4"/>
        <v>0</v>
      </c>
      <c r="M67" s="88" t="str">
        <f t="shared" si="5"/>
        <v>Perubahan Normal</v>
      </c>
    </row>
    <row r="68" ht="18.75" customHeight="1">
      <c r="A68" s="80" t="s">
        <v>410</v>
      </c>
      <c r="B68" s="81" t="str">
        <f t="shared" si="1"/>
        <v>Meulaboh</v>
      </c>
      <c r="C68" s="81" t="str">
        <f t="array" ref="C68">XLOOKUP(B68,Reference!$A$2:$A$152,Reference!$B$2:$B$152)</f>
        <v>Aceh</v>
      </c>
      <c r="D68" s="82" t="s">
        <v>411</v>
      </c>
      <c r="E68" s="83">
        <v>45323.0</v>
      </c>
      <c r="F68" s="84" t="str">
        <f t="array" ref="F68">XLOOKUP(G68,Reference!$F:$F,Reference!$D:$D,"null")</f>
        <v>Rumah Tangga</v>
      </c>
      <c r="G68" s="85" t="s">
        <v>80</v>
      </c>
      <c r="H68" s="86">
        <v>103.45</v>
      </c>
      <c r="I68" s="86">
        <v>103.45</v>
      </c>
      <c r="J68" s="87">
        <f t="shared" si="2"/>
        <v>0</v>
      </c>
      <c r="K68" s="84" t="str">
        <f t="shared" si="3"/>
        <v>Stabil</v>
      </c>
      <c r="L68" s="84">
        <f t="shared" si="4"/>
        <v>0</v>
      </c>
      <c r="M68" s="88" t="str">
        <f t="shared" si="5"/>
        <v>Perubahan Normal</v>
      </c>
    </row>
    <row r="69" ht="18.75" customHeight="1">
      <c r="A69" s="80" t="s">
        <v>412</v>
      </c>
      <c r="B69" s="81" t="str">
        <f t="shared" si="1"/>
        <v>Cilacap</v>
      </c>
      <c r="C69" s="81" t="str">
        <f t="array" ref="C69">XLOOKUP(B69,Reference!$A$2:$A$152,Reference!$B$2:$B$152)</f>
        <v>Jawa Tengah</v>
      </c>
      <c r="D69" s="82" t="s">
        <v>413</v>
      </c>
      <c r="E69" s="83">
        <v>45323.0</v>
      </c>
      <c r="F69" s="84" t="str">
        <f t="array" ref="F69">XLOOKUP(G69,Reference!$F:$F,Reference!$D:$D,"null")</f>
        <v>Makanan dan Pakaian </v>
      </c>
      <c r="G69" s="85" t="s">
        <v>56</v>
      </c>
      <c r="H69" s="86">
        <v>106.59</v>
      </c>
      <c r="I69" s="86">
        <v>106.57</v>
      </c>
      <c r="J69" s="87">
        <f t="shared" si="2"/>
        <v>0.0187670076</v>
      </c>
      <c r="K69" s="84" t="str">
        <f t="shared" si="3"/>
        <v>Inflasi Normal</v>
      </c>
      <c r="L69" s="84">
        <f t="shared" si="4"/>
        <v>0.02</v>
      </c>
      <c r="M69" s="88" t="str">
        <f t="shared" si="5"/>
        <v>Perubahan Normal</v>
      </c>
    </row>
    <row r="70" ht="18.75" customHeight="1">
      <c r="A70" s="80" t="s">
        <v>414</v>
      </c>
      <c r="B70" s="81" t="str">
        <f t="shared" si="1"/>
        <v>Kota Bandung</v>
      </c>
      <c r="C70" s="81" t="str">
        <f t="array" ref="C70">XLOOKUP(B70,Reference!$A$2:$A$152,Reference!$B$2:$B$152)</f>
        <v>Jawa Barat</v>
      </c>
      <c r="D70" s="82" t="s">
        <v>415</v>
      </c>
      <c r="E70" s="83">
        <v>45352.0</v>
      </c>
      <c r="F70" s="84" t="str">
        <f t="array" ref="F70">XLOOKUP(G70,Reference!$F:$F,Reference!$D:$D,"null")</f>
        <v>Rumah Tangga</v>
      </c>
      <c r="G70" s="89" t="s">
        <v>89</v>
      </c>
      <c r="H70" s="90">
        <v>99.95</v>
      </c>
      <c r="I70" s="90">
        <v>99.95</v>
      </c>
      <c r="J70" s="87">
        <f t="shared" si="2"/>
        <v>0</v>
      </c>
      <c r="K70" s="84" t="str">
        <f t="shared" si="3"/>
        <v>Stabil</v>
      </c>
      <c r="L70" s="91">
        <f t="shared" si="4"/>
        <v>0</v>
      </c>
      <c r="M70" s="88" t="str">
        <f t="shared" si="5"/>
        <v>Perubahan Normal</v>
      </c>
    </row>
    <row r="71" ht="18.75" customHeight="1">
      <c r="A71" s="80" t="s">
        <v>364</v>
      </c>
      <c r="B71" s="81" t="str">
        <f t="shared" si="1"/>
        <v>Kab Tanah Laut</v>
      </c>
      <c r="C71" s="81" t="str">
        <f t="array" ref="C71">XLOOKUP(B71,Reference!$A$2:$A$152,Reference!$B$2:$B$152)</f>
        <v>Kalimantan Selatan</v>
      </c>
      <c r="D71" s="82" t="s">
        <v>416</v>
      </c>
      <c r="E71" s="83">
        <v>45323.0</v>
      </c>
      <c r="F71" s="84" t="str">
        <f t="array" ref="F71">XLOOKUP(G71,Reference!$F:$F,Reference!$D:$D,"null")</f>
        <v>Makanan dan Pakaian </v>
      </c>
      <c r="G71" s="85" t="s">
        <v>72</v>
      </c>
      <c r="H71" s="86">
        <v>105.3</v>
      </c>
      <c r="I71" s="86">
        <v>105.3</v>
      </c>
      <c r="J71" s="87">
        <f t="shared" si="2"/>
        <v>0</v>
      </c>
      <c r="K71" s="84" t="str">
        <f t="shared" si="3"/>
        <v>Stabil</v>
      </c>
      <c r="L71" s="84">
        <f t="shared" si="4"/>
        <v>0</v>
      </c>
      <c r="M71" s="88" t="str">
        <f t="shared" si="5"/>
        <v>Perubahan Normal</v>
      </c>
    </row>
    <row r="72" ht="18.75" customHeight="1">
      <c r="A72" s="80" t="s">
        <v>417</v>
      </c>
      <c r="B72" s="81" t="str">
        <f t="shared" si="1"/>
        <v>Kotabaru</v>
      </c>
      <c r="C72" s="81" t="str">
        <f t="array" ref="C72">XLOOKUP(B72,Reference!$A$2:$A$152,Reference!$B$2:$B$152)</f>
        <v>Kalimantan Selatan</v>
      </c>
      <c r="D72" s="82" t="s">
        <v>418</v>
      </c>
      <c r="E72" s="83">
        <v>45352.0</v>
      </c>
      <c r="F72" s="84" t="str">
        <f t="array" ref="F72">XLOOKUP(G72,Reference!$F:$F,Reference!$D:$D,"null")</f>
        <v>Makanan dan Pakaian </v>
      </c>
      <c r="G72" s="85" t="s">
        <v>64</v>
      </c>
      <c r="H72" s="86">
        <v>106.14</v>
      </c>
      <c r="I72" s="86">
        <v>105.22</v>
      </c>
      <c r="J72" s="87">
        <f t="shared" si="2"/>
        <v>0.874358487</v>
      </c>
      <c r="K72" s="84" t="str">
        <f t="shared" si="3"/>
        <v>Inflasi Tinggi</v>
      </c>
      <c r="L72" s="84">
        <f t="shared" si="4"/>
        <v>0.92</v>
      </c>
      <c r="M72" s="88" t="str">
        <f t="shared" si="5"/>
        <v>Akselerasi Persentase</v>
      </c>
    </row>
    <row r="73" ht="18.75" customHeight="1">
      <c r="A73" s="80" t="s">
        <v>419</v>
      </c>
      <c r="B73" s="81" t="str">
        <f t="shared" si="1"/>
        <v>Kota Singkawang</v>
      </c>
      <c r="C73" s="81" t="str">
        <f t="array" ref="C73">XLOOKUP(B73,Reference!$A$2:$A$152,Reference!$B$2:$B$152)</f>
        <v>Kalimantan Barat</v>
      </c>
      <c r="D73" s="82" t="s">
        <v>420</v>
      </c>
      <c r="E73" s="83">
        <v>45323.0</v>
      </c>
      <c r="F73" s="84" t="str">
        <f t="array" ref="F73">XLOOKUP(G73,Reference!$F:$F,Reference!$D:$D,"null")</f>
        <v>Pendidikan dan Kesehatan</v>
      </c>
      <c r="G73" s="89" t="s">
        <v>98</v>
      </c>
      <c r="H73" s="90">
        <v>101.6</v>
      </c>
      <c r="I73" s="90">
        <v>101.51</v>
      </c>
      <c r="J73" s="87">
        <f t="shared" si="2"/>
        <v>0.08866121564</v>
      </c>
      <c r="K73" s="84" t="str">
        <f t="shared" si="3"/>
        <v>Inflasi Normal</v>
      </c>
      <c r="L73" s="91">
        <f t="shared" si="4"/>
        <v>0.09</v>
      </c>
      <c r="M73" s="88" t="str">
        <f t="shared" si="5"/>
        <v>Perubahan Normal</v>
      </c>
    </row>
    <row r="74" ht="18.75" customHeight="1">
      <c r="A74" s="80" t="s">
        <v>421</v>
      </c>
      <c r="B74" s="81" t="str">
        <f t="shared" si="1"/>
        <v>Kab Halmahera Tengah</v>
      </c>
      <c r="C74" s="81" t="str">
        <f t="array" ref="C74">XLOOKUP(B74,Reference!$A$2:$A$152,Reference!$B$2:$B$152)</f>
        <v>Maluku Utara</v>
      </c>
      <c r="D74" s="82" t="s">
        <v>422</v>
      </c>
      <c r="E74" s="83">
        <v>45323.0</v>
      </c>
      <c r="F74" s="84" t="str">
        <f t="array" ref="F74">XLOOKUP(G74,Reference!$F:$F,Reference!$D:$D,"null")</f>
        <v>Rumah Tangga</v>
      </c>
      <c r="G74" s="85" t="s">
        <v>89</v>
      </c>
      <c r="H74" s="86">
        <v>100.75</v>
      </c>
      <c r="I74" s="86">
        <v>100.79</v>
      </c>
      <c r="J74" s="87">
        <f t="shared" si="2"/>
        <v>-0.03968647683</v>
      </c>
      <c r="K74" s="84" t="str">
        <f t="shared" si="3"/>
        <v>Deflasi</v>
      </c>
      <c r="L74" s="84">
        <f t="shared" si="4"/>
        <v>-0.04</v>
      </c>
      <c r="M74" s="88" t="str">
        <f t="shared" si="5"/>
        <v>Perubahan Normal</v>
      </c>
    </row>
    <row r="75" ht="18.75" customHeight="1">
      <c r="A75" s="80" t="s">
        <v>423</v>
      </c>
      <c r="B75" s="81" t="str">
        <f t="shared" si="1"/>
        <v>Kota Kotamobagu</v>
      </c>
      <c r="C75" s="81" t="str">
        <f t="array" ref="C75">XLOOKUP(B75,Reference!$A$2:$A$152,Reference!$B$2:$B$152)</f>
        <v>Sulawesi Utara</v>
      </c>
      <c r="D75" s="82" t="s">
        <v>424</v>
      </c>
      <c r="E75" s="83">
        <v>45323.0</v>
      </c>
      <c r="F75" s="84" t="str">
        <f t="array" ref="F75">XLOOKUP(G75,Reference!$F:$F,Reference!$D:$D,"null")</f>
        <v>Rumah Tangga</v>
      </c>
      <c r="G75" s="85" t="s">
        <v>80</v>
      </c>
      <c r="H75" s="86">
        <v>107.38</v>
      </c>
      <c r="I75" s="86">
        <v>107.38</v>
      </c>
      <c r="J75" s="87">
        <f t="shared" si="2"/>
        <v>0</v>
      </c>
      <c r="K75" s="84" t="str">
        <f t="shared" si="3"/>
        <v>Stabil</v>
      </c>
      <c r="L75" s="84">
        <f t="shared" si="4"/>
        <v>0</v>
      </c>
      <c r="M75" s="88" t="str">
        <f t="shared" si="5"/>
        <v>Perubahan Normal</v>
      </c>
    </row>
    <row r="76" ht="18.75" customHeight="1">
      <c r="A76" s="80" t="s">
        <v>425</v>
      </c>
      <c r="B76" s="81" t="str">
        <f t="shared" si="1"/>
        <v>Kab Gorontalo</v>
      </c>
      <c r="C76" s="81" t="str">
        <f t="array" ref="C76">XLOOKUP(B76,Reference!$A$2:$A$152,Reference!$B$2:$B$152)</f>
        <v>Gorontalo</v>
      </c>
      <c r="D76" s="82" t="s">
        <v>426</v>
      </c>
      <c r="E76" s="83">
        <v>45323.0</v>
      </c>
      <c r="F76" s="84" t="str">
        <f t="array" ref="F76">XLOOKUP(G76,Reference!$F:$F,Reference!$D:$D,"null")</f>
        <v>Rumah Tangga</v>
      </c>
      <c r="G76" s="85" t="s">
        <v>80</v>
      </c>
      <c r="H76" s="86">
        <v>100.0</v>
      </c>
      <c r="I76" s="86">
        <v>100.0</v>
      </c>
      <c r="J76" s="87">
        <f t="shared" si="2"/>
        <v>0</v>
      </c>
      <c r="K76" s="84" t="str">
        <f t="shared" si="3"/>
        <v>Stabil</v>
      </c>
      <c r="L76" s="84">
        <f t="shared" si="4"/>
        <v>0</v>
      </c>
      <c r="M76" s="88" t="str">
        <f t="shared" si="5"/>
        <v>Perubahan Normal</v>
      </c>
    </row>
    <row r="77" ht="18.75" customHeight="1">
      <c r="A77" s="80" t="s">
        <v>427</v>
      </c>
      <c r="B77" s="81" t="str">
        <f t="shared" si="1"/>
        <v>Kota Malang</v>
      </c>
      <c r="C77" s="81" t="str">
        <f t="array" ref="C77">XLOOKUP(B77,Reference!$A$2:$A$152,Reference!$B$2:$B$152)</f>
        <v>Jawa Timur</v>
      </c>
      <c r="D77" s="82" t="s">
        <v>428</v>
      </c>
      <c r="E77" s="83">
        <v>45352.0</v>
      </c>
      <c r="F77" s="84" t="str">
        <f t="array" ref="F77">XLOOKUP(G77,Reference!$F:$F,Reference!$D:$D,"null")</f>
        <v>Rumah Tangga</v>
      </c>
      <c r="G77" s="85" t="s">
        <v>80</v>
      </c>
      <c r="H77" s="86">
        <v>103.39</v>
      </c>
      <c r="I77" s="86">
        <v>103.39</v>
      </c>
      <c r="J77" s="87">
        <f t="shared" si="2"/>
        <v>0</v>
      </c>
      <c r="K77" s="84" t="str">
        <f t="shared" si="3"/>
        <v>Stabil</v>
      </c>
      <c r="L77" s="84">
        <f t="shared" si="4"/>
        <v>0</v>
      </c>
      <c r="M77" s="88" t="str">
        <f t="shared" si="5"/>
        <v>Perubahan Normal</v>
      </c>
    </row>
    <row r="78" ht="18.75" customHeight="1">
      <c r="A78" s="80" t="s">
        <v>429</v>
      </c>
      <c r="B78" s="81" t="str">
        <f t="shared" si="1"/>
        <v>Kab Nabire</v>
      </c>
      <c r="C78" s="81" t="str">
        <f t="array" ref="C78">XLOOKUP(B78,Reference!$A$2:$A$152,Reference!$B$2:$B$152)</f>
        <v>Papua</v>
      </c>
      <c r="D78" s="82" t="s">
        <v>430</v>
      </c>
      <c r="E78" s="83">
        <v>45323.0</v>
      </c>
      <c r="F78" s="84" t="str">
        <f t="array" ref="F78">XLOOKUP(G78,Reference!$F:$F,Reference!$D:$D,"null")</f>
        <v>Makanan dan Pakaian </v>
      </c>
      <c r="G78" s="85" t="s">
        <v>64</v>
      </c>
      <c r="H78" s="86">
        <v>99.79</v>
      </c>
      <c r="I78" s="86">
        <v>99.81</v>
      </c>
      <c r="J78" s="87">
        <f t="shared" si="2"/>
        <v>-0.02003807234</v>
      </c>
      <c r="K78" s="84" t="str">
        <f t="shared" si="3"/>
        <v>Deflasi</v>
      </c>
      <c r="L78" s="84">
        <f t="shared" si="4"/>
        <v>-0.02</v>
      </c>
      <c r="M78" s="88" t="str">
        <f t="shared" si="5"/>
        <v>Perubahan Normal</v>
      </c>
    </row>
    <row r="79" ht="18.75" customHeight="1">
      <c r="A79" s="80" t="s">
        <v>431</v>
      </c>
      <c r="B79" s="81" t="str">
        <f t="shared" si="1"/>
        <v>Kota Ternate</v>
      </c>
      <c r="C79" s="81" t="str">
        <f t="array" ref="C79">XLOOKUP(B79,Reference!$A$2:$A$152,Reference!$B$2:$B$152)</f>
        <v>Maluku Utara</v>
      </c>
      <c r="D79" s="82" t="s">
        <v>432</v>
      </c>
      <c r="E79" s="83">
        <v>45323.0</v>
      </c>
      <c r="F79" s="84" t="str">
        <f t="array" ref="F79">XLOOKUP(G79,Reference!$F:$F,Reference!$D:$D,"null")</f>
        <v>Rekreasi dan Kendaraan</v>
      </c>
      <c r="G79" s="85" t="s">
        <v>102</v>
      </c>
      <c r="H79" s="86">
        <v>101.33</v>
      </c>
      <c r="I79" s="86">
        <v>101.25</v>
      </c>
      <c r="J79" s="87">
        <f t="shared" si="2"/>
        <v>0.07901234568</v>
      </c>
      <c r="K79" s="84" t="str">
        <f t="shared" si="3"/>
        <v>Inflasi Normal</v>
      </c>
      <c r="L79" s="84">
        <f t="shared" si="4"/>
        <v>0.08</v>
      </c>
      <c r="M79" s="88" t="str">
        <f t="shared" si="5"/>
        <v>Perubahan Normal</v>
      </c>
    </row>
    <row r="80" ht="18.75" customHeight="1">
      <c r="A80" s="80" t="s">
        <v>433</v>
      </c>
      <c r="B80" s="81" t="str">
        <f t="shared" si="1"/>
        <v>Kab Tulungagung</v>
      </c>
      <c r="C80" s="81" t="str">
        <f t="array" ref="C80">XLOOKUP(B80,Reference!$A$2:$A$152,Reference!$B$2:$B$152)</f>
        <v>Jawa Timur</v>
      </c>
      <c r="D80" s="82" t="s">
        <v>434</v>
      </c>
      <c r="E80" s="83">
        <v>45323.0</v>
      </c>
      <c r="F80" s="84" t="str">
        <f t="array" ref="F80">XLOOKUP(G80,Reference!$F:$F,Reference!$D:$D,"null")</f>
        <v>Makanan dan Pakaian </v>
      </c>
      <c r="G80" s="85" t="s">
        <v>56</v>
      </c>
      <c r="H80" s="86">
        <v>97.66</v>
      </c>
      <c r="I80" s="86">
        <v>97.66</v>
      </c>
      <c r="J80" s="87">
        <f t="shared" si="2"/>
        <v>0</v>
      </c>
      <c r="K80" s="84" t="str">
        <f t="shared" si="3"/>
        <v>Stabil</v>
      </c>
      <c r="L80" s="84">
        <f t="shared" si="4"/>
        <v>0</v>
      </c>
      <c r="M80" s="88" t="str">
        <f t="shared" si="5"/>
        <v>Perubahan Normal</v>
      </c>
    </row>
    <row r="81" ht="18.75" customHeight="1">
      <c r="A81" s="80" t="s">
        <v>324</v>
      </c>
      <c r="B81" s="81" t="str">
        <f t="shared" si="1"/>
        <v>Kab Nunukan</v>
      </c>
      <c r="C81" s="81" t="str">
        <f t="array" ref="C81">XLOOKUP(B81,Reference!$A$2:$A$152,Reference!$B$2:$B$152)</f>
        <v>Kalimantan Utara</v>
      </c>
      <c r="D81" s="82" t="s">
        <v>435</v>
      </c>
      <c r="E81" s="83">
        <v>45352.0</v>
      </c>
      <c r="F81" s="84" t="str">
        <f t="array" ref="F81">XLOOKUP(G81,Reference!$F:$F,Reference!$D:$D,"null")</f>
        <v>Rekreasi dan Kendaraan</v>
      </c>
      <c r="G81" s="89" t="s">
        <v>105</v>
      </c>
      <c r="H81" s="90">
        <v>104.99</v>
      </c>
      <c r="I81" s="90">
        <v>104.59</v>
      </c>
      <c r="J81" s="87">
        <f t="shared" si="2"/>
        <v>0.3824457405</v>
      </c>
      <c r="K81" s="84" t="str">
        <f t="shared" si="3"/>
        <v>Inflasi Normal</v>
      </c>
      <c r="L81" s="91">
        <f t="shared" si="4"/>
        <v>0.4</v>
      </c>
      <c r="M81" s="88" t="str">
        <f t="shared" si="5"/>
        <v>Perubahan Normal</v>
      </c>
    </row>
    <row r="82" ht="18.75" customHeight="1">
      <c r="A82" s="80" t="s">
        <v>353</v>
      </c>
      <c r="B82" s="81" t="str">
        <f t="shared" si="1"/>
        <v>Kota Bau Bau</v>
      </c>
      <c r="C82" s="81" t="str">
        <f t="array" ref="C82">XLOOKUP(B82,Reference!$A$2:$A$152,Reference!$B$2:$B$152)</f>
        <v>Sulawesi Tenggara</v>
      </c>
      <c r="D82" s="82" t="s">
        <v>436</v>
      </c>
      <c r="E82" s="83">
        <v>45323.0</v>
      </c>
      <c r="F82" s="84" t="str">
        <f t="array" ref="F82">XLOOKUP(G82,Reference!$F:$F,Reference!$D:$D,"null")</f>
        <v>Makanan dan Pakaian </v>
      </c>
      <c r="G82" s="85" t="s">
        <v>56</v>
      </c>
      <c r="H82" s="86">
        <v>101.49</v>
      </c>
      <c r="I82" s="86">
        <v>101.49</v>
      </c>
      <c r="J82" s="87">
        <f t="shared" si="2"/>
        <v>0</v>
      </c>
      <c r="K82" s="84" t="str">
        <f t="shared" si="3"/>
        <v>Stabil</v>
      </c>
      <c r="L82" s="84">
        <f t="shared" si="4"/>
        <v>0</v>
      </c>
      <c r="M82" s="88" t="str">
        <f t="shared" si="5"/>
        <v>Perubahan Normal</v>
      </c>
    </row>
    <row r="83" ht="18.75" customHeight="1">
      <c r="A83" s="80" t="s">
        <v>374</v>
      </c>
      <c r="B83" s="81" t="str">
        <f t="shared" si="1"/>
        <v>Kab Majalengka</v>
      </c>
      <c r="C83" s="81" t="str">
        <f t="array" ref="C83">XLOOKUP(B83,Reference!$A$2:$A$152,Reference!$B$2:$B$152)</f>
        <v>Jawa Barat</v>
      </c>
      <c r="D83" s="82" t="s">
        <v>437</v>
      </c>
      <c r="E83" s="83">
        <v>45323.0</v>
      </c>
      <c r="F83" s="84" t="str">
        <f t="array" ref="F83">XLOOKUP(G83,Reference!$F:$F,Reference!$D:$D,"null")</f>
        <v>Makanan dan Pakaian </v>
      </c>
      <c r="G83" s="85" t="s">
        <v>56</v>
      </c>
      <c r="H83" s="86">
        <v>107.24</v>
      </c>
      <c r="I83" s="86">
        <v>107.16</v>
      </c>
      <c r="J83" s="87">
        <f t="shared" si="2"/>
        <v>0.07465472191</v>
      </c>
      <c r="K83" s="84" t="str">
        <f t="shared" si="3"/>
        <v>Inflasi Normal</v>
      </c>
      <c r="L83" s="84">
        <f t="shared" si="4"/>
        <v>0.08</v>
      </c>
      <c r="M83" s="88" t="str">
        <f t="shared" si="5"/>
        <v>Perubahan Normal</v>
      </c>
    </row>
    <row r="84" ht="18.75" customHeight="1">
      <c r="A84" s="80" t="s">
        <v>438</v>
      </c>
      <c r="B84" s="81" t="str">
        <f t="shared" si="1"/>
        <v>Kab Muara Enim</v>
      </c>
      <c r="C84" s="81" t="str">
        <f t="array" ref="C84">XLOOKUP(B84,Reference!$A$2:$A$152,Reference!$B$2:$B$152)</f>
        <v>Sumatera Selatan</v>
      </c>
      <c r="D84" s="82" t="s">
        <v>439</v>
      </c>
      <c r="E84" s="83">
        <v>45352.0</v>
      </c>
      <c r="F84" s="84" t="str">
        <f t="array" ref="F84">XLOOKUP(G84,Reference!$F:$F,Reference!$D:$D,"null")</f>
        <v>Makanan dan Pakaian </v>
      </c>
      <c r="G84" s="89" t="s">
        <v>48</v>
      </c>
      <c r="H84" s="90">
        <v>107.13</v>
      </c>
      <c r="I84" s="90">
        <v>109.35</v>
      </c>
      <c r="J84" s="87">
        <f t="shared" si="2"/>
        <v>-2.030178326</v>
      </c>
      <c r="K84" s="84" t="str">
        <f t="shared" si="3"/>
        <v>Deflasi</v>
      </c>
      <c r="L84" s="91">
        <f t="shared" si="4"/>
        <v>-2.22</v>
      </c>
      <c r="M84" s="88" t="str">
        <f t="shared" si="5"/>
        <v>Perubahan Normal</v>
      </c>
    </row>
    <row r="85" ht="18.75" customHeight="1">
      <c r="A85" s="80" t="s">
        <v>326</v>
      </c>
      <c r="B85" s="81" t="str">
        <f t="shared" si="1"/>
        <v>Luwuk</v>
      </c>
      <c r="C85" s="81" t="str">
        <f t="array" ref="C85">XLOOKUP(B85,Reference!$A$2:$A$152,Reference!$B$2:$B$152)</f>
        <v>Sulawesi Tengah</v>
      </c>
      <c r="D85" s="82" t="s">
        <v>440</v>
      </c>
      <c r="E85" s="83">
        <v>45352.0</v>
      </c>
      <c r="F85" s="84" t="str">
        <f t="array" ref="F85">XLOOKUP(G85,Reference!$F:$F,Reference!$D:$D,"null")</f>
        <v>Makanan dan Pakaian </v>
      </c>
      <c r="G85" s="85" t="s">
        <v>72</v>
      </c>
      <c r="H85" s="86">
        <v>94.7</v>
      </c>
      <c r="I85" s="86">
        <v>94.84</v>
      </c>
      <c r="J85" s="87">
        <f t="shared" si="2"/>
        <v>-0.1476170392</v>
      </c>
      <c r="K85" s="84" t="str">
        <f t="shared" si="3"/>
        <v>Deflasi</v>
      </c>
      <c r="L85" s="84">
        <f t="shared" si="4"/>
        <v>-0.14</v>
      </c>
      <c r="M85" s="88" t="str">
        <f t="shared" si="5"/>
        <v>Perubahan Normal</v>
      </c>
    </row>
    <row r="86" ht="18.75" customHeight="1">
      <c r="A86" s="80" t="s">
        <v>412</v>
      </c>
      <c r="B86" s="81" t="str">
        <f t="shared" si="1"/>
        <v>Cilacap</v>
      </c>
      <c r="C86" s="81" t="str">
        <f t="array" ref="C86">XLOOKUP(B86,Reference!$A$2:$A$152,Reference!$B$2:$B$152)</f>
        <v>Jawa Tengah</v>
      </c>
      <c r="D86" s="82" t="s">
        <v>441</v>
      </c>
      <c r="E86" s="83">
        <v>45323.0</v>
      </c>
      <c r="F86" s="84" t="str">
        <f t="array" ref="F86">XLOOKUP(G86,Reference!$F:$F,Reference!$D:$D,"null")</f>
        <v>Pendidikan dan Kesehatan</v>
      </c>
      <c r="G86" s="85" t="s">
        <v>95</v>
      </c>
      <c r="H86" s="86">
        <v>102.22</v>
      </c>
      <c r="I86" s="86">
        <v>102.22</v>
      </c>
      <c r="J86" s="87">
        <f t="shared" si="2"/>
        <v>0</v>
      </c>
      <c r="K86" s="84" t="str">
        <f t="shared" si="3"/>
        <v>Stabil</v>
      </c>
      <c r="L86" s="84">
        <f t="shared" si="4"/>
        <v>0</v>
      </c>
      <c r="M86" s="88" t="str">
        <f t="shared" si="5"/>
        <v>Perubahan Normal</v>
      </c>
    </row>
    <row r="87" ht="18.75" customHeight="1">
      <c r="A87" s="80" t="s">
        <v>442</v>
      </c>
      <c r="B87" s="81" t="str">
        <f t="shared" si="1"/>
        <v>Kota Cirebon</v>
      </c>
      <c r="C87" s="81" t="str">
        <f t="array" ref="C87">XLOOKUP(B87,Reference!$A$2:$A$152,Reference!$B$2:$B$152)</f>
        <v>Jawa Barat</v>
      </c>
      <c r="D87" s="82" t="s">
        <v>443</v>
      </c>
      <c r="E87" s="83">
        <v>45323.0</v>
      </c>
      <c r="F87" s="84" t="str">
        <f t="array" ref="F87">XLOOKUP(G87,Reference!$F:$F,Reference!$D:$D,"null")</f>
        <v>Makanan dan Pakaian </v>
      </c>
      <c r="G87" s="85" t="s">
        <v>64</v>
      </c>
      <c r="H87" s="86">
        <v>102.0</v>
      </c>
      <c r="I87" s="86">
        <v>101.98</v>
      </c>
      <c r="J87" s="87">
        <f t="shared" si="2"/>
        <v>0.01961168857</v>
      </c>
      <c r="K87" s="84" t="str">
        <f t="shared" si="3"/>
        <v>Inflasi Normal</v>
      </c>
      <c r="L87" s="84">
        <f t="shared" si="4"/>
        <v>0.02</v>
      </c>
      <c r="M87" s="88" t="str">
        <f t="shared" si="5"/>
        <v>Perubahan Normal</v>
      </c>
    </row>
    <row r="88" ht="18.75" customHeight="1">
      <c r="A88" s="80" t="s">
        <v>408</v>
      </c>
      <c r="B88" s="81" t="str">
        <f t="shared" si="1"/>
        <v>Manokwari</v>
      </c>
      <c r="C88" s="81" t="str">
        <f t="array" ref="C88">XLOOKUP(B88,Reference!$A$2:$A$152,Reference!$B$2:$B$152)</f>
        <v>Papua Barat Daya</v>
      </c>
      <c r="D88" s="82" t="s">
        <v>444</v>
      </c>
      <c r="E88" s="83">
        <v>45352.0</v>
      </c>
      <c r="F88" s="84" t="str">
        <f t="array" ref="F88">XLOOKUP(G88,Reference!$F:$F,Reference!$D:$D,"null")</f>
        <v>Pendidikan dan Kesehatan</v>
      </c>
      <c r="G88" s="89" t="s">
        <v>98</v>
      </c>
      <c r="H88" s="90">
        <v>102.76</v>
      </c>
      <c r="I88" s="90">
        <v>102.62</v>
      </c>
      <c r="J88" s="87">
        <f t="shared" si="2"/>
        <v>0.136425648</v>
      </c>
      <c r="K88" s="84" t="str">
        <f t="shared" si="3"/>
        <v>Inflasi Normal</v>
      </c>
      <c r="L88" s="91">
        <f t="shared" si="4"/>
        <v>0.14</v>
      </c>
      <c r="M88" s="88" t="str">
        <f t="shared" si="5"/>
        <v>Perubahan Normal</v>
      </c>
    </row>
    <row r="89" ht="18.75" customHeight="1">
      <c r="A89" s="80" t="s">
        <v>445</v>
      </c>
      <c r="B89" s="81" t="str">
        <f t="shared" si="1"/>
        <v>Kab Bangka Barat</v>
      </c>
      <c r="C89" s="81" t="str">
        <f t="array" ref="C89">XLOOKUP(B89,Reference!$A$2:$A$152,Reference!$B$2:$B$152)</f>
        <v>Kepulauan Bangka Belitung</v>
      </c>
      <c r="D89" s="82" t="s">
        <v>446</v>
      </c>
      <c r="E89" s="83">
        <v>45352.0</v>
      </c>
      <c r="F89" s="84" t="str">
        <f t="array" ref="F89">XLOOKUP(G89,Reference!$F:$F,Reference!$D:$D,"null")</f>
        <v>Rekreasi dan Kendaraan</v>
      </c>
      <c r="G89" s="85" t="s">
        <v>105</v>
      </c>
      <c r="H89" s="86">
        <v>100.38</v>
      </c>
      <c r="I89" s="86">
        <v>100.38</v>
      </c>
      <c r="J89" s="87">
        <f t="shared" si="2"/>
        <v>0</v>
      </c>
      <c r="K89" s="84" t="str">
        <f t="shared" si="3"/>
        <v>Stabil</v>
      </c>
      <c r="L89" s="84">
        <f t="shared" si="4"/>
        <v>0</v>
      </c>
      <c r="M89" s="88" t="str">
        <f t="shared" si="5"/>
        <v>Perubahan Normal</v>
      </c>
    </row>
    <row r="90" ht="18.75" customHeight="1">
      <c r="A90" s="80" t="s">
        <v>419</v>
      </c>
      <c r="B90" s="81" t="str">
        <f t="shared" si="1"/>
        <v>Kota Singkawang</v>
      </c>
      <c r="C90" s="81" t="str">
        <f t="array" ref="C90">XLOOKUP(B90,Reference!$A$2:$A$152,Reference!$B$2:$B$152)</f>
        <v>Kalimantan Barat</v>
      </c>
      <c r="D90" s="82" t="s">
        <v>447</v>
      </c>
      <c r="E90" s="83">
        <v>45323.0</v>
      </c>
      <c r="F90" s="84" t="str">
        <f t="array" ref="F90">XLOOKUP(G90,Reference!$F:$F,Reference!$D:$D,"null")</f>
        <v>Pendidikan dan Kesehatan</v>
      </c>
      <c r="G90" s="85" t="s">
        <v>95</v>
      </c>
      <c r="H90" s="86">
        <v>102.77</v>
      </c>
      <c r="I90" s="86">
        <v>102.77</v>
      </c>
      <c r="J90" s="87">
        <f t="shared" si="2"/>
        <v>0</v>
      </c>
      <c r="K90" s="84" t="str">
        <f t="shared" si="3"/>
        <v>Stabil</v>
      </c>
      <c r="L90" s="84">
        <f t="shared" si="4"/>
        <v>0</v>
      </c>
      <c r="M90" s="88" t="str">
        <f t="shared" si="5"/>
        <v>Perubahan Normal</v>
      </c>
    </row>
    <row r="91" ht="18.75" customHeight="1">
      <c r="A91" s="80" t="s">
        <v>448</v>
      </c>
      <c r="B91" s="81" t="str">
        <f t="shared" si="1"/>
        <v>Tanjung Selor</v>
      </c>
      <c r="C91" s="81" t="str">
        <f t="array" ref="C91">XLOOKUP(B91,Reference!$A$2:$A$152,Reference!$B$2:$B$152)</f>
        <v>Kalimantan Utara</v>
      </c>
      <c r="D91" s="82" t="s">
        <v>449</v>
      </c>
      <c r="E91" s="83">
        <v>45352.0</v>
      </c>
      <c r="F91" s="84" t="str">
        <f t="array" ref="F91">XLOOKUP(G91,Reference!$F:$F,Reference!$D:$D,"null")</f>
        <v>Makanan dan Pakaian </v>
      </c>
      <c r="G91" s="85" t="s">
        <v>72</v>
      </c>
      <c r="H91" s="86">
        <v>101.8</v>
      </c>
      <c r="I91" s="86">
        <v>101.8</v>
      </c>
      <c r="J91" s="87">
        <f t="shared" si="2"/>
        <v>0</v>
      </c>
      <c r="K91" s="84" t="str">
        <f t="shared" si="3"/>
        <v>Stabil</v>
      </c>
      <c r="L91" s="84">
        <f t="shared" si="4"/>
        <v>0</v>
      </c>
      <c r="M91" s="88" t="str">
        <f t="shared" si="5"/>
        <v>Perubahan Normal</v>
      </c>
    </row>
    <row r="92" ht="18.75" customHeight="1">
      <c r="A92" s="80" t="s">
        <v>450</v>
      </c>
      <c r="B92" s="81" t="str">
        <f t="shared" si="1"/>
        <v>Waingapu</v>
      </c>
      <c r="C92" s="81" t="str">
        <f t="array" ref="C92">XLOOKUP(B92,Reference!$A$2:$A$152,Reference!$B$2:$B$152)</f>
        <v>Nusa Tenggara Timur (NTT)</v>
      </c>
      <c r="D92" s="82" t="s">
        <v>451</v>
      </c>
      <c r="E92" s="83">
        <v>45323.0</v>
      </c>
      <c r="F92" s="84" t="str">
        <f t="array" ref="F92">XLOOKUP(G92,Reference!$F:$F,Reference!$D:$D,"null")</f>
        <v>Rekreasi dan Kendaraan</v>
      </c>
      <c r="G92" s="85" t="s">
        <v>102</v>
      </c>
      <c r="H92" s="86">
        <v>101.08</v>
      </c>
      <c r="I92" s="86">
        <v>101.08</v>
      </c>
      <c r="J92" s="87">
        <f t="shared" si="2"/>
        <v>0</v>
      </c>
      <c r="K92" s="84" t="str">
        <f t="shared" si="3"/>
        <v>Stabil</v>
      </c>
      <c r="L92" s="84">
        <f t="shared" si="4"/>
        <v>0</v>
      </c>
      <c r="M92" s="88" t="str">
        <f t="shared" si="5"/>
        <v>Perubahan Normal</v>
      </c>
    </row>
    <row r="93" ht="18.75" customHeight="1">
      <c r="A93" s="80" t="s">
        <v>376</v>
      </c>
      <c r="B93" s="81" t="str">
        <f t="shared" si="1"/>
        <v>Bulukumba</v>
      </c>
      <c r="C93" s="81" t="str">
        <f t="array" ref="C93">XLOOKUP(B93,Reference!$A$2:$A$152,Reference!$B$2:$B$152)</f>
        <v>Sulawesi Selatan</v>
      </c>
      <c r="D93" s="82" t="s">
        <v>452</v>
      </c>
      <c r="E93" s="83">
        <v>45352.0</v>
      </c>
      <c r="F93" s="84" t="str">
        <f t="array" ref="F93">XLOOKUP(G93,Reference!$F:$F,Reference!$D:$D,"null")</f>
        <v>Pendidikan dan Kesehatan</v>
      </c>
      <c r="G93" s="85" t="s">
        <v>95</v>
      </c>
      <c r="H93" s="86">
        <v>100.2</v>
      </c>
      <c r="I93" s="86">
        <v>100.2</v>
      </c>
      <c r="J93" s="87">
        <f t="shared" si="2"/>
        <v>0</v>
      </c>
      <c r="K93" s="84" t="str">
        <f t="shared" si="3"/>
        <v>Stabil</v>
      </c>
      <c r="L93" s="84">
        <f t="shared" si="4"/>
        <v>0</v>
      </c>
      <c r="M93" s="88" t="str">
        <f t="shared" si="5"/>
        <v>Perubahan Normal</v>
      </c>
    </row>
    <row r="94" ht="18.75" customHeight="1">
      <c r="A94" s="80" t="s">
        <v>370</v>
      </c>
      <c r="B94" s="81" t="str">
        <f t="shared" si="1"/>
        <v>Jember</v>
      </c>
      <c r="C94" s="81" t="str">
        <f t="array" ref="C94">XLOOKUP(B94,Reference!$A$2:$A$152,Reference!$B$2:$B$152)</f>
        <v>Jawa Timur</v>
      </c>
      <c r="D94" s="82" t="s">
        <v>453</v>
      </c>
      <c r="E94" s="83">
        <v>45352.0</v>
      </c>
      <c r="F94" s="84" t="str">
        <f t="array" ref="F94">XLOOKUP(G94,Reference!$F:$F,Reference!$D:$D,"null")</f>
        <v>Rumah Tangga</v>
      </c>
      <c r="G94" s="85" t="s">
        <v>84</v>
      </c>
      <c r="H94" s="86">
        <v>100.72</v>
      </c>
      <c r="I94" s="86">
        <v>100.77</v>
      </c>
      <c r="J94" s="87">
        <f t="shared" si="2"/>
        <v>-0.04961794185</v>
      </c>
      <c r="K94" s="84" t="str">
        <f t="shared" si="3"/>
        <v>Deflasi</v>
      </c>
      <c r="L94" s="84">
        <f t="shared" si="4"/>
        <v>-0.05</v>
      </c>
      <c r="M94" s="88" t="str">
        <f t="shared" si="5"/>
        <v>Perubahan Normal</v>
      </c>
    </row>
    <row r="95" ht="18.75" customHeight="1">
      <c r="A95" s="80" t="s">
        <v>454</v>
      </c>
      <c r="B95" s="81" t="str">
        <f t="shared" si="1"/>
        <v>Kab Ketapang</v>
      </c>
      <c r="C95" s="81" t="str">
        <f t="array" ref="C95">XLOOKUP(B95,Reference!$A$2:$A$152,Reference!$B$2:$B$152)</f>
        <v>Kalimantan Barat</v>
      </c>
      <c r="D95" s="82" t="s">
        <v>455</v>
      </c>
      <c r="E95" s="83">
        <v>45352.0</v>
      </c>
      <c r="F95" s="84" t="str">
        <f t="array" ref="F95">XLOOKUP(G95,Reference!$F:$F,Reference!$D:$D,"null")</f>
        <v>Makanan dan Pakaian </v>
      </c>
      <c r="G95" s="85" t="s">
        <v>48</v>
      </c>
      <c r="H95" s="86">
        <v>108.45</v>
      </c>
      <c r="I95" s="86">
        <v>107.69</v>
      </c>
      <c r="J95" s="87">
        <f t="shared" si="2"/>
        <v>0.7057294085</v>
      </c>
      <c r="K95" s="84" t="str">
        <f t="shared" si="3"/>
        <v>Inflasi Tinggi</v>
      </c>
      <c r="L95" s="84">
        <f t="shared" si="4"/>
        <v>0.76</v>
      </c>
      <c r="M95" s="88" t="str">
        <f t="shared" si="5"/>
        <v>Akselerasi Persentase</v>
      </c>
    </row>
    <row r="96" ht="18.75" customHeight="1">
      <c r="A96" s="80" t="s">
        <v>456</v>
      </c>
      <c r="B96" s="81" t="str">
        <f t="shared" si="1"/>
        <v>Kab Aceh Tamiang</v>
      </c>
      <c r="C96" s="81" t="str">
        <f t="array" ref="C96">XLOOKUP(B96,Reference!$A$2:$A$152,Reference!$B$2:$B$152)</f>
        <v>Aceh</v>
      </c>
      <c r="D96" s="82" t="s">
        <v>457</v>
      </c>
      <c r="E96" s="83">
        <v>45352.0</v>
      </c>
      <c r="F96" s="84" t="str">
        <f t="array" ref="F96">XLOOKUP(G96,Reference!$F:$F,Reference!$D:$D,"null")</f>
        <v>Makanan dan Pakaian </v>
      </c>
      <c r="G96" s="85" t="s">
        <v>48</v>
      </c>
      <c r="H96" s="86">
        <v>109.31</v>
      </c>
      <c r="I96" s="86">
        <v>107.36</v>
      </c>
      <c r="J96" s="87">
        <f t="shared" si="2"/>
        <v>1.816318927</v>
      </c>
      <c r="K96" s="84" t="str">
        <f t="shared" si="3"/>
        <v>Inflasi Tinggi</v>
      </c>
      <c r="L96" s="84">
        <f t="shared" si="4"/>
        <v>1.95</v>
      </c>
      <c r="M96" s="88" t="str">
        <f t="shared" si="5"/>
        <v>Akselerasi Persentase</v>
      </c>
    </row>
    <row r="97" ht="18.75" customHeight="1">
      <c r="A97" s="80" t="s">
        <v>458</v>
      </c>
      <c r="B97" s="81" t="str">
        <f t="shared" si="1"/>
        <v>Kota Dumai</v>
      </c>
      <c r="C97" s="81" t="str">
        <f t="array" ref="C97">XLOOKUP(B97,Reference!$A$2:$A$152,Reference!$B$2:$B$152)</f>
        <v>Riau</v>
      </c>
      <c r="D97" s="82" t="s">
        <v>459</v>
      </c>
      <c r="E97" s="83">
        <v>45323.0</v>
      </c>
      <c r="F97" s="84" t="str">
        <f t="array" ref="F97">XLOOKUP(G97,Reference!$F:$F,Reference!$D:$D,"null")</f>
        <v>Makanan dan Pakaian </v>
      </c>
      <c r="G97" s="85" t="s">
        <v>48</v>
      </c>
      <c r="H97" s="86">
        <v>107.24</v>
      </c>
      <c r="I97" s="86">
        <v>105.69</v>
      </c>
      <c r="J97" s="87">
        <f t="shared" si="2"/>
        <v>1.466553127</v>
      </c>
      <c r="K97" s="84" t="str">
        <f t="shared" si="3"/>
        <v>Inflasi Tinggi</v>
      </c>
      <c r="L97" s="84">
        <f t="shared" si="4"/>
        <v>1.55</v>
      </c>
      <c r="M97" s="88" t="str">
        <f t="shared" si="5"/>
        <v>Akselerasi Persentase</v>
      </c>
    </row>
    <row r="98" ht="18.75" customHeight="1">
      <c r="A98" s="80" t="s">
        <v>460</v>
      </c>
      <c r="B98" s="81" t="str">
        <f t="shared" si="1"/>
        <v>Kab Kayong Utara</v>
      </c>
      <c r="C98" s="81" t="str">
        <f t="array" ref="C98">XLOOKUP(B98,Reference!$A$2:$A$152,Reference!$B$2:$B$152)</f>
        <v>Kalimantan Barat</v>
      </c>
      <c r="D98" s="82" t="s">
        <v>461</v>
      </c>
      <c r="E98" s="83">
        <v>45352.0</v>
      </c>
      <c r="F98" s="84" t="str">
        <f t="array" ref="F98">XLOOKUP(G98,Reference!$F:$F,Reference!$D:$D,"null")</f>
        <v>Makanan dan Pakaian </v>
      </c>
      <c r="G98" s="85" t="s">
        <v>48</v>
      </c>
      <c r="H98" s="86">
        <v>105.94</v>
      </c>
      <c r="I98" s="86">
        <v>105.01</v>
      </c>
      <c r="J98" s="87">
        <f t="shared" si="2"/>
        <v>0.88562994</v>
      </c>
      <c r="K98" s="84" t="str">
        <f t="shared" si="3"/>
        <v>Inflasi Tinggi</v>
      </c>
      <c r="L98" s="84">
        <f t="shared" si="4"/>
        <v>0.93</v>
      </c>
      <c r="M98" s="88" t="str">
        <f t="shared" si="5"/>
        <v>Akselerasi Persentase</v>
      </c>
    </row>
    <row r="99" ht="18.75" customHeight="1">
      <c r="A99" s="80" t="s">
        <v>462</v>
      </c>
      <c r="B99" s="81" t="str">
        <f t="shared" si="1"/>
        <v>Kota Probolinggo</v>
      </c>
      <c r="C99" s="81" t="str">
        <f t="array" ref="C99">XLOOKUP(B99,Reference!$A$2:$A$152,Reference!$B$2:$B$152)</f>
        <v>Jawa Timur</v>
      </c>
      <c r="D99" s="82" t="s">
        <v>463</v>
      </c>
      <c r="E99" s="83">
        <v>45323.0</v>
      </c>
      <c r="F99" s="84" t="str">
        <f t="array" ref="F99">XLOOKUP(G99,Reference!$F:$F,Reference!$D:$D,"null")</f>
        <v>Makanan dan Pakaian </v>
      </c>
      <c r="G99" s="85" t="s">
        <v>64</v>
      </c>
      <c r="H99" s="86">
        <v>104.0</v>
      </c>
      <c r="I99" s="86">
        <v>103.65</v>
      </c>
      <c r="J99" s="87">
        <f t="shared" si="2"/>
        <v>0.3376748673</v>
      </c>
      <c r="K99" s="84" t="str">
        <f t="shared" si="3"/>
        <v>Inflasi Normal</v>
      </c>
      <c r="L99" s="84">
        <f t="shared" si="4"/>
        <v>0.35</v>
      </c>
      <c r="M99" s="88" t="str">
        <f t="shared" si="5"/>
        <v>Perubahan Normal</v>
      </c>
    </row>
    <row r="100" ht="18.75" customHeight="1">
      <c r="A100" s="80" t="s">
        <v>376</v>
      </c>
      <c r="B100" s="81" t="str">
        <f t="shared" si="1"/>
        <v>Bulukumba</v>
      </c>
      <c r="C100" s="81" t="str">
        <f t="array" ref="C100">XLOOKUP(B100,Reference!$A$2:$A$152,Reference!$B$2:$B$152)</f>
        <v>Sulawesi Selatan</v>
      </c>
      <c r="D100" s="82" t="s">
        <v>464</v>
      </c>
      <c r="E100" s="83">
        <v>45323.0</v>
      </c>
      <c r="F100" s="84" t="str">
        <f t="array" ref="F100">XLOOKUP(G100,Reference!$F:$F,Reference!$D:$D,"null")</f>
        <v>Rumah Tangga</v>
      </c>
      <c r="G100" s="85" t="s">
        <v>84</v>
      </c>
      <c r="H100" s="86">
        <v>99.26</v>
      </c>
      <c r="I100" s="86">
        <v>99.26</v>
      </c>
      <c r="J100" s="87">
        <f t="shared" si="2"/>
        <v>0</v>
      </c>
      <c r="K100" s="84" t="str">
        <f t="shared" si="3"/>
        <v>Stabil</v>
      </c>
      <c r="L100" s="84">
        <f t="shared" si="4"/>
        <v>0</v>
      </c>
      <c r="M100" s="88" t="str">
        <f t="shared" si="5"/>
        <v>Perubahan Normal</v>
      </c>
    </row>
    <row r="101" ht="18.75" customHeight="1">
      <c r="A101" s="80" t="s">
        <v>442</v>
      </c>
      <c r="B101" s="81" t="str">
        <f t="shared" si="1"/>
        <v>Kota Cirebon</v>
      </c>
      <c r="C101" s="81" t="str">
        <f t="array" ref="C101">XLOOKUP(B101,Reference!$A$2:$A$152,Reference!$B$2:$B$152)</f>
        <v>Jawa Barat</v>
      </c>
      <c r="D101" s="82" t="s">
        <v>465</v>
      </c>
      <c r="E101" s="83">
        <v>45352.0</v>
      </c>
      <c r="F101" s="84" t="str">
        <f t="array" ref="F101">XLOOKUP(G101,Reference!$F:$F,Reference!$D:$D,"null")</f>
        <v>Rekreasi dan Kendaraan</v>
      </c>
      <c r="G101" s="85" t="s">
        <v>102</v>
      </c>
      <c r="H101" s="86">
        <v>102.57</v>
      </c>
      <c r="I101" s="86">
        <v>102.61</v>
      </c>
      <c r="J101" s="87">
        <f t="shared" si="2"/>
        <v>-0.03898255531</v>
      </c>
      <c r="K101" s="84" t="str">
        <f t="shared" si="3"/>
        <v>Deflasi</v>
      </c>
      <c r="L101" s="84">
        <f t="shared" si="4"/>
        <v>-0.04</v>
      </c>
      <c r="M101" s="88" t="str">
        <f t="shared" si="5"/>
        <v>Perubahan Normal</v>
      </c>
    </row>
    <row r="102" ht="18.75" customHeight="1">
      <c r="A102" s="80" t="s">
        <v>466</v>
      </c>
      <c r="B102" s="81" t="str">
        <f t="shared" si="1"/>
        <v>Kota Surabaya</v>
      </c>
      <c r="C102" s="81" t="str">
        <f t="array" ref="C102">XLOOKUP(B102,Reference!$A$2:$A$152,Reference!$B$2:$B$152)</f>
        <v>Jawa Timur</v>
      </c>
      <c r="D102" s="82" t="s">
        <v>467</v>
      </c>
      <c r="E102" s="83">
        <v>45323.0</v>
      </c>
      <c r="F102" s="84" t="str">
        <f t="array" ref="F102">XLOOKUP(G102,Reference!$F:$F,Reference!$D:$D,"null")</f>
        <v>Pendidikan dan Kesehatan</v>
      </c>
      <c r="G102" s="85" t="s">
        <v>98</v>
      </c>
      <c r="H102" s="86">
        <v>107.28</v>
      </c>
      <c r="I102" s="86">
        <v>107.0</v>
      </c>
      <c r="J102" s="87">
        <f t="shared" si="2"/>
        <v>0.261682243</v>
      </c>
      <c r="K102" s="84" t="str">
        <f t="shared" si="3"/>
        <v>Inflasi Normal</v>
      </c>
      <c r="L102" s="84">
        <f t="shared" si="4"/>
        <v>0.28</v>
      </c>
      <c r="M102" s="88" t="str">
        <f t="shared" si="5"/>
        <v>Perubahan Normal</v>
      </c>
    </row>
    <row r="103" ht="18.75" customHeight="1">
      <c r="A103" s="80" t="s">
        <v>468</v>
      </c>
      <c r="B103" s="81" t="str">
        <f t="shared" si="1"/>
        <v>Timika</v>
      </c>
      <c r="C103" s="81" t="str">
        <f t="array" ref="C103">XLOOKUP(B103,Reference!$A$2:$A$152,Reference!$B$2:$B$152)</f>
        <v>Papua</v>
      </c>
      <c r="D103" s="82" t="s">
        <v>469</v>
      </c>
      <c r="E103" s="83">
        <v>45323.0</v>
      </c>
      <c r="F103" s="84" t="str">
        <f t="array" ref="F103">XLOOKUP(G103,Reference!$F:$F,Reference!$D:$D,"null")</f>
        <v>Rumah Tangga</v>
      </c>
      <c r="G103" s="85" t="s">
        <v>80</v>
      </c>
      <c r="H103" s="86">
        <v>101.35</v>
      </c>
      <c r="I103" s="86">
        <v>101.35</v>
      </c>
      <c r="J103" s="87">
        <f t="shared" si="2"/>
        <v>0</v>
      </c>
      <c r="K103" s="84" t="str">
        <f t="shared" si="3"/>
        <v>Stabil</v>
      </c>
      <c r="L103" s="84">
        <f t="shared" si="4"/>
        <v>0</v>
      </c>
      <c r="M103" s="88" t="str">
        <f t="shared" si="5"/>
        <v>Perubahan Normal</v>
      </c>
    </row>
    <row r="104" ht="18.75" customHeight="1">
      <c r="A104" s="80" t="s">
        <v>351</v>
      </c>
      <c r="B104" s="81" t="str">
        <f t="shared" si="1"/>
        <v>Kota Balikpapan</v>
      </c>
      <c r="C104" s="81" t="str">
        <f t="array" ref="C104">XLOOKUP(B104,Reference!$A$2:$A$152,Reference!$B$2:$B$152)</f>
        <v>Kalimantan Timur</v>
      </c>
      <c r="D104" s="82" t="s">
        <v>470</v>
      </c>
      <c r="E104" s="83">
        <v>45352.0</v>
      </c>
      <c r="F104" s="84" t="str">
        <f t="array" ref="F104">XLOOKUP(G104,Reference!$F:$F,Reference!$D:$D,"null")</f>
        <v>Rumah Tangga</v>
      </c>
      <c r="G104" s="85" t="s">
        <v>89</v>
      </c>
      <c r="H104" s="86">
        <v>102.41</v>
      </c>
      <c r="I104" s="86">
        <v>102.41</v>
      </c>
      <c r="J104" s="87">
        <f t="shared" si="2"/>
        <v>0</v>
      </c>
      <c r="K104" s="84" t="str">
        <f t="shared" si="3"/>
        <v>Stabil</v>
      </c>
      <c r="L104" s="84">
        <f t="shared" si="4"/>
        <v>0</v>
      </c>
      <c r="M104" s="88" t="str">
        <f t="shared" si="5"/>
        <v>Perubahan Normal</v>
      </c>
    </row>
    <row r="105" ht="18.75" customHeight="1">
      <c r="A105" s="80" t="s">
        <v>471</v>
      </c>
      <c r="B105" s="81" t="str">
        <f t="shared" si="1"/>
        <v>Kab Gunungkidul</v>
      </c>
      <c r="C105" s="81" t="str">
        <f t="array" ref="C105">XLOOKUP(B105,Reference!$A$2:$A$152,Reference!$B$2:$B$152)</f>
        <v>D.I. Yogyakarta</v>
      </c>
      <c r="D105" s="82" t="s">
        <v>472</v>
      </c>
      <c r="E105" s="83">
        <v>45323.0</v>
      </c>
      <c r="F105" s="84" t="str">
        <f t="array" ref="F105">XLOOKUP(G105,Reference!$F:$F,Reference!$D:$D,"null")</f>
        <v>Rumah Tangga</v>
      </c>
      <c r="G105" s="85" t="s">
        <v>84</v>
      </c>
      <c r="H105" s="86">
        <v>100.06</v>
      </c>
      <c r="I105" s="86">
        <v>100.06</v>
      </c>
      <c r="J105" s="87">
        <f t="shared" si="2"/>
        <v>0</v>
      </c>
      <c r="K105" s="84" t="str">
        <f t="shared" si="3"/>
        <v>Stabil</v>
      </c>
      <c r="L105" s="84">
        <f t="shared" si="4"/>
        <v>0</v>
      </c>
      <c r="M105" s="88" t="str">
        <f t="shared" si="5"/>
        <v>Perubahan Normal</v>
      </c>
    </row>
    <row r="106" ht="18.75" customHeight="1">
      <c r="A106" s="80" t="s">
        <v>473</v>
      </c>
      <c r="B106" s="81" t="str">
        <f t="shared" si="1"/>
        <v>Kab Wajo</v>
      </c>
      <c r="C106" s="81" t="str">
        <f t="array" ref="C106">XLOOKUP(B106,Reference!$A$2:$A$152,Reference!$B$2:$B$152)</f>
        <v>Sulawesi Selatan</v>
      </c>
      <c r="D106" s="82" t="s">
        <v>474</v>
      </c>
      <c r="E106" s="83">
        <v>45323.0</v>
      </c>
      <c r="F106" s="84" t="str">
        <f t="array" ref="F106">XLOOKUP(G106,Reference!$F:$F,Reference!$D:$D,"null")</f>
        <v>Makanan dan Pakaian </v>
      </c>
      <c r="G106" s="85" t="s">
        <v>56</v>
      </c>
      <c r="H106" s="86">
        <v>101.0</v>
      </c>
      <c r="I106" s="86">
        <v>101.0</v>
      </c>
      <c r="J106" s="87">
        <f t="shared" si="2"/>
        <v>0</v>
      </c>
      <c r="K106" s="84" t="str">
        <f t="shared" si="3"/>
        <v>Stabil</v>
      </c>
      <c r="L106" s="84">
        <f t="shared" si="4"/>
        <v>0</v>
      </c>
      <c r="M106" s="88" t="str">
        <f t="shared" si="5"/>
        <v>Perubahan Normal</v>
      </c>
    </row>
    <row r="107" ht="18.75" customHeight="1">
      <c r="A107" s="80" t="s">
        <v>412</v>
      </c>
      <c r="B107" s="81" t="str">
        <f t="shared" si="1"/>
        <v>Cilacap</v>
      </c>
      <c r="C107" s="81" t="str">
        <f t="array" ref="C107">XLOOKUP(B107,Reference!$A$2:$A$152,Reference!$B$2:$B$152)</f>
        <v>Jawa Tengah</v>
      </c>
      <c r="D107" s="82" t="s">
        <v>475</v>
      </c>
      <c r="E107" s="83">
        <v>45323.0</v>
      </c>
      <c r="F107" s="84" t="str">
        <f t="array" ref="F107">XLOOKUP(G107,Reference!$F:$F,Reference!$D:$D,"null")</f>
        <v>Makanan dan Pakaian </v>
      </c>
      <c r="G107" s="85" t="s">
        <v>64</v>
      </c>
      <c r="H107" s="86">
        <v>101.91</v>
      </c>
      <c r="I107" s="86">
        <v>101.87</v>
      </c>
      <c r="J107" s="87">
        <f t="shared" si="2"/>
        <v>0.03926573083</v>
      </c>
      <c r="K107" s="84" t="str">
        <f t="shared" si="3"/>
        <v>Inflasi Normal</v>
      </c>
      <c r="L107" s="84">
        <f t="shared" si="4"/>
        <v>0.04</v>
      </c>
      <c r="M107" s="88" t="str">
        <f t="shared" si="5"/>
        <v>Perubahan Normal</v>
      </c>
    </row>
    <row r="108" ht="18.75" customHeight="1">
      <c r="A108" s="80" t="s">
        <v>397</v>
      </c>
      <c r="B108" s="81" t="str">
        <f t="shared" si="1"/>
        <v>Kota Pematangsiantar</v>
      </c>
      <c r="C108" s="81" t="str">
        <f t="array" ref="C108">XLOOKUP(B108,Reference!$A$2:$A$152,Reference!$B$2:$B$152)</f>
        <v>Sumatera Utara</v>
      </c>
      <c r="D108" s="82" t="s">
        <v>476</v>
      </c>
      <c r="E108" s="83">
        <v>45352.0</v>
      </c>
      <c r="F108" s="84" t="str">
        <f t="array" ref="F108">XLOOKUP(G108,Reference!$F:$F,Reference!$D:$D,"null")</f>
        <v>Makanan dan Pakaian </v>
      </c>
      <c r="G108" s="85" t="s">
        <v>48</v>
      </c>
      <c r="H108" s="86">
        <v>110.93</v>
      </c>
      <c r="I108" s="86">
        <v>108.96</v>
      </c>
      <c r="J108" s="87">
        <f t="shared" si="2"/>
        <v>1.808002937</v>
      </c>
      <c r="K108" s="84" t="str">
        <f t="shared" si="3"/>
        <v>Inflasi Tinggi</v>
      </c>
      <c r="L108" s="84">
        <f t="shared" si="4"/>
        <v>1.97</v>
      </c>
      <c r="M108" s="88" t="str">
        <f t="shared" si="5"/>
        <v>Akselerasi Persentase</v>
      </c>
    </row>
    <row r="109" ht="18.75" customHeight="1">
      <c r="A109" s="80" t="s">
        <v>342</v>
      </c>
      <c r="B109" s="81" t="str">
        <f t="shared" si="1"/>
        <v>Kab Bandung</v>
      </c>
      <c r="C109" s="81" t="str">
        <f t="array" ref="C109">XLOOKUP(B109,Reference!$A$2:$A$152,Reference!$B$2:$B$152)</f>
        <v>Jawa Barat</v>
      </c>
      <c r="D109" s="82" t="s">
        <v>477</v>
      </c>
      <c r="E109" s="83">
        <v>45323.0</v>
      </c>
      <c r="F109" s="84" t="str">
        <f t="array" ref="F109">XLOOKUP(G109,Reference!$F:$F,Reference!$D:$D,"null")</f>
        <v>Rumah Tangga</v>
      </c>
      <c r="G109" s="89" t="s">
        <v>89</v>
      </c>
      <c r="H109" s="90">
        <v>107.72</v>
      </c>
      <c r="I109" s="90">
        <v>107.72</v>
      </c>
      <c r="J109" s="87">
        <f t="shared" si="2"/>
        <v>0</v>
      </c>
      <c r="K109" s="84" t="str">
        <f t="shared" si="3"/>
        <v>Stabil</v>
      </c>
      <c r="L109" s="91">
        <f t="shared" si="4"/>
        <v>0</v>
      </c>
      <c r="M109" s="88" t="str">
        <f t="shared" si="5"/>
        <v>Perubahan Normal</v>
      </c>
    </row>
    <row r="110" ht="18.75" customHeight="1">
      <c r="A110" s="80" t="s">
        <v>478</v>
      </c>
      <c r="B110" s="81" t="str">
        <f t="shared" si="1"/>
        <v>Kab Maluku Tengah</v>
      </c>
      <c r="C110" s="81" t="str">
        <f t="array" ref="C110">XLOOKUP(B110,Reference!$A$2:$A$152,Reference!$B$2:$B$152)</f>
        <v>Maluku</v>
      </c>
      <c r="D110" s="82" t="s">
        <v>479</v>
      </c>
      <c r="E110" s="83">
        <v>45352.0</v>
      </c>
      <c r="F110" s="84" t="str">
        <f t="array" ref="F110">XLOOKUP(G110,Reference!$F:$F,Reference!$D:$D,"null")</f>
        <v>Rumah Tangga</v>
      </c>
      <c r="G110" s="85" t="s">
        <v>84</v>
      </c>
      <c r="H110" s="86">
        <v>99.55</v>
      </c>
      <c r="I110" s="86">
        <v>99.74</v>
      </c>
      <c r="J110" s="87">
        <f t="shared" si="2"/>
        <v>-0.1904952877</v>
      </c>
      <c r="K110" s="84" t="str">
        <f t="shared" si="3"/>
        <v>Deflasi</v>
      </c>
      <c r="L110" s="84">
        <f t="shared" si="4"/>
        <v>-0.19</v>
      </c>
      <c r="M110" s="88" t="str">
        <f t="shared" si="5"/>
        <v>Perubahan Normal</v>
      </c>
    </row>
    <row r="111" ht="18.75" customHeight="1">
      <c r="A111" s="80" t="s">
        <v>442</v>
      </c>
      <c r="B111" s="81" t="str">
        <f t="shared" si="1"/>
        <v>Kota Cirebon</v>
      </c>
      <c r="C111" s="81" t="str">
        <f t="array" ref="C111">XLOOKUP(B111,Reference!$A$2:$A$152,Reference!$B$2:$B$152)</f>
        <v>Jawa Barat</v>
      </c>
      <c r="D111" s="82" t="s">
        <v>480</v>
      </c>
      <c r="E111" s="83">
        <v>45352.0</v>
      </c>
      <c r="F111" s="84" t="str">
        <f t="array" ref="F111">XLOOKUP(G111,Reference!$F:$F,Reference!$D:$D,"null")</f>
        <v>Rekreasi dan Kendaraan</v>
      </c>
      <c r="G111" s="85" t="s">
        <v>105</v>
      </c>
      <c r="H111" s="86">
        <v>100.87</v>
      </c>
      <c r="I111" s="86">
        <v>100.87</v>
      </c>
      <c r="J111" s="87">
        <f t="shared" si="2"/>
        <v>0</v>
      </c>
      <c r="K111" s="84" t="str">
        <f t="shared" si="3"/>
        <v>Stabil</v>
      </c>
      <c r="L111" s="84">
        <f t="shared" si="4"/>
        <v>0</v>
      </c>
      <c r="M111" s="88" t="str">
        <f t="shared" si="5"/>
        <v>Perubahan Normal</v>
      </c>
    </row>
    <row r="112" ht="18.75" customHeight="1">
      <c r="A112" s="80" t="s">
        <v>450</v>
      </c>
      <c r="B112" s="81" t="str">
        <f t="shared" si="1"/>
        <v>Waingapu</v>
      </c>
      <c r="C112" s="81" t="str">
        <f t="array" ref="C112">XLOOKUP(B112,Reference!$A$2:$A$152,Reference!$B$2:$B$152)</f>
        <v>Nusa Tenggara Timur (NTT)</v>
      </c>
      <c r="D112" s="82" t="s">
        <v>481</v>
      </c>
      <c r="E112" s="83">
        <v>45352.0</v>
      </c>
      <c r="F112" s="84" t="str">
        <f t="array" ref="F112">XLOOKUP(G112,Reference!$F:$F,Reference!$D:$D,"null")</f>
        <v>Rumah Tangga</v>
      </c>
      <c r="G112" s="85" t="s">
        <v>80</v>
      </c>
      <c r="H112" s="86">
        <v>115.31</v>
      </c>
      <c r="I112" s="86">
        <v>115.31</v>
      </c>
      <c r="J112" s="87">
        <f t="shared" si="2"/>
        <v>0</v>
      </c>
      <c r="K112" s="84" t="str">
        <f t="shared" si="3"/>
        <v>Stabil</v>
      </c>
      <c r="L112" s="84">
        <f t="shared" si="4"/>
        <v>0</v>
      </c>
      <c r="M112" s="88" t="str">
        <f t="shared" si="5"/>
        <v>Perubahan Normal</v>
      </c>
    </row>
    <row r="113" ht="18.75" customHeight="1">
      <c r="A113" s="80" t="s">
        <v>427</v>
      </c>
      <c r="B113" s="81" t="str">
        <f t="shared" si="1"/>
        <v>Kota Malang</v>
      </c>
      <c r="C113" s="81" t="str">
        <f t="array" ref="C113">XLOOKUP(B113,Reference!$A$2:$A$152,Reference!$B$2:$B$152)</f>
        <v>Jawa Timur</v>
      </c>
      <c r="D113" s="82" t="s">
        <v>482</v>
      </c>
      <c r="E113" s="83">
        <v>45323.0</v>
      </c>
      <c r="F113" s="84" t="str">
        <f t="array" ref="F113">XLOOKUP(G113,Reference!$F:$F,Reference!$D:$D,"null")</f>
        <v>Makanan dan Pakaian </v>
      </c>
      <c r="G113" s="85" t="s">
        <v>64</v>
      </c>
      <c r="H113" s="86">
        <v>104.46</v>
      </c>
      <c r="I113" s="86">
        <v>104.08</v>
      </c>
      <c r="J113" s="87">
        <f t="shared" si="2"/>
        <v>0.3651037663</v>
      </c>
      <c r="K113" s="84" t="str">
        <f t="shared" si="3"/>
        <v>Inflasi Normal</v>
      </c>
      <c r="L113" s="84">
        <f t="shared" si="4"/>
        <v>0.38</v>
      </c>
      <c r="M113" s="88" t="str">
        <f t="shared" si="5"/>
        <v>Perubahan Normal</v>
      </c>
    </row>
    <row r="114" ht="18.75" customHeight="1">
      <c r="A114" s="80" t="s">
        <v>483</v>
      </c>
      <c r="B114" s="81" t="str">
        <f t="shared" si="1"/>
        <v>Kota Padangsidimpuan</v>
      </c>
      <c r="C114" s="81" t="str">
        <f t="array" ref="C114">XLOOKUP(B114,Reference!$A$2:$A$152,Reference!$B$2:$B$152)</f>
        <v>Sumatera Utara</v>
      </c>
      <c r="D114" s="82" t="s">
        <v>484</v>
      </c>
      <c r="E114" s="83">
        <v>45352.0</v>
      </c>
      <c r="F114" s="84" t="str">
        <f t="array" ref="F114">XLOOKUP(G114,Reference!$F:$F,Reference!$D:$D,"null")</f>
        <v>Makanan dan Pakaian </v>
      </c>
      <c r="G114" s="85" t="s">
        <v>72</v>
      </c>
      <c r="H114" s="86">
        <v>98.32</v>
      </c>
      <c r="I114" s="86">
        <v>98.32</v>
      </c>
      <c r="J114" s="87">
        <f t="shared" si="2"/>
        <v>0</v>
      </c>
      <c r="K114" s="84" t="str">
        <f t="shared" si="3"/>
        <v>Stabil</v>
      </c>
      <c r="L114" s="84">
        <f t="shared" si="4"/>
        <v>0</v>
      </c>
      <c r="M114" s="88" t="str">
        <f t="shared" si="5"/>
        <v>Perubahan Normal</v>
      </c>
    </row>
    <row r="115" ht="18.75" customHeight="1">
      <c r="A115" s="80" t="s">
        <v>485</v>
      </c>
      <c r="B115" s="81" t="str">
        <f t="shared" si="1"/>
        <v>Banyuwangi</v>
      </c>
      <c r="C115" s="81" t="str">
        <f t="array" ref="C115">XLOOKUP(B115,Reference!$A$2:$A$152,Reference!$B$2:$B$152)</f>
        <v>Jawa Timur</v>
      </c>
      <c r="D115" s="82" t="s">
        <v>486</v>
      </c>
      <c r="E115" s="83">
        <v>45323.0</v>
      </c>
      <c r="F115" s="84" t="str">
        <f t="array" ref="F115">XLOOKUP(G115,Reference!$F:$F,Reference!$D:$D,"null")</f>
        <v>Rumah Tangga</v>
      </c>
      <c r="G115" s="85" t="s">
        <v>84</v>
      </c>
      <c r="H115" s="86">
        <v>101.74</v>
      </c>
      <c r="I115" s="86">
        <v>101.74</v>
      </c>
      <c r="J115" s="87">
        <f t="shared" si="2"/>
        <v>0</v>
      </c>
      <c r="K115" s="84" t="str">
        <f t="shared" si="3"/>
        <v>Stabil</v>
      </c>
      <c r="L115" s="84">
        <f t="shared" si="4"/>
        <v>0</v>
      </c>
      <c r="M115" s="88" t="str">
        <f t="shared" si="5"/>
        <v>Perubahan Normal</v>
      </c>
    </row>
    <row r="116" ht="18.75" customHeight="1">
      <c r="A116" s="80" t="s">
        <v>393</v>
      </c>
      <c r="B116" s="81" t="str">
        <f t="shared" si="1"/>
        <v>Kab Sumbawa</v>
      </c>
      <c r="C116" s="81" t="str">
        <f t="array" ref="C116">XLOOKUP(B116,Reference!$A$2:$A$152,Reference!$B$2:$B$152)</f>
        <v>Nusa Tenggara Barat (NTB)</v>
      </c>
      <c r="D116" s="82" t="s">
        <v>487</v>
      </c>
      <c r="E116" s="83">
        <v>45323.0</v>
      </c>
      <c r="F116" s="84" t="str">
        <f t="array" ref="F116">XLOOKUP(G116,Reference!$F:$F,Reference!$D:$D,"null")</f>
        <v>Rumah Tangga</v>
      </c>
      <c r="G116" s="85" t="s">
        <v>84</v>
      </c>
      <c r="H116" s="86">
        <v>98.12</v>
      </c>
      <c r="I116" s="86">
        <v>98.09</v>
      </c>
      <c r="J116" s="87">
        <f t="shared" si="2"/>
        <v>0.03058415741</v>
      </c>
      <c r="K116" s="84" t="str">
        <f t="shared" si="3"/>
        <v>Inflasi Normal</v>
      </c>
      <c r="L116" s="84">
        <f t="shared" si="4"/>
        <v>0.03</v>
      </c>
      <c r="M116" s="88" t="str">
        <f t="shared" si="5"/>
        <v>Perubahan Normal</v>
      </c>
    </row>
    <row r="117" ht="18.75" customHeight="1">
      <c r="A117" s="80" t="s">
        <v>488</v>
      </c>
      <c r="B117" s="81" t="str">
        <f t="shared" si="1"/>
        <v>Kab Muko Muko</v>
      </c>
      <c r="C117" s="81" t="str">
        <f t="array" ref="C117">XLOOKUP(B117,Reference!$A$2:$A$152,Reference!$B$2:$B$152)</f>
        <v>Bengkulu</v>
      </c>
      <c r="D117" s="82" t="s">
        <v>489</v>
      </c>
      <c r="E117" s="83">
        <v>45352.0</v>
      </c>
      <c r="F117" s="84" t="str">
        <f t="array" ref="F117">XLOOKUP(G117,Reference!$F:$F,Reference!$D:$D,"null")</f>
        <v>Makanan dan Pakaian </v>
      </c>
      <c r="G117" s="89" t="s">
        <v>56</v>
      </c>
      <c r="H117" s="90">
        <v>118.71</v>
      </c>
      <c r="I117" s="90">
        <v>116.7</v>
      </c>
      <c r="J117" s="87">
        <f t="shared" si="2"/>
        <v>1.722365039</v>
      </c>
      <c r="K117" s="84" t="str">
        <f t="shared" si="3"/>
        <v>Inflasi Tinggi</v>
      </c>
      <c r="L117" s="91">
        <f t="shared" si="4"/>
        <v>2.01</v>
      </c>
      <c r="M117" s="88" t="str">
        <f t="shared" si="5"/>
        <v>Akselerasi Kuat</v>
      </c>
    </row>
    <row r="118" ht="18.75" customHeight="1">
      <c r="A118" s="80" t="s">
        <v>490</v>
      </c>
      <c r="B118" s="81" t="str">
        <f t="shared" si="1"/>
        <v>Kab Kerinci</v>
      </c>
      <c r="C118" s="81" t="str">
        <f t="array" ref="C118">XLOOKUP(B118,Reference!$A$2:$A$152,Reference!$B$2:$B$152)</f>
        <v>Jambi</v>
      </c>
      <c r="D118" s="82" t="s">
        <v>491</v>
      </c>
      <c r="E118" s="83">
        <v>45352.0</v>
      </c>
      <c r="F118" s="84" t="str">
        <f t="array" ref="F118">XLOOKUP(G118,Reference!$F:$F,Reference!$D:$D,"null")</f>
        <v>Makanan dan Pakaian </v>
      </c>
      <c r="G118" s="85" t="s">
        <v>56</v>
      </c>
      <c r="H118" s="86">
        <v>109.8</v>
      </c>
      <c r="I118" s="86">
        <v>109.8</v>
      </c>
      <c r="J118" s="87">
        <f t="shared" si="2"/>
        <v>0</v>
      </c>
      <c r="K118" s="84" t="str">
        <f t="shared" si="3"/>
        <v>Stabil</v>
      </c>
      <c r="L118" s="84">
        <f t="shared" si="4"/>
        <v>0</v>
      </c>
      <c r="M118" s="88" t="str">
        <f t="shared" si="5"/>
        <v>Perubahan Normal</v>
      </c>
    </row>
    <row r="119" ht="18.75" customHeight="1">
      <c r="A119" s="80" t="s">
        <v>492</v>
      </c>
      <c r="B119" s="81" t="str">
        <f t="shared" si="1"/>
        <v>Kota Cilegon</v>
      </c>
      <c r="C119" s="81" t="str">
        <f t="array" ref="C119">XLOOKUP(B119,Reference!$A$2:$A$152,Reference!$B$2:$B$152)</f>
        <v>Banten</v>
      </c>
      <c r="D119" s="82" t="s">
        <v>493</v>
      </c>
      <c r="E119" s="83">
        <v>45323.0</v>
      </c>
      <c r="F119" s="84" t="str">
        <f t="array" ref="F119">XLOOKUP(G119,Reference!$F:$F,Reference!$D:$D,"null")</f>
        <v>Rekreasi dan Kendaraan</v>
      </c>
      <c r="G119" s="85" t="s">
        <v>102</v>
      </c>
      <c r="H119" s="86">
        <v>100.97</v>
      </c>
      <c r="I119" s="86">
        <v>100.78</v>
      </c>
      <c r="J119" s="87">
        <f t="shared" si="2"/>
        <v>0.1885294701</v>
      </c>
      <c r="K119" s="84" t="str">
        <f t="shared" si="3"/>
        <v>Inflasi Normal</v>
      </c>
      <c r="L119" s="84">
        <f t="shared" si="4"/>
        <v>0.19</v>
      </c>
      <c r="M119" s="88" t="str">
        <f t="shared" si="5"/>
        <v>Perubahan Normal</v>
      </c>
    </row>
    <row r="120" ht="18.75" customHeight="1">
      <c r="A120" s="80" t="s">
        <v>466</v>
      </c>
      <c r="B120" s="81" t="str">
        <f t="shared" si="1"/>
        <v>Kota Surabaya</v>
      </c>
      <c r="C120" s="81" t="str">
        <f t="array" ref="C120">XLOOKUP(B120,Reference!$A$2:$A$152,Reference!$B$2:$B$152)</f>
        <v>Jawa Timur</v>
      </c>
      <c r="D120" s="82" t="s">
        <v>494</v>
      </c>
      <c r="E120" s="83">
        <v>45323.0</v>
      </c>
      <c r="F120" s="84" t="str">
        <f t="array" ref="F120">XLOOKUP(G120,Reference!$F:$F,Reference!$D:$D,"null")</f>
        <v>Rumah Tangga</v>
      </c>
      <c r="G120" s="85" t="s">
        <v>84</v>
      </c>
      <c r="H120" s="86">
        <v>100.83</v>
      </c>
      <c r="I120" s="86">
        <v>100.83</v>
      </c>
      <c r="J120" s="87">
        <f t="shared" si="2"/>
        <v>0</v>
      </c>
      <c r="K120" s="84" t="str">
        <f t="shared" si="3"/>
        <v>Stabil</v>
      </c>
      <c r="L120" s="84">
        <f t="shared" si="4"/>
        <v>0</v>
      </c>
      <c r="M120" s="88" t="str">
        <f t="shared" si="5"/>
        <v>Perubahan Normal</v>
      </c>
    </row>
    <row r="121" ht="18.75" customHeight="1">
      <c r="A121" s="80" t="s">
        <v>495</v>
      </c>
      <c r="B121" s="81" t="str">
        <f t="shared" si="1"/>
        <v>Kota Medan</v>
      </c>
      <c r="C121" s="81" t="str">
        <f t="array" ref="C121">XLOOKUP(B121,Reference!$A$2:$A$152,Reference!$B$2:$B$152)</f>
        <v>Sumatera Utara</v>
      </c>
      <c r="D121" s="82" t="s">
        <v>496</v>
      </c>
      <c r="E121" s="83">
        <v>45323.0</v>
      </c>
      <c r="F121" s="84" t="str">
        <f t="array" ref="F121">XLOOKUP(G121,Reference!$F:$F,Reference!$D:$D,"null")</f>
        <v>Makanan dan Pakaian </v>
      </c>
      <c r="G121" s="85" t="s">
        <v>64</v>
      </c>
      <c r="H121" s="86">
        <v>103.76</v>
      </c>
      <c r="I121" s="86">
        <v>103.76</v>
      </c>
      <c r="J121" s="87">
        <f t="shared" si="2"/>
        <v>0</v>
      </c>
      <c r="K121" s="84" t="str">
        <f t="shared" si="3"/>
        <v>Stabil</v>
      </c>
      <c r="L121" s="84">
        <f t="shared" si="4"/>
        <v>0</v>
      </c>
      <c r="M121" s="88" t="str">
        <f t="shared" si="5"/>
        <v>Perubahan Normal</v>
      </c>
    </row>
    <row r="122" ht="18.75" customHeight="1">
      <c r="A122" s="80" t="s">
        <v>497</v>
      </c>
      <c r="B122" s="81" t="str">
        <f t="shared" si="1"/>
        <v>Tanjung Pandan</v>
      </c>
      <c r="C122" s="81" t="str">
        <f t="array" ref="C122">XLOOKUP(B122,Reference!$A$2:$A$152,Reference!$B$2:$B$152)</f>
        <v>Kepulauan Bangka Belitung</v>
      </c>
      <c r="D122" s="82" t="s">
        <v>498</v>
      </c>
      <c r="E122" s="83">
        <v>45352.0</v>
      </c>
      <c r="F122" s="84" t="str">
        <f t="array" ref="F122">XLOOKUP(G122,Reference!$F:$F,Reference!$D:$D,"null")</f>
        <v>Rekreasi dan Kendaraan</v>
      </c>
      <c r="G122" s="85" t="s">
        <v>105</v>
      </c>
      <c r="H122" s="86">
        <v>103.89</v>
      </c>
      <c r="I122" s="86">
        <v>103.06</v>
      </c>
      <c r="J122" s="87">
        <f t="shared" si="2"/>
        <v>0.8053561032</v>
      </c>
      <c r="K122" s="84" t="str">
        <f t="shared" si="3"/>
        <v>Inflasi Tinggi</v>
      </c>
      <c r="L122" s="84">
        <f t="shared" si="4"/>
        <v>0.83</v>
      </c>
      <c r="M122" s="88" t="str">
        <f t="shared" si="5"/>
        <v>Akselerasi Persentase</v>
      </c>
    </row>
    <row r="123" ht="18.75" customHeight="1">
      <c r="A123" s="80" t="s">
        <v>372</v>
      </c>
      <c r="B123" s="81" t="str">
        <f t="shared" si="1"/>
        <v>Kota Tanjung Pinang</v>
      </c>
      <c r="C123" s="81" t="str">
        <f t="array" ref="C123">XLOOKUP(B123,Reference!$A$2:$A$152,Reference!$B$2:$B$152)</f>
        <v>Kepulauan Riau</v>
      </c>
      <c r="D123" s="82" t="s">
        <v>499</v>
      </c>
      <c r="E123" s="83">
        <v>45352.0</v>
      </c>
      <c r="F123" s="84" t="str">
        <f t="array" ref="F123">XLOOKUP(G123,Reference!$F:$F,Reference!$D:$D,"null")</f>
        <v>Pendidikan dan Kesehatan</v>
      </c>
      <c r="G123" s="85" t="s">
        <v>98</v>
      </c>
      <c r="H123" s="86">
        <v>102.56</v>
      </c>
      <c r="I123" s="86">
        <v>102.54</v>
      </c>
      <c r="J123" s="87">
        <f t="shared" si="2"/>
        <v>0.01950458358</v>
      </c>
      <c r="K123" s="84" t="str">
        <f t="shared" si="3"/>
        <v>Inflasi Normal</v>
      </c>
      <c r="L123" s="84">
        <f t="shared" si="4"/>
        <v>0.02</v>
      </c>
      <c r="M123" s="88" t="str">
        <f t="shared" si="5"/>
        <v>Perubahan Normal</v>
      </c>
    </row>
    <row r="124" ht="18.75" customHeight="1">
      <c r="A124" s="80" t="s">
        <v>473</v>
      </c>
      <c r="B124" s="81" t="str">
        <f t="shared" si="1"/>
        <v>Kab Wajo</v>
      </c>
      <c r="C124" s="81" t="str">
        <f t="array" ref="C124">XLOOKUP(B124,Reference!$A$2:$A$152,Reference!$B$2:$B$152)</f>
        <v>Sulawesi Selatan</v>
      </c>
      <c r="D124" s="82" t="s">
        <v>500</v>
      </c>
      <c r="E124" s="83">
        <v>45323.0</v>
      </c>
      <c r="F124" s="84" t="str">
        <f t="array" ref="F124">XLOOKUP(G124,Reference!$F:$F,Reference!$D:$D,"null")</f>
        <v>Makanan dan Pakaian </v>
      </c>
      <c r="G124" s="85" t="s">
        <v>48</v>
      </c>
      <c r="H124" s="86">
        <v>103.64</v>
      </c>
      <c r="I124" s="86">
        <v>102.8</v>
      </c>
      <c r="J124" s="87">
        <f t="shared" si="2"/>
        <v>0.8171206226</v>
      </c>
      <c r="K124" s="84" t="str">
        <f t="shared" si="3"/>
        <v>Inflasi Tinggi</v>
      </c>
      <c r="L124" s="84">
        <f t="shared" si="4"/>
        <v>0.84</v>
      </c>
      <c r="M124" s="88" t="str">
        <f t="shared" si="5"/>
        <v>Akselerasi Persentase</v>
      </c>
    </row>
    <row r="125" ht="18.75" customHeight="1">
      <c r="A125" s="80" t="s">
        <v>462</v>
      </c>
      <c r="B125" s="81" t="str">
        <f t="shared" si="1"/>
        <v>Kota Probolinggo</v>
      </c>
      <c r="C125" s="81" t="str">
        <f t="array" ref="C125">XLOOKUP(B125,Reference!$A$2:$A$152,Reference!$B$2:$B$152)</f>
        <v>Jawa Timur</v>
      </c>
      <c r="D125" s="82" t="s">
        <v>501</v>
      </c>
      <c r="E125" s="83">
        <v>45323.0</v>
      </c>
      <c r="F125" s="84" t="str">
        <f t="array" ref="F125">XLOOKUP(G125,Reference!$F:$F,Reference!$D:$D,"null")</f>
        <v>Pendidikan dan Kesehatan</v>
      </c>
      <c r="G125" s="85" t="s">
        <v>95</v>
      </c>
      <c r="H125" s="86">
        <v>108.31</v>
      </c>
      <c r="I125" s="86">
        <v>108.31</v>
      </c>
      <c r="J125" s="87">
        <f t="shared" si="2"/>
        <v>0</v>
      </c>
      <c r="K125" s="84" t="str">
        <f t="shared" si="3"/>
        <v>Stabil</v>
      </c>
      <c r="L125" s="84">
        <f t="shared" si="4"/>
        <v>0</v>
      </c>
      <c r="M125" s="88" t="str">
        <f t="shared" si="5"/>
        <v>Perubahan Normal</v>
      </c>
    </row>
    <row r="126" ht="18.75" customHeight="1">
      <c r="A126" s="80" t="s">
        <v>502</v>
      </c>
      <c r="B126" s="81" t="str">
        <f t="shared" si="1"/>
        <v>Muara Bungo</v>
      </c>
      <c r="C126" s="81" t="str">
        <f t="array" ref="C126">XLOOKUP(B126,Reference!$A$2:$A$152,Reference!$B$2:$B$152)</f>
        <v>Jambi</v>
      </c>
      <c r="D126" s="82" t="s">
        <v>503</v>
      </c>
      <c r="E126" s="83">
        <v>45352.0</v>
      </c>
      <c r="F126" s="84" t="str">
        <f t="array" ref="F126">XLOOKUP(G126,Reference!$F:$F,Reference!$D:$D,"null")</f>
        <v>Makanan dan Pakaian </v>
      </c>
      <c r="G126" s="85" t="s">
        <v>48</v>
      </c>
      <c r="H126" s="86">
        <v>110.32</v>
      </c>
      <c r="I126" s="86">
        <v>108.92</v>
      </c>
      <c r="J126" s="87">
        <f t="shared" si="2"/>
        <v>1.285347044</v>
      </c>
      <c r="K126" s="84" t="str">
        <f t="shared" si="3"/>
        <v>Inflasi Tinggi</v>
      </c>
      <c r="L126" s="84">
        <f t="shared" si="4"/>
        <v>1.4</v>
      </c>
      <c r="M126" s="88" t="str">
        <f t="shared" si="5"/>
        <v>Akselerasi Persentase</v>
      </c>
    </row>
    <row r="127" ht="18.75" customHeight="1">
      <c r="A127" s="80" t="s">
        <v>445</v>
      </c>
      <c r="B127" s="81" t="str">
        <f t="shared" si="1"/>
        <v>Kab Bangka Barat</v>
      </c>
      <c r="C127" s="81" t="str">
        <f t="array" ref="C127">XLOOKUP(B127,Reference!$A$2:$A$152,Reference!$B$2:$B$152)</f>
        <v>Kepulauan Bangka Belitung</v>
      </c>
      <c r="D127" s="82" t="s">
        <v>504</v>
      </c>
      <c r="E127" s="83">
        <v>45323.0</v>
      </c>
      <c r="F127" s="84" t="str">
        <f t="array" ref="F127">XLOOKUP(G127,Reference!$F:$F,Reference!$D:$D,"null")</f>
        <v>Rumah Tangga</v>
      </c>
      <c r="G127" s="85" t="s">
        <v>80</v>
      </c>
      <c r="H127" s="86">
        <v>101.21</v>
      </c>
      <c r="I127" s="86">
        <v>101.21</v>
      </c>
      <c r="J127" s="87">
        <f t="shared" si="2"/>
        <v>0</v>
      </c>
      <c r="K127" s="84" t="str">
        <f t="shared" si="3"/>
        <v>Stabil</v>
      </c>
      <c r="L127" s="84">
        <f t="shared" si="4"/>
        <v>0</v>
      </c>
      <c r="M127" s="88" t="str">
        <f t="shared" si="5"/>
        <v>Perubahan Normal</v>
      </c>
    </row>
    <row r="128" ht="18.75" customHeight="1">
      <c r="A128" s="80" t="s">
        <v>505</v>
      </c>
      <c r="B128" s="81" t="str">
        <f t="shared" si="1"/>
        <v>Kota Denpasar</v>
      </c>
      <c r="C128" s="81" t="str">
        <f t="array" ref="C128">XLOOKUP(B128,Reference!$A$2:$A$152,Reference!$B$2:$B$152)</f>
        <v>Bali</v>
      </c>
      <c r="D128" s="82" t="s">
        <v>506</v>
      </c>
      <c r="E128" s="83">
        <v>45323.0</v>
      </c>
      <c r="F128" s="84" t="str">
        <f t="array" ref="F128">XLOOKUP(G128,Reference!$F:$F,Reference!$D:$D,"null")</f>
        <v>Rumah Tangga</v>
      </c>
      <c r="G128" s="89" t="s">
        <v>89</v>
      </c>
      <c r="H128" s="90">
        <v>100.48</v>
      </c>
      <c r="I128" s="90">
        <v>101.63</v>
      </c>
      <c r="J128" s="87">
        <f t="shared" si="2"/>
        <v>-1.131555643</v>
      </c>
      <c r="K128" s="84" t="str">
        <f t="shared" si="3"/>
        <v>Deflasi</v>
      </c>
      <c r="L128" s="91">
        <f t="shared" si="4"/>
        <v>-1.15</v>
      </c>
      <c r="M128" s="88" t="str">
        <f t="shared" si="5"/>
        <v>Perubahan Normal</v>
      </c>
    </row>
    <row r="129" ht="18.75" customHeight="1">
      <c r="A129" s="80" t="s">
        <v>306</v>
      </c>
      <c r="B129" s="81" t="str">
        <f t="shared" si="1"/>
        <v>Kota Padang</v>
      </c>
      <c r="C129" s="81" t="str">
        <f t="array" ref="C129">XLOOKUP(B129,Reference!$A$2:$A$152,Reference!$B$2:$B$152)</f>
        <v>Sumatera Barat</v>
      </c>
      <c r="D129" s="82" t="s">
        <v>507</v>
      </c>
      <c r="E129" s="83">
        <v>45323.0</v>
      </c>
      <c r="F129" s="84" t="str">
        <f t="array" ref="F129">XLOOKUP(G129,Reference!$F:$F,Reference!$D:$D,"null")</f>
        <v>Makanan dan Pakaian </v>
      </c>
      <c r="G129" s="85" t="s">
        <v>64</v>
      </c>
      <c r="H129" s="86">
        <v>102.31</v>
      </c>
      <c r="I129" s="86">
        <v>102.31</v>
      </c>
      <c r="J129" s="87">
        <f t="shared" si="2"/>
        <v>0</v>
      </c>
      <c r="K129" s="84" t="str">
        <f t="shared" si="3"/>
        <v>Stabil</v>
      </c>
      <c r="L129" s="84">
        <f t="shared" si="4"/>
        <v>0</v>
      </c>
      <c r="M129" s="88" t="str">
        <f t="shared" si="5"/>
        <v>Perubahan Normal</v>
      </c>
    </row>
    <row r="130" ht="18.75" customHeight="1">
      <c r="A130" s="80" t="s">
        <v>508</v>
      </c>
      <c r="B130" s="81" t="str">
        <f t="shared" si="1"/>
        <v>Kab Minahasa Selatan</v>
      </c>
      <c r="C130" s="81" t="str">
        <f t="array" ref="C130">XLOOKUP(B130,Reference!$A$2:$A$152,Reference!$B$2:$B$152)</f>
        <v>Sulawesi Utara</v>
      </c>
      <c r="D130" s="82" t="s">
        <v>509</v>
      </c>
      <c r="E130" s="83">
        <v>45323.0</v>
      </c>
      <c r="F130" s="84" t="str">
        <f t="array" ref="F130">XLOOKUP(G130,Reference!$F:$F,Reference!$D:$D,"null")</f>
        <v>Pendidikan dan Kesehatan</v>
      </c>
      <c r="G130" s="89" t="s">
        <v>95</v>
      </c>
      <c r="H130" s="90">
        <v>100.16</v>
      </c>
      <c r="I130" s="90">
        <v>100.16</v>
      </c>
      <c r="J130" s="87">
        <f t="shared" si="2"/>
        <v>0</v>
      </c>
      <c r="K130" s="84" t="str">
        <f t="shared" si="3"/>
        <v>Stabil</v>
      </c>
      <c r="L130" s="91">
        <f t="shared" si="4"/>
        <v>0</v>
      </c>
      <c r="M130" s="88" t="str">
        <f t="shared" si="5"/>
        <v>Perubahan Normal</v>
      </c>
    </row>
    <row r="131" ht="18.75" customHeight="1">
      <c r="A131" s="80" t="s">
        <v>427</v>
      </c>
      <c r="B131" s="81" t="str">
        <f t="shared" si="1"/>
        <v>Kota Malang</v>
      </c>
      <c r="C131" s="81" t="str">
        <f t="array" ref="C131">XLOOKUP(B131,Reference!$A$2:$A$152,Reference!$B$2:$B$152)</f>
        <v>Jawa Timur</v>
      </c>
      <c r="D131" s="82" t="s">
        <v>510</v>
      </c>
      <c r="E131" s="83">
        <v>45352.0</v>
      </c>
      <c r="F131" s="84" t="str">
        <f t="array" ref="F131">XLOOKUP(G131,Reference!$F:$F,Reference!$D:$D,"null")</f>
        <v>Makanan dan Pakaian </v>
      </c>
      <c r="G131" s="85" t="s">
        <v>72</v>
      </c>
      <c r="H131" s="86">
        <v>102.35</v>
      </c>
      <c r="I131" s="86">
        <v>102.21</v>
      </c>
      <c r="J131" s="87">
        <f t="shared" si="2"/>
        <v>0.1369728989</v>
      </c>
      <c r="K131" s="84" t="str">
        <f t="shared" si="3"/>
        <v>Inflasi Normal</v>
      </c>
      <c r="L131" s="84">
        <f t="shared" si="4"/>
        <v>0.14</v>
      </c>
      <c r="M131" s="88" t="str">
        <f t="shared" si="5"/>
        <v>Perubahan Normal</v>
      </c>
    </row>
    <row r="132" ht="18.75" customHeight="1">
      <c r="A132" s="80" t="s">
        <v>425</v>
      </c>
      <c r="B132" s="81" t="str">
        <f t="shared" si="1"/>
        <v>Kab Gorontalo</v>
      </c>
      <c r="C132" s="81" t="str">
        <f t="array" ref="C132">XLOOKUP(B132,Reference!$A$2:$A$152,Reference!$B$2:$B$152)</f>
        <v>Gorontalo</v>
      </c>
      <c r="D132" s="82" t="s">
        <v>511</v>
      </c>
      <c r="E132" s="83">
        <v>45352.0</v>
      </c>
      <c r="F132" s="84" t="str">
        <f t="array" ref="F132">XLOOKUP(G132,Reference!$F:$F,Reference!$D:$D,"null")</f>
        <v>Rekreasi dan Kendaraan</v>
      </c>
      <c r="G132" s="89" t="s">
        <v>105</v>
      </c>
      <c r="H132" s="90">
        <v>99.63</v>
      </c>
      <c r="I132" s="90">
        <v>99.4</v>
      </c>
      <c r="J132" s="87">
        <f t="shared" si="2"/>
        <v>0.23138833</v>
      </c>
      <c r="K132" s="84" t="str">
        <f t="shared" si="3"/>
        <v>Inflasi Normal</v>
      </c>
      <c r="L132" s="91">
        <f t="shared" si="4"/>
        <v>0.23</v>
      </c>
      <c r="M132" s="88" t="str">
        <f t="shared" si="5"/>
        <v>Perubahan Normal</v>
      </c>
    </row>
    <row r="133" ht="18.75" customHeight="1">
      <c r="A133" s="80" t="s">
        <v>512</v>
      </c>
      <c r="B133" s="81" t="str">
        <f t="shared" si="1"/>
        <v>Kota Palu</v>
      </c>
      <c r="C133" s="81" t="str">
        <f t="array" ref="C133">XLOOKUP(B133,Reference!$A$2:$A$152,Reference!$B$2:$B$152)</f>
        <v>Sulawesi Tengah</v>
      </c>
      <c r="D133" s="82" t="s">
        <v>513</v>
      </c>
      <c r="E133" s="83">
        <v>45352.0</v>
      </c>
      <c r="F133" s="84" t="str">
        <f t="array" ref="F133">XLOOKUP(G133,Reference!$F:$F,Reference!$D:$D,"null")</f>
        <v>Makanan dan Pakaian </v>
      </c>
      <c r="G133" s="85" t="s">
        <v>64</v>
      </c>
      <c r="H133" s="86">
        <v>99.06</v>
      </c>
      <c r="I133" s="86">
        <v>99.24</v>
      </c>
      <c r="J133" s="87">
        <f t="shared" si="2"/>
        <v>-0.1813784764</v>
      </c>
      <c r="K133" s="84" t="str">
        <f t="shared" si="3"/>
        <v>Deflasi</v>
      </c>
      <c r="L133" s="84">
        <f t="shared" si="4"/>
        <v>-0.18</v>
      </c>
      <c r="M133" s="88" t="str">
        <f t="shared" si="5"/>
        <v>Perubahan Normal</v>
      </c>
    </row>
    <row r="134" ht="18.75" customHeight="1">
      <c r="A134" s="80" t="s">
        <v>421</v>
      </c>
      <c r="B134" s="81" t="str">
        <f t="shared" si="1"/>
        <v>Kab Halmahera Tengah</v>
      </c>
      <c r="C134" s="81" t="str">
        <f t="array" ref="C134">XLOOKUP(B134,Reference!$A$2:$A$152,Reference!$B$2:$B$152)</f>
        <v>Maluku Utara</v>
      </c>
      <c r="D134" s="82" t="s">
        <v>514</v>
      </c>
      <c r="E134" s="83">
        <v>45352.0</v>
      </c>
      <c r="F134" s="84" t="str">
        <f t="array" ref="F134">XLOOKUP(G134,Reference!$F:$F,Reference!$D:$D,"null")</f>
        <v>Rekreasi dan Kendaraan</v>
      </c>
      <c r="G134" s="85" t="s">
        <v>102</v>
      </c>
      <c r="H134" s="86">
        <v>121.28</v>
      </c>
      <c r="I134" s="86">
        <v>121.28</v>
      </c>
      <c r="J134" s="87">
        <f t="shared" si="2"/>
        <v>0</v>
      </c>
      <c r="K134" s="84" t="str">
        <f t="shared" si="3"/>
        <v>Stabil</v>
      </c>
      <c r="L134" s="84">
        <f t="shared" si="4"/>
        <v>0</v>
      </c>
      <c r="M134" s="88" t="str">
        <f t="shared" si="5"/>
        <v>Perubahan Normal</v>
      </c>
    </row>
    <row r="135" ht="18.75" customHeight="1">
      <c r="A135" s="80" t="s">
        <v>515</v>
      </c>
      <c r="B135" s="81" t="str">
        <f t="shared" si="1"/>
        <v>Kab Gresik</v>
      </c>
      <c r="C135" s="81" t="str">
        <f t="array" ref="C135">XLOOKUP(B135,Reference!$A$2:$A$152,Reference!$B$2:$B$152)</f>
        <v>Jawa Timur</v>
      </c>
      <c r="D135" s="82" t="s">
        <v>516</v>
      </c>
      <c r="E135" s="83">
        <v>45323.0</v>
      </c>
      <c r="F135" s="84" t="str">
        <f t="array" ref="F135">XLOOKUP(G135,Reference!$F:$F,Reference!$D:$D,"null")</f>
        <v>Rumah Tangga</v>
      </c>
      <c r="G135" s="85" t="s">
        <v>89</v>
      </c>
      <c r="H135" s="86">
        <v>104.54</v>
      </c>
      <c r="I135" s="86">
        <v>104.54</v>
      </c>
      <c r="J135" s="87">
        <f t="shared" si="2"/>
        <v>0</v>
      </c>
      <c r="K135" s="84" t="str">
        <f t="shared" si="3"/>
        <v>Stabil</v>
      </c>
      <c r="L135" s="84">
        <f t="shared" si="4"/>
        <v>0</v>
      </c>
      <c r="M135" s="88" t="str">
        <f t="shared" si="5"/>
        <v>Perubahan Normal</v>
      </c>
    </row>
    <row r="136" ht="18.75" customHeight="1">
      <c r="A136" s="80" t="s">
        <v>517</v>
      </c>
      <c r="B136" s="81" t="str">
        <f t="shared" si="1"/>
        <v>Kota Kupang</v>
      </c>
      <c r="C136" s="81" t="str">
        <f t="array" ref="C136">XLOOKUP(B136,Reference!$A$2:$A$152,Reference!$B$2:$B$152)</f>
        <v>Nusa Tenggara Timur (NTT)</v>
      </c>
      <c r="D136" s="82" t="s">
        <v>518</v>
      </c>
      <c r="E136" s="83">
        <v>45352.0</v>
      </c>
      <c r="F136" s="84" t="str">
        <f t="array" ref="F136">XLOOKUP(G136,Reference!$F:$F,Reference!$D:$D,"null")</f>
        <v>Rumah Tangga</v>
      </c>
      <c r="G136" s="85" t="s">
        <v>84</v>
      </c>
      <c r="H136" s="86">
        <v>100.15</v>
      </c>
      <c r="I136" s="86">
        <v>100.15</v>
      </c>
      <c r="J136" s="87">
        <f t="shared" si="2"/>
        <v>0</v>
      </c>
      <c r="K136" s="84" t="str">
        <f t="shared" si="3"/>
        <v>Stabil</v>
      </c>
      <c r="L136" s="84">
        <f t="shared" si="4"/>
        <v>0</v>
      </c>
      <c r="M136" s="88" t="str">
        <f t="shared" si="5"/>
        <v>Perubahan Normal</v>
      </c>
    </row>
    <row r="137" ht="18.75" customHeight="1">
      <c r="A137" s="80" t="s">
        <v>370</v>
      </c>
      <c r="B137" s="81" t="str">
        <f t="shared" si="1"/>
        <v>Jember</v>
      </c>
      <c r="C137" s="81" t="str">
        <f t="array" ref="C137">XLOOKUP(B137,Reference!$A$2:$A$152,Reference!$B$2:$B$152)</f>
        <v>Jawa Timur</v>
      </c>
      <c r="D137" s="82" t="s">
        <v>519</v>
      </c>
      <c r="E137" s="83">
        <v>45352.0</v>
      </c>
      <c r="F137" s="84" t="str">
        <f t="array" ref="F137">XLOOKUP(G137,Reference!$F:$F,Reference!$D:$D,"null")</f>
        <v>Rumah Tangga</v>
      </c>
      <c r="G137" s="85" t="s">
        <v>89</v>
      </c>
      <c r="H137" s="86">
        <v>103.41</v>
      </c>
      <c r="I137" s="86">
        <v>103.41</v>
      </c>
      <c r="J137" s="87">
        <f t="shared" si="2"/>
        <v>0</v>
      </c>
      <c r="K137" s="84" t="str">
        <f t="shared" si="3"/>
        <v>Stabil</v>
      </c>
      <c r="L137" s="84">
        <f t="shared" si="4"/>
        <v>0</v>
      </c>
      <c r="M137" s="88" t="str">
        <f t="shared" si="5"/>
        <v>Perubahan Normal</v>
      </c>
    </row>
    <row r="138" ht="18.75" customHeight="1">
      <c r="A138" s="80" t="s">
        <v>458</v>
      </c>
      <c r="B138" s="81" t="str">
        <f t="shared" si="1"/>
        <v>Kota Dumai</v>
      </c>
      <c r="C138" s="81" t="str">
        <f t="array" ref="C138">XLOOKUP(B138,Reference!$A$2:$A$152,Reference!$B$2:$B$152)</f>
        <v>Riau</v>
      </c>
      <c r="D138" s="82" t="s">
        <v>520</v>
      </c>
      <c r="E138" s="83">
        <v>45352.0</v>
      </c>
      <c r="F138" s="84" t="str">
        <f t="array" ref="F138">XLOOKUP(G138,Reference!$F:$F,Reference!$D:$D,"null")</f>
        <v>Rumah Tangga</v>
      </c>
      <c r="G138" s="89" t="s">
        <v>89</v>
      </c>
      <c r="H138" s="90">
        <v>101.69</v>
      </c>
      <c r="I138" s="90">
        <v>101.34</v>
      </c>
      <c r="J138" s="87">
        <f t="shared" si="2"/>
        <v>0.345372015</v>
      </c>
      <c r="K138" s="84" t="str">
        <f t="shared" si="3"/>
        <v>Inflasi Normal</v>
      </c>
      <c r="L138" s="91">
        <f t="shared" si="4"/>
        <v>0.35</v>
      </c>
      <c r="M138" s="88" t="str">
        <f t="shared" si="5"/>
        <v>Perubahan Normal</v>
      </c>
    </row>
    <row r="139" ht="18.75" customHeight="1">
      <c r="A139" s="80" t="s">
        <v>517</v>
      </c>
      <c r="B139" s="81" t="str">
        <f t="shared" si="1"/>
        <v>Kota Kupang</v>
      </c>
      <c r="C139" s="81" t="str">
        <f t="array" ref="C139">XLOOKUP(B139,Reference!$A$2:$A$152,Reference!$B$2:$B$152)</f>
        <v>Nusa Tenggara Timur (NTT)</v>
      </c>
      <c r="D139" s="82" t="s">
        <v>521</v>
      </c>
      <c r="E139" s="83">
        <v>45352.0</v>
      </c>
      <c r="F139" s="84" t="str">
        <f t="array" ref="F139">XLOOKUP(G139,Reference!$F:$F,Reference!$D:$D,"null")</f>
        <v>Makanan dan Pakaian </v>
      </c>
      <c r="G139" s="85" t="s">
        <v>48</v>
      </c>
      <c r="H139" s="86">
        <v>108.65</v>
      </c>
      <c r="I139" s="86">
        <v>107.97</v>
      </c>
      <c r="J139" s="87">
        <f t="shared" si="2"/>
        <v>0.6298045753</v>
      </c>
      <c r="K139" s="84" t="str">
        <f t="shared" si="3"/>
        <v>Inflasi Tinggi</v>
      </c>
      <c r="L139" s="84">
        <f t="shared" si="4"/>
        <v>0.68</v>
      </c>
      <c r="M139" s="88" t="str">
        <f t="shared" si="5"/>
        <v>Akselerasi Persentase</v>
      </c>
    </row>
    <row r="140" ht="18.75" customHeight="1">
      <c r="A140" s="80" t="s">
        <v>351</v>
      </c>
      <c r="B140" s="81" t="str">
        <f t="shared" si="1"/>
        <v>Kota Balikpapan</v>
      </c>
      <c r="C140" s="81" t="str">
        <f t="array" ref="C140">XLOOKUP(B140,Reference!$A$2:$A$152,Reference!$B$2:$B$152)</f>
        <v>Kalimantan Timur</v>
      </c>
      <c r="D140" s="82" t="s">
        <v>522</v>
      </c>
      <c r="E140" s="83">
        <v>45323.0</v>
      </c>
      <c r="F140" s="84" t="str">
        <f t="array" ref="F140">XLOOKUP(G140,Reference!$F:$F,Reference!$D:$D,"null")</f>
        <v>Rumah Tangga</v>
      </c>
      <c r="G140" s="85" t="s">
        <v>84</v>
      </c>
      <c r="H140" s="86">
        <v>103.62</v>
      </c>
      <c r="I140" s="86">
        <v>103.62</v>
      </c>
      <c r="J140" s="87">
        <f t="shared" si="2"/>
        <v>0</v>
      </c>
      <c r="K140" s="84" t="str">
        <f t="shared" si="3"/>
        <v>Stabil</v>
      </c>
      <c r="L140" s="84">
        <f t="shared" si="4"/>
        <v>0</v>
      </c>
      <c r="M140" s="88" t="str">
        <f t="shared" si="5"/>
        <v>Perubahan Normal</v>
      </c>
    </row>
    <row r="141" ht="18.75" customHeight="1">
      <c r="A141" s="80" t="s">
        <v>382</v>
      </c>
      <c r="B141" s="81" t="str">
        <f t="shared" si="1"/>
        <v>Kab Ngada</v>
      </c>
      <c r="C141" s="81" t="str">
        <f t="array" ref="C141">XLOOKUP(B141,Reference!$A$2:$A$152,Reference!$B$2:$B$152)</f>
        <v>Nusa Tenggara Timur (NTT)</v>
      </c>
      <c r="D141" s="82" t="s">
        <v>523</v>
      </c>
      <c r="E141" s="83">
        <v>45352.0</v>
      </c>
      <c r="F141" s="84" t="str">
        <f t="array" ref="F141">XLOOKUP(G141,Reference!$F:$F,Reference!$D:$D,"null")</f>
        <v>Pendidikan dan Kesehatan</v>
      </c>
      <c r="G141" s="85" t="s">
        <v>98</v>
      </c>
      <c r="H141" s="86">
        <v>100.07</v>
      </c>
      <c r="I141" s="86">
        <v>100.07</v>
      </c>
      <c r="J141" s="87">
        <f t="shared" si="2"/>
        <v>0</v>
      </c>
      <c r="K141" s="84" t="str">
        <f t="shared" si="3"/>
        <v>Stabil</v>
      </c>
      <c r="L141" s="84">
        <f t="shared" si="4"/>
        <v>0</v>
      </c>
      <c r="M141" s="88" t="str">
        <f t="shared" si="5"/>
        <v>Perubahan Normal</v>
      </c>
    </row>
    <row r="142" ht="18.75" customHeight="1">
      <c r="A142" s="80" t="s">
        <v>524</v>
      </c>
      <c r="B142" s="81" t="str">
        <f t="shared" si="1"/>
        <v>Kudus</v>
      </c>
      <c r="C142" s="81" t="str">
        <f t="array" ref="C142">XLOOKUP(B142,Reference!$A$2:$A$152,Reference!$B$2:$B$152)</f>
        <v>Jawa Tengah</v>
      </c>
      <c r="D142" s="82" t="s">
        <v>525</v>
      </c>
      <c r="E142" s="83">
        <v>45352.0</v>
      </c>
      <c r="F142" s="84" t="str">
        <f t="array" ref="F142">XLOOKUP(G142,Reference!$F:$F,Reference!$D:$D,"null")</f>
        <v>Rumah Tangga</v>
      </c>
      <c r="G142" s="85" t="s">
        <v>89</v>
      </c>
      <c r="H142" s="86">
        <v>102.28</v>
      </c>
      <c r="I142" s="86">
        <v>101.68</v>
      </c>
      <c r="J142" s="87">
        <f t="shared" si="2"/>
        <v>0.590086546</v>
      </c>
      <c r="K142" s="84" t="str">
        <f t="shared" si="3"/>
        <v>Inflasi Tinggi</v>
      </c>
      <c r="L142" s="84">
        <f t="shared" si="4"/>
        <v>0.6</v>
      </c>
      <c r="M142" s="88" t="str">
        <f t="shared" si="5"/>
        <v>Akselerasi Persentase</v>
      </c>
    </row>
    <row r="143" ht="18.75" customHeight="1">
      <c r="A143" s="80" t="s">
        <v>526</v>
      </c>
      <c r="B143" s="81" t="str">
        <f t="shared" si="1"/>
        <v>Maumere</v>
      </c>
      <c r="C143" s="81" t="str">
        <f t="array" ref="C143">XLOOKUP(B143,Reference!$A$2:$A$152,Reference!$B$2:$B$152)</f>
        <v>Nusa Tenggara Timur (NTT)</v>
      </c>
      <c r="D143" s="82" t="s">
        <v>527</v>
      </c>
      <c r="E143" s="83">
        <v>45352.0</v>
      </c>
      <c r="F143" s="84" t="str">
        <f t="array" ref="F143">XLOOKUP(G143,Reference!$F:$F,Reference!$D:$D,"null")</f>
        <v>Makanan dan Pakaian </v>
      </c>
      <c r="G143" s="85" t="s">
        <v>72</v>
      </c>
      <c r="H143" s="86">
        <v>101.57</v>
      </c>
      <c r="I143" s="86">
        <v>101.72</v>
      </c>
      <c r="J143" s="87">
        <f t="shared" si="2"/>
        <v>-0.1474636256</v>
      </c>
      <c r="K143" s="84" t="str">
        <f t="shared" si="3"/>
        <v>Deflasi</v>
      </c>
      <c r="L143" s="84">
        <f t="shared" si="4"/>
        <v>-0.15</v>
      </c>
      <c r="M143" s="88" t="str">
        <f t="shared" si="5"/>
        <v>Perubahan Normal</v>
      </c>
    </row>
    <row r="144" ht="18.75" customHeight="1">
      <c r="A144" s="80" t="s">
        <v>508</v>
      </c>
      <c r="B144" s="81" t="str">
        <f t="shared" si="1"/>
        <v>Kab Minahasa Selatan</v>
      </c>
      <c r="C144" s="81" t="str">
        <f t="array" ref="C144">XLOOKUP(B144,Reference!$A$2:$A$152,Reference!$B$2:$B$152)</f>
        <v>Sulawesi Utara</v>
      </c>
      <c r="D144" s="82" t="s">
        <v>528</v>
      </c>
      <c r="E144" s="83">
        <v>45323.0</v>
      </c>
      <c r="F144" s="84" t="str">
        <f t="array" ref="F144">XLOOKUP(G144,Reference!$F:$F,Reference!$D:$D,"null")</f>
        <v>Makanan dan Pakaian </v>
      </c>
      <c r="G144" s="85" t="s">
        <v>64</v>
      </c>
      <c r="H144" s="86">
        <v>100.32</v>
      </c>
      <c r="I144" s="86">
        <v>100.32</v>
      </c>
      <c r="J144" s="87">
        <f t="shared" si="2"/>
        <v>0</v>
      </c>
      <c r="K144" s="84" t="str">
        <f t="shared" si="3"/>
        <v>Stabil</v>
      </c>
      <c r="L144" s="84">
        <f t="shared" si="4"/>
        <v>0</v>
      </c>
      <c r="M144" s="88" t="str">
        <f t="shared" si="5"/>
        <v>Perubahan Normal</v>
      </c>
    </row>
    <row r="145" ht="18.75" customHeight="1">
      <c r="A145" s="80" t="s">
        <v>529</v>
      </c>
      <c r="B145" s="81" t="str">
        <f t="shared" si="1"/>
        <v>Kota Yogyakarta</v>
      </c>
      <c r="C145" s="81" t="str">
        <f t="array" ref="C145">XLOOKUP(B145,Reference!$A$2:$A$152,Reference!$B$2:$B$152)</f>
        <v>D.I. Yogyakarta</v>
      </c>
      <c r="D145" s="82" t="s">
        <v>530</v>
      </c>
      <c r="E145" s="83">
        <v>45352.0</v>
      </c>
      <c r="F145" s="84" t="str">
        <f t="array" ref="F145">XLOOKUP(G145,Reference!$F:$F,Reference!$D:$D,"null")</f>
        <v>Rumah Tangga</v>
      </c>
      <c r="G145" s="85" t="s">
        <v>89</v>
      </c>
      <c r="H145" s="86">
        <v>102.08</v>
      </c>
      <c r="I145" s="86">
        <v>102.08</v>
      </c>
      <c r="J145" s="87">
        <f t="shared" si="2"/>
        <v>0</v>
      </c>
      <c r="K145" s="84" t="str">
        <f t="shared" si="3"/>
        <v>Stabil</v>
      </c>
      <c r="L145" s="84">
        <f t="shared" si="4"/>
        <v>0</v>
      </c>
      <c r="M145" s="88" t="str">
        <f t="shared" si="5"/>
        <v>Perubahan Normal</v>
      </c>
    </row>
    <row r="146" ht="18.75" customHeight="1">
      <c r="A146" s="80" t="s">
        <v>316</v>
      </c>
      <c r="B146" s="81" t="str">
        <f t="shared" si="1"/>
        <v>Singaraja</v>
      </c>
      <c r="C146" s="81" t="str">
        <f t="array" ref="C146">XLOOKUP(B146,Reference!$A$2:$A$152,Reference!$B$2:$B$152)</f>
        <v>Bali</v>
      </c>
      <c r="D146" s="82" t="s">
        <v>531</v>
      </c>
      <c r="E146" s="83">
        <v>45352.0</v>
      </c>
      <c r="F146" s="84" t="str">
        <f t="array" ref="F146">XLOOKUP(G146,Reference!$F:$F,Reference!$D:$D,"null")</f>
        <v>Makanan dan Pakaian </v>
      </c>
      <c r="G146" s="85" t="s">
        <v>72</v>
      </c>
      <c r="H146" s="86">
        <v>100.48</v>
      </c>
      <c r="I146" s="86">
        <v>100.48</v>
      </c>
      <c r="J146" s="87">
        <f t="shared" si="2"/>
        <v>0</v>
      </c>
      <c r="K146" s="84" t="str">
        <f t="shared" si="3"/>
        <v>Stabil</v>
      </c>
      <c r="L146" s="84">
        <f t="shared" si="4"/>
        <v>0</v>
      </c>
      <c r="M146" s="88" t="str">
        <f t="shared" si="5"/>
        <v>Perubahan Normal</v>
      </c>
    </row>
    <row r="147" ht="18.75" customHeight="1">
      <c r="A147" s="80" t="s">
        <v>532</v>
      </c>
      <c r="B147" s="81" t="str">
        <f t="shared" si="1"/>
        <v>Kota Palembang</v>
      </c>
      <c r="C147" s="81" t="str">
        <f t="array" ref="C147">XLOOKUP(B147,Reference!$A$2:$A$152,Reference!$B$2:$B$152)</f>
        <v>Sumatera Selatan</v>
      </c>
      <c r="D147" s="82" t="s">
        <v>533</v>
      </c>
      <c r="E147" s="83">
        <v>45352.0</v>
      </c>
      <c r="F147" s="84" t="str">
        <f t="array" ref="F147">XLOOKUP(G147,Reference!$F:$F,Reference!$D:$D,"null")</f>
        <v>Rumah Tangga</v>
      </c>
      <c r="G147" s="85" t="s">
        <v>84</v>
      </c>
      <c r="H147" s="86">
        <v>99.87</v>
      </c>
      <c r="I147" s="86">
        <v>99.74</v>
      </c>
      <c r="J147" s="87">
        <f t="shared" si="2"/>
        <v>0.1303388811</v>
      </c>
      <c r="K147" s="84" t="str">
        <f t="shared" si="3"/>
        <v>Inflasi Normal</v>
      </c>
      <c r="L147" s="84">
        <f t="shared" si="4"/>
        <v>0.13</v>
      </c>
      <c r="M147" s="88" t="str">
        <f t="shared" si="5"/>
        <v>Perubahan Normal</v>
      </c>
    </row>
    <row r="148" ht="18.75" customHeight="1">
      <c r="A148" s="80" t="s">
        <v>490</v>
      </c>
      <c r="B148" s="81" t="str">
        <f t="shared" si="1"/>
        <v>Kab Kerinci</v>
      </c>
      <c r="C148" s="81" t="str">
        <f t="array" ref="C148">XLOOKUP(B148,Reference!$A$2:$A$152,Reference!$B$2:$B$152)</f>
        <v>Jambi</v>
      </c>
      <c r="D148" s="82" t="s">
        <v>534</v>
      </c>
      <c r="E148" s="83">
        <v>45323.0</v>
      </c>
      <c r="F148" s="84" t="str">
        <f t="array" ref="F148">XLOOKUP(G148,Reference!$F:$F,Reference!$D:$D,"null")</f>
        <v>Rumah Tangga</v>
      </c>
      <c r="G148" s="85" t="s">
        <v>84</v>
      </c>
      <c r="H148" s="86">
        <v>92.0</v>
      </c>
      <c r="I148" s="86">
        <v>92.18</v>
      </c>
      <c r="J148" s="87">
        <f t="shared" si="2"/>
        <v>-0.1952701237</v>
      </c>
      <c r="K148" s="84" t="str">
        <f t="shared" si="3"/>
        <v>Deflasi</v>
      </c>
      <c r="L148" s="84">
        <f t="shared" si="4"/>
        <v>-0.18</v>
      </c>
      <c r="M148" s="88" t="str">
        <f t="shared" si="5"/>
        <v>Perubahan Normal</v>
      </c>
    </row>
    <row r="149" ht="18.75" customHeight="1">
      <c r="A149" s="80" t="s">
        <v>535</v>
      </c>
      <c r="B149" s="81" t="str">
        <f t="shared" si="1"/>
        <v>Kota Tarakan</v>
      </c>
      <c r="C149" s="81" t="str">
        <f t="array" ref="C149">XLOOKUP(B149,Reference!$A$2:$A$152,Reference!$B$2:$B$152)</f>
        <v>Kalimantan Utara</v>
      </c>
      <c r="D149" s="82" t="s">
        <v>536</v>
      </c>
      <c r="E149" s="83">
        <v>45323.0</v>
      </c>
      <c r="F149" s="84" t="str">
        <f t="array" ref="F149">XLOOKUP(G149,Reference!$F:$F,Reference!$D:$D,"null")</f>
        <v>Makanan dan Pakaian </v>
      </c>
      <c r="G149" s="85" t="s">
        <v>56</v>
      </c>
      <c r="H149" s="86">
        <v>104.56</v>
      </c>
      <c r="I149" s="86">
        <v>104.32</v>
      </c>
      <c r="J149" s="87">
        <f t="shared" si="2"/>
        <v>0.2300613497</v>
      </c>
      <c r="K149" s="84" t="str">
        <f t="shared" si="3"/>
        <v>Inflasi Normal</v>
      </c>
      <c r="L149" s="84">
        <f t="shared" si="4"/>
        <v>0.24</v>
      </c>
      <c r="M149" s="88" t="str">
        <f t="shared" si="5"/>
        <v>Perubahan Normal</v>
      </c>
    </row>
    <row r="150" ht="18.75" customHeight="1">
      <c r="A150" s="80" t="s">
        <v>342</v>
      </c>
      <c r="B150" s="81" t="str">
        <f t="shared" si="1"/>
        <v>Kab Bandung</v>
      </c>
      <c r="C150" s="81" t="str">
        <f t="array" ref="C150">XLOOKUP(B150,Reference!$A$2:$A$152,Reference!$B$2:$B$152)</f>
        <v>Jawa Barat</v>
      </c>
      <c r="D150" s="82" t="s">
        <v>537</v>
      </c>
      <c r="E150" s="83">
        <v>45352.0</v>
      </c>
      <c r="F150" s="84" t="str">
        <f t="array" ref="F150">XLOOKUP(G150,Reference!$F:$F,Reference!$D:$D,"null")</f>
        <v>Rumah Tangga</v>
      </c>
      <c r="G150" s="85" t="s">
        <v>84</v>
      </c>
      <c r="H150" s="86">
        <v>100.58</v>
      </c>
      <c r="I150" s="86">
        <v>100.63</v>
      </c>
      <c r="J150" s="87">
        <f t="shared" si="2"/>
        <v>-0.04968697208</v>
      </c>
      <c r="K150" s="84" t="str">
        <f t="shared" si="3"/>
        <v>Deflasi</v>
      </c>
      <c r="L150" s="84">
        <f t="shared" si="4"/>
        <v>-0.05</v>
      </c>
      <c r="M150" s="88" t="str">
        <f t="shared" si="5"/>
        <v>Perubahan Normal</v>
      </c>
    </row>
    <row r="151" ht="18.75" customHeight="1">
      <c r="A151" s="80" t="s">
        <v>497</v>
      </c>
      <c r="B151" s="81" t="str">
        <f t="shared" si="1"/>
        <v>Tanjung Pandan</v>
      </c>
      <c r="C151" s="81" t="str">
        <f t="array" ref="C151">XLOOKUP(B151,Reference!$A$2:$A$152,Reference!$B$2:$B$152)</f>
        <v>Kepulauan Bangka Belitung</v>
      </c>
      <c r="D151" s="82" t="s">
        <v>538</v>
      </c>
      <c r="E151" s="83">
        <v>45323.0</v>
      </c>
      <c r="F151" s="84" t="str">
        <f t="array" ref="F151">XLOOKUP(G151,Reference!$F:$F,Reference!$D:$D,"null")</f>
        <v>Pendidikan dan Kesehatan</v>
      </c>
      <c r="G151" s="89" t="s">
        <v>95</v>
      </c>
      <c r="H151" s="90">
        <v>110.6</v>
      </c>
      <c r="I151" s="90">
        <v>110.45</v>
      </c>
      <c r="J151" s="87">
        <f t="shared" si="2"/>
        <v>0.1358080579</v>
      </c>
      <c r="K151" s="84" t="str">
        <f t="shared" si="3"/>
        <v>Inflasi Normal</v>
      </c>
      <c r="L151" s="91">
        <f t="shared" si="4"/>
        <v>0.15</v>
      </c>
      <c r="M151" s="88" t="str">
        <f t="shared" si="5"/>
        <v>Perubahan Normal</v>
      </c>
    </row>
    <row r="152" ht="18.75" customHeight="1">
      <c r="A152" s="80" t="s">
        <v>539</v>
      </c>
      <c r="B152" s="81" t="str">
        <f t="shared" si="1"/>
        <v>Kab Sorong Selatan</v>
      </c>
      <c r="C152" s="81" t="str">
        <f t="array" ref="C152">XLOOKUP(B152,Reference!$A$2:$A$152,Reference!$B$2:$B$152)</f>
        <v>Papua Barat Daya</v>
      </c>
      <c r="D152" s="82" t="s">
        <v>540</v>
      </c>
      <c r="E152" s="83">
        <v>45323.0</v>
      </c>
      <c r="F152" s="84" t="str">
        <f t="array" ref="F152">XLOOKUP(G152,Reference!$F:$F,Reference!$D:$D,"null")</f>
        <v>Makanan dan Pakaian </v>
      </c>
      <c r="G152" s="85" t="s">
        <v>64</v>
      </c>
      <c r="H152" s="86">
        <v>105.21</v>
      </c>
      <c r="I152" s="86">
        <v>105.21</v>
      </c>
      <c r="J152" s="87">
        <f t="shared" si="2"/>
        <v>0</v>
      </c>
      <c r="K152" s="84" t="str">
        <f t="shared" si="3"/>
        <v>Stabil</v>
      </c>
      <c r="L152" s="84">
        <f t="shared" si="4"/>
        <v>0</v>
      </c>
      <c r="M152" s="88" t="str">
        <f t="shared" si="5"/>
        <v>Perubahan Normal</v>
      </c>
    </row>
    <row r="153" ht="18.75" customHeight="1">
      <c r="A153" s="80" t="s">
        <v>412</v>
      </c>
      <c r="B153" s="81" t="str">
        <f t="shared" si="1"/>
        <v>Cilacap</v>
      </c>
      <c r="C153" s="81" t="str">
        <f t="array" ref="C153">XLOOKUP(B153,Reference!$A$2:$A$152,Reference!$B$2:$B$152)</f>
        <v>Jawa Tengah</v>
      </c>
      <c r="D153" s="82" t="s">
        <v>541</v>
      </c>
      <c r="E153" s="83">
        <v>45352.0</v>
      </c>
      <c r="F153" s="84" t="str">
        <f t="array" ref="F153">XLOOKUP(G153,Reference!$F:$F,Reference!$D:$D,"null")</f>
        <v>Rekreasi dan Kendaraan</v>
      </c>
      <c r="G153" s="85" t="s">
        <v>105</v>
      </c>
      <c r="H153" s="86">
        <v>103.41</v>
      </c>
      <c r="I153" s="86">
        <v>103.21</v>
      </c>
      <c r="J153" s="87">
        <f t="shared" si="2"/>
        <v>0.1937796725</v>
      </c>
      <c r="K153" s="84" t="str">
        <f t="shared" si="3"/>
        <v>Inflasi Normal</v>
      </c>
      <c r="L153" s="84">
        <f t="shared" si="4"/>
        <v>0.2</v>
      </c>
      <c r="M153" s="88" t="str">
        <f t="shared" si="5"/>
        <v>Perubahan Normal</v>
      </c>
    </row>
    <row r="154" ht="18.75" customHeight="1">
      <c r="A154" s="80" t="s">
        <v>542</v>
      </c>
      <c r="B154" s="81" t="str">
        <f t="shared" si="1"/>
        <v>Kab Karo</v>
      </c>
      <c r="C154" s="81" t="str">
        <f t="array" ref="C154">XLOOKUP(B154,Reference!$A$2:$A$152,Reference!$B$2:$B$152)</f>
        <v>Sumatera Utara</v>
      </c>
      <c r="D154" s="82" t="s">
        <v>543</v>
      </c>
      <c r="E154" s="83">
        <v>45352.0</v>
      </c>
      <c r="F154" s="84" t="str">
        <f t="array" ref="F154">XLOOKUP(G154,Reference!$F:$F,Reference!$D:$D,"null")</f>
        <v>Rumah Tangga</v>
      </c>
      <c r="G154" s="85" t="s">
        <v>80</v>
      </c>
      <c r="H154" s="86">
        <v>108.05</v>
      </c>
      <c r="I154" s="86">
        <v>108.05</v>
      </c>
      <c r="J154" s="87">
        <f t="shared" si="2"/>
        <v>0</v>
      </c>
      <c r="K154" s="84" t="str">
        <f t="shared" si="3"/>
        <v>Stabil</v>
      </c>
      <c r="L154" s="84">
        <f t="shared" si="4"/>
        <v>0</v>
      </c>
      <c r="M154" s="88" t="str">
        <f t="shared" si="5"/>
        <v>Perubahan Normal</v>
      </c>
    </row>
    <row r="155" ht="18.75" customHeight="1">
      <c r="A155" s="80" t="s">
        <v>539</v>
      </c>
      <c r="B155" s="81" t="str">
        <f t="shared" si="1"/>
        <v>Kab Sorong Selatan</v>
      </c>
      <c r="C155" s="81" t="str">
        <f t="array" ref="C155">XLOOKUP(B155,Reference!$A$2:$A$152,Reference!$B$2:$B$152)</f>
        <v>Papua Barat Daya</v>
      </c>
      <c r="D155" s="82" t="s">
        <v>544</v>
      </c>
      <c r="E155" s="83">
        <v>45352.0</v>
      </c>
      <c r="F155" s="84" t="str">
        <f t="array" ref="F155">XLOOKUP(G155,Reference!$F:$F,Reference!$D:$D,"null")</f>
        <v>Rumah Tangga</v>
      </c>
      <c r="G155" s="85" t="s">
        <v>80</v>
      </c>
      <c r="H155" s="86">
        <v>100.0</v>
      </c>
      <c r="I155" s="86">
        <v>100.0</v>
      </c>
      <c r="J155" s="87">
        <f t="shared" si="2"/>
        <v>0</v>
      </c>
      <c r="K155" s="84" t="str">
        <f t="shared" si="3"/>
        <v>Stabil</v>
      </c>
      <c r="L155" s="84">
        <f t="shared" si="4"/>
        <v>0</v>
      </c>
      <c r="M155" s="88" t="str">
        <f t="shared" si="5"/>
        <v>Perubahan Normal</v>
      </c>
    </row>
    <row r="156" ht="18.75" customHeight="1">
      <c r="A156" s="80" t="s">
        <v>406</v>
      </c>
      <c r="B156" s="81" t="str">
        <f t="shared" si="1"/>
        <v>Kota Tasikmalaya</v>
      </c>
      <c r="C156" s="81" t="str">
        <f t="array" ref="C156">XLOOKUP(B156,Reference!$A$2:$A$152,Reference!$B$2:$B$152)</f>
        <v>Jawa Barat</v>
      </c>
      <c r="D156" s="82" t="s">
        <v>545</v>
      </c>
      <c r="E156" s="83">
        <v>45352.0</v>
      </c>
      <c r="F156" s="84" t="str">
        <f t="array" ref="F156">XLOOKUP(G156,Reference!$F:$F,Reference!$D:$D,"null")</f>
        <v>Makanan dan Pakaian </v>
      </c>
      <c r="G156" s="85" t="s">
        <v>72</v>
      </c>
      <c r="H156" s="86">
        <v>104.81</v>
      </c>
      <c r="I156" s="86">
        <v>102.86</v>
      </c>
      <c r="J156" s="87">
        <f t="shared" si="2"/>
        <v>1.895780673</v>
      </c>
      <c r="K156" s="84" t="str">
        <f t="shared" si="3"/>
        <v>Inflasi Tinggi</v>
      </c>
      <c r="L156" s="84">
        <f t="shared" si="4"/>
        <v>1.95</v>
      </c>
      <c r="M156" s="88" t="str">
        <f t="shared" si="5"/>
        <v>Akselerasi Persentase</v>
      </c>
    </row>
    <row r="157" ht="18.75" customHeight="1">
      <c r="A157" s="80" t="s">
        <v>310</v>
      </c>
      <c r="B157" s="81" t="str">
        <f t="shared" si="1"/>
        <v>Kab Kampar</v>
      </c>
      <c r="C157" s="81" t="str">
        <f t="array" ref="C157">XLOOKUP(B157,Reference!$A$2:$A$152,Reference!$B$2:$B$152)</f>
        <v>Riau</v>
      </c>
      <c r="D157" s="82" t="s">
        <v>546</v>
      </c>
      <c r="E157" s="83">
        <v>45323.0</v>
      </c>
      <c r="F157" s="84" t="str">
        <f t="array" ref="F157">XLOOKUP(G157,Reference!$F:$F,Reference!$D:$D,"null")</f>
        <v>Makanan dan Pakaian </v>
      </c>
      <c r="G157" s="85" t="s">
        <v>48</v>
      </c>
      <c r="H157" s="86">
        <v>110.4</v>
      </c>
      <c r="I157" s="86">
        <v>107.79</v>
      </c>
      <c r="J157" s="87">
        <f t="shared" si="2"/>
        <v>2.421374896</v>
      </c>
      <c r="K157" s="84" t="str">
        <f t="shared" si="3"/>
        <v>Inflasi Tinggi</v>
      </c>
      <c r="L157" s="84">
        <f t="shared" si="4"/>
        <v>2.61</v>
      </c>
      <c r="M157" s="88" t="str">
        <f t="shared" si="5"/>
        <v>Akselerasi Kuat</v>
      </c>
    </row>
    <row r="158" ht="18.75" customHeight="1">
      <c r="A158" s="80" t="s">
        <v>532</v>
      </c>
      <c r="B158" s="81" t="str">
        <f t="shared" si="1"/>
        <v>Kota Palembang</v>
      </c>
      <c r="C158" s="81" t="str">
        <f t="array" ref="C158">XLOOKUP(B158,Reference!$A$2:$A$152,Reference!$B$2:$B$152)</f>
        <v>Sumatera Selatan</v>
      </c>
      <c r="D158" s="82" t="s">
        <v>547</v>
      </c>
      <c r="E158" s="83">
        <v>45352.0</v>
      </c>
      <c r="F158" s="84" t="str">
        <f t="array" ref="F158">XLOOKUP(G158,Reference!$F:$F,Reference!$D:$D,"null")</f>
        <v>Rumah Tangga</v>
      </c>
      <c r="G158" s="85" t="s">
        <v>80</v>
      </c>
      <c r="H158" s="86">
        <v>100.97</v>
      </c>
      <c r="I158" s="86">
        <v>100.97</v>
      </c>
      <c r="J158" s="87">
        <f t="shared" si="2"/>
        <v>0</v>
      </c>
      <c r="K158" s="84" t="str">
        <f t="shared" si="3"/>
        <v>Stabil</v>
      </c>
      <c r="L158" s="84">
        <f t="shared" si="4"/>
        <v>0</v>
      </c>
      <c r="M158" s="88" t="str">
        <f t="shared" si="5"/>
        <v>Perubahan Normal</v>
      </c>
    </row>
    <row r="159" ht="18.75" customHeight="1">
      <c r="A159" s="80" t="s">
        <v>548</v>
      </c>
      <c r="B159" s="81" t="str">
        <f t="shared" si="1"/>
        <v>Kota Metro</v>
      </c>
      <c r="C159" s="81" t="str">
        <f t="array" ref="C159">XLOOKUP(B159,Reference!$A$2:$A$152,Reference!$B$2:$B$152)</f>
        <v>Lampung</v>
      </c>
      <c r="D159" s="82" t="s">
        <v>549</v>
      </c>
      <c r="E159" s="83">
        <v>45352.0</v>
      </c>
      <c r="F159" s="84" t="str">
        <f t="array" ref="F159">XLOOKUP(G159,Reference!$F:$F,Reference!$D:$D,"null")</f>
        <v>Rumah Tangga</v>
      </c>
      <c r="G159" s="85" t="s">
        <v>84</v>
      </c>
      <c r="H159" s="86">
        <v>97.87</v>
      </c>
      <c r="I159" s="86">
        <v>97.86</v>
      </c>
      <c r="J159" s="87">
        <f t="shared" si="2"/>
        <v>0.01021867975</v>
      </c>
      <c r="K159" s="84" t="str">
        <f t="shared" si="3"/>
        <v>Inflasi Normal</v>
      </c>
      <c r="L159" s="84">
        <f t="shared" si="4"/>
        <v>0.01</v>
      </c>
      <c r="M159" s="88" t="str">
        <f t="shared" si="5"/>
        <v>Perubahan Normal</v>
      </c>
    </row>
    <row r="160" ht="18.75" customHeight="1">
      <c r="A160" s="80" t="s">
        <v>550</v>
      </c>
      <c r="B160" s="81" t="str">
        <f t="shared" si="1"/>
        <v>Kota Sukabumi</v>
      </c>
      <c r="C160" s="81" t="str">
        <f t="array" ref="C160">XLOOKUP(B160,Reference!$A$2:$A$152,Reference!$B$2:$B$152)</f>
        <v>Jawa Barat</v>
      </c>
      <c r="D160" s="82" t="s">
        <v>551</v>
      </c>
      <c r="E160" s="83">
        <v>45323.0</v>
      </c>
      <c r="F160" s="84" t="str">
        <f t="array" ref="F160">XLOOKUP(G160,Reference!$F:$F,Reference!$D:$D,"null")</f>
        <v>Rekreasi dan Kendaraan</v>
      </c>
      <c r="G160" s="85" t="s">
        <v>105</v>
      </c>
      <c r="H160" s="86">
        <v>103.81</v>
      </c>
      <c r="I160" s="86">
        <v>103.81</v>
      </c>
      <c r="J160" s="87">
        <f t="shared" si="2"/>
        <v>0</v>
      </c>
      <c r="K160" s="84" t="str">
        <f t="shared" si="3"/>
        <v>Stabil</v>
      </c>
      <c r="L160" s="84">
        <f t="shared" si="4"/>
        <v>0</v>
      </c>
      <c r="M160" s="88" t="str">
        <f t="shared" si="5"/>
        <v>Perubahan Normal</v>
      </c>
    </row>
    <row r="161" ht="18.75" customHeight="1">
      <c r="A161" s="80" t="s">
        <v>550</v>
      </c>
      <c r="B161" s="81" t="str">
        <f t="shared" si="1"/>
        <v>Kota Sukabumi</v>
      </c>
      <c r="C161" s="81" t="str">
        <f t="array" ref="C161">XLOOKUP(B161,Reference!$A$2:$A$152,Reference!$B$2:$B$152)</f>
        <v>Jawa Barat</v>
      </c>
      <c r="D161" s="82" t="s">
        <v>552</v>
      </c>
      <c r="E161" s="83">
        <v>45352.0</v>
      </c>
      <c r="F161" s="84" t="str">
        <f t="array" ref="F161">XLOOKUP(G161,Reference!$F:$F,Reference!$D:$D,"null")</f>
        <v>Pendidikan dan Kesehatan</v>
      </c>
      <c r="G161" s="85" t="s">
        <v>98</v>
      </c>
      <c r="H161" s="86">
        <v>106.08</v>
      </c>
      <c r="I161" s="86">
        <v>105.77</v>
      </c>
      <c r="J161" s="87">
        <f t="shared" si="2"/>
        <v>0.2930887775</v>
      </c>
      <c r="K161" s="84" t="str">
        <f t="shared" si="3"/>
        <v>Inflasi Normal</v>
      </c>
      <c r="L161" s="84">
        <f t="shared" si="4"/>
        <v>0.31</v>
      </c>
      <c r="M161" s="88" t="str">
        <f t="shared" si="5"/>
        <v>Perubahan Normal</v>
      </c>
    </row>
    <row r="162" ht="18.75" customHeight="1">
      <c r="A162" s="80" t="s">
        <v>387</v>
      </c>
      <c r="B162" s="81" t="str">
        <f t="shared" si="1"/>
        <v>Kota Semarang</v>
      </c>
      <c r="C162" s="81" t="str">
        <f t="array" ref="C162">XLOOKUP(B162,Reference!$A$2:$A$152,Reference!$B$2:$B$152)</f>
        <v>Jawa Tengah</v>
      </c>
      <c r="D162" s="82" t="s">
        <v>553</v>
      </c>
      <c r="E162" s="83">
        <v>45323.0</v>
      </c>
      <c r="F162" s="84" t="str">
        <f t="array" ref="F162">XLOOKUP(G162,Reference!$F:$F,Reference!$D:$D,"null")</f>
        <v>Pendidikan dan Kesehatan</v>
      </c>
      <c r="G162" s="85" t="s">
        <v>98</v>
      </c>
      <c r="H162" s="86">
        <v>104.89</v>
      </c>
      <c r="I162" s="86">
        <v>104.85</v>
      </c>
      <c r="J162" s="87">
        <f t="shared" si="2"/>
        <v>0.03814973772</v>
      </c>
      <c r="K162" s="84" t="str">
        <f t="shared" si="3"/>
        <v>Inflasi Normal</v>
      </c>
      <c r="L162" s="84">
        <f t="shared" si="4"/>
        <v>0.04</v>
      </c>
      <c r="M162" s="88" t="str">
        <f t="shared" si="5"/>
        <v>Perubahan Normal</v>
      </c>
    </row>
    <row r="163" ht="18.75" customHeight="1">
      <c r="A163" s="80" t="s">
        <v>421</v>
      </c>
      <c r="B163" s="81" t="str">
        <f t="shared" si="1"/>
        <v>Kab Halmahera Tengah</v>
      </c>
      <c r="C163" s="81" t="str">
        <f t="array" ref="C163">XLOOKUP(B163,Reference!$A$2:$A$152,Reference!$B$2:$B$152)</f>
        <v>Maluku Utara</v>
      </c>
      <c r="D163" s="82" t="s">
        <v>554</v>
      </c>
      <c r="E163" s="83">
        <v>45352.0</v>
      </c>
      <c r="F163" s="84" t="str">
        <f t="array" ref="F163">XLOOKUP(G163,Reference!$F:$F,Reference!$D:$D,"null")</f>
        <v>Makanan dan Pakaian </v>
      </c>
      <c r="G163" s="85" t="s">
        <v>72</v>
      </c>
      <c r="H163" s="86">
        <v>108.74</v>
      </c>
      <c r="I163" s="86">
        <v>108.74</v>
      </c>
      <c r="J163" s="87">
        <f t="shared" si="2"/>
        <v>0</v>
      </c>
      <c r="K163" s="84" t="str">
        <f t="shared" si="3"/>
        <v>Stabil</v>
      </c>
      <c r="L163" s="84">
        <f t="shared" si="4"/>
        <v>0</v>
      </c>
      <c r="M163" s="88" t="str">
        <f t="shared" si="5"/>
        <v>Perubahan Normal</v>
      </c>
    </row>
    <row r="164" ht="18.75" customHeight="1">
      <c r="A164" s="80" t="s">
        <v>358</v>
      </c>
      <c r="B164" s="81" t="str">
        <f t="shared" si="1"/>
        <v>Kab Minahasa Utara</v>
      </c>
      <c r="C164" s="81" t="str">
        <f t="array" ref="C164">XLOOKUP(B164,Reference!$A$2:$A$152,Reference!$B$2:$B$152)</f>
        <v>Sulawesi Utara</v>
      </c>
      <c r="D164" s="82" t="s">
        <v>555</v>
      </c>
      <c r="E164" s="83">
        <v>45352.0</v>
      </c>
      <c r="F164" s="84" t="str">
        <f t="array" ref="F164">XLOOKUP(G164,Reference!$F:$F,Reference!$D:$D,"null")</f>
        <v>Makanan dan Pakaian </v>
      </c>
      <c r="G164" s="85" t="s">
        <v>48</v>
      </c>
      <c r="H164" s="86">
        <v>116.53</v>
      </c>
      <c r="I164" s="86">
        <v>113.95</v>
      </c>
      <c r="J164" s="87">
        <f t="shared" si="2"/>
        <v>2.264150943</v>
      </c>
      <c r="K164" s="84" t="str">
        <f t="shared" si="3"/>
        <v>Inflasi Tinggi</v>
      </c>
      <c r="L164" s="84">
        <f t="shared" si="4"/>
        <v>2.58</v>
      </c>
      <c r="M164" s="88" t="str">
        <f t="shared" si="5"/>
        <v>Akselerasi Kuat</v>
      </c>
    </row>
    <row r="165" ht="18.75" customHeight="1">
      <c r="A165" s="80" t="s">
        <v>310</v>
      </c>
      <c r="B165" s="81" t="str">
        <f t="shared" si="1"/>
        <v>Kab Kampar</v>
      </c>
      <c r="C165" s="81" t="str">
        <f t="array" ref="C165">XLOOKUP(B165,Reference!$A$2:$A$152,Reference!$B$2:$B$152)</f>
        <v>Riau</v>
      </c>
      <c r="D165" s="82" t="s">
        <v>556</v>
      </c>
      <c r="E165" s="83">
        <v>45323.0</v>
      </c>
      <c r="F165" s="84" t="str">
        <f t="array" ref="F165">XLOOKUP(G165,Reference!$F:$F,Reference!$D:$D,"null")</f>
        <v>Rekreasi dan Kendaraan</v>
      </c>
      <c r="G165" s="85" t="s">
        <v>105</v>
      </c>
      <c r="H165" s="86">
        <v>99.59</v>
      </c>
      <c r="I165" s="86">
        <v>99.59</v>
      </c>
      <c r="J165" s="87">
        <f t="shared" si="2"/>
        <v>0</v>
      </c>
      <c r="K165" s="84" t="str">
        <f t="shared" si="3"/>
        <v>Stabil</v>
      </c>
      <c r="L165" s="84">
        <f t="shared" si="4"/>
        <v>0</v>
      </c>
      <c r="M165" s="88" t="str">
        <f t="shared" si="5"/>
        <v>Perubahan Normal</v>
      </c>
    </row>
    <row r="166" ht="18.75" customHeight="1">
      <c r="A166" s="80" t="s">
        <v>406</v>
      </c>
      <c r="B166" s="81" t="str">
        <f t="shared" si="1"/>
        <v>Kota Tasikmalaya</v>
      </c>
      <c r="C166" s="81" t="str">
        <f t="array" ref="C166">XLOOKUP(B166,Reference!$A$2:$A$152,Reference!$B$2:$B$152)</f>
        <v>Jawa Barat</v>
      </c>
      <c r="D166" s="82" t="s">
        <v>557</v>
      </c>
      <c r="E166" s="83">
        <v>45323.0</v>
      </c>
      <c r="F166" s="84" t="str">
        <f t="array" ref="F166">XLOOKUP(G166,Reference!$F:$F,Reference!$D:$D,"null")</f>
        <v>Makanan dan Pakaian </v>
      </c>
      <c r="G166" s="85" t="s">
        <v>48</v>
      </c>
      <c r="H166" s="86">
        <v>111.16</v>
      </c>
      <c r="I166" s="86">
        <v>107.77</v>
      </c>
      <c r="J166" s="87">
        <f t="shared" si="2"/>
        <v>3.145587826</v>
      </c>
      <c r="K166" s="84" t="str">
        <f t="shared" si="3"/>
        <v>Inflasi Tinggi</v>
      </c>
      <c r="L166" s="84">
        <f t="shared" si="4"/>
        <v>3.39</v>
      </c>
      <c r="M166" s="88" t="str">
        <f t="shared" si="5"/>
        <v>Akselerasi Kuat</v>
      </c>
    </row>
    <row r="167" ht="18.75" customHeight="1">
      <c r="A167" s="80" t="s">
        <v>558</v>
      </c>
      <c r="B167" s="81" t="str">
        <f t="shared" si="1"/>
        <v>Kab Kapuas</v>
      </c>
      <c r="C167" s="81" t="str">
        <f t="array" ref="C167">XLOOKUP(B167,Reference!$A$2:$A$152,Reference!$B$2:$B$152)</f>
        <v>Kalimantan Tengah</v>
      </c>
      <c r="D167" s="82" t="s">
        <v>559</v>
      </c>
      <c r="E167" s="83">
        <v>45352.0</v>
      </c>
      <c r="F167" s="84" t="str">
        <f t="array" ref="F167">XLOOKUP(G167,Reference!$F:$F,Reference!$D:$D,"null")</f>
        <v>Rumah Tangga</v>
      </c>
      <c r="G167" s="89" t="s">
        <v>84</v>
      </c>
      <c r="H167" s="90">
        <v>103.89</v>
      </c>
      <c r="I167" s="90">
        <v>103.57</v>
      </c>
      <c r="J167" s="87">
        <f t="shared" si="2"/>
        <v>0.3089697789</v>
      </c>
      <c r="K167" s="84" t="str">
        <f t="shared" si="3"/>
        <v>Inflasi Normal</v>
      </c>
      <c r="L167" s="91">
        <f t="shared" si="4"/>
        <v>0.32</v>
      </c>
      <c r="M167" s="88" t="str">
        <f t="shared" si="5"/>
        <v>Perubahan Normal</v>
      </c>
    </row>
    <row r="168" ht="18.75" customHeight="1">
      <c r="A168" s="80" t="s">
        <v>320</v>
      </c>
      <c r="B168" s="81" t="str">
        <f t="shared" si="1"/>
        <v>Kota Manado</v>
      </c>
      <c r="C168" s="81" t="str">
        <f t="array" ref="C168">XLOOKUP(B168,Reference!$A$2:$A$152,Reference!$B$2:$B$152)</f>
        <v>Sulawesi Utara</v>
      </c>
      <c r="D168" s="82" t="s">
        <v>560</v>
      </c>
      <c r="E168" s="83">
        <v>45323.0</v>
      </c>
      <c r="F168" s="84" t="str">
        <f t="array" ref="F168">XLOOKUP(G168,Reference!$F:$F,Reference!$D:$D,"null")</f>
        <v>Rumah Tangga</v>
      </c>
      <c r="G168" s="85" t="s">
        <v>84</v>
      </c>
      <c r="H168" s="86">
        <v>100.57</v>
      </c>
      <c r="I168" s="86">
        <v>100.57</v>
      </c>
      <c r="J168" s="87">
        <f t="shared" si="2"/>
        <v>0</v>
      </c>
      <c r="K168" s="84" t="str">
        <f t="shared" si="3"/>
        <v>Stabil</v>
      </c>
      <c r="L168" s="84">
        <f t="shared" si="4"/>
        <v>0</v>
      </c>
      <c r="M168" s="88" t="str">
        <f t="shared" si="5"/>
        <v>Perubahan Normal</v>
      </c>
    </row>
    <row r="169" ht="18.75" customHeight="1">
      <c r="A169" s="80" t="s">
        <v>316</v>
      </c>
      <c r="B169" s="81" t="str">
        <f t="shared" si="1"/>
        <v>Singaraja</v>
      </c>
      <c r="C169" s="81" t="str">
        <f t="array" ref="C169">XLOOKUP(B169,Reference!$A$2:$A$152,Reference!$B$2:$B$152)</f>
        <v>Bali</v>
      </c>
      <c r="D169" s="82" t="s">
        <v>561</v>
      </c>
      <c r="E169" s="83">
        <v>45352.0</v>
      </c>
      <c r="F169" s="84" t="str">
        <f t="array" ref="F169">XLOOKUP(G169,Reference!$F:$F,Reference!$D:$D,"null")</f>
        <v>Rumah Tangga</v>
      </c>
      <c r="G169" s="85" t="s">
        <v>80</v>
      </c>
      <c r="H169" s="86">
        <v>101.89</v>
      </c>
      <c r="I169" s="86">
        <v>101.89</v>
      </c>
      <c r="J169" s="87">
        <f t="shared" si="2"/>
        <v>0</v>
      </c>
      <c r="K169" s="84" t="str">
        <f t="shared" si="3"/>
        <v>Stabil</v>
      </c>
      <c r="L169" s="84">
        <f t="shared" si="4"/>
        <v>0</v>
      </c>
      <c r="M169" s="88" t="str">
        <f t="shared" si="5"/>
        <v>Perubahan Normal</v>
      </c>
    </row>
    <row r="170" ht="18.75" customHeight="1">
      <c r="A170" s="80" t="s">
        <v>389</v>
      </c>
      <c r="B170" s="81" t="str">
        <f t="shared" si="1"/>
        <v>Tembilahan</v>
      </c>
      <c r="C170" s="81" t="str">
        <f t="array" ref="C170">XLOOKUP(B170,Reference!$A$2:$A$152,Reference!$B$2:$B$152)</f>
        <v>Riau</v>
      </c>
      <c r="D170" s="82" t="s">
        <v>562</v>
      </c>
      <c r="E170" s="83">
        <v>45352.0</v>
      </c>
      <c r="F170" s="84" t="str">
        <f t="array" ref="F170">XLOOKUP(G170,Reference!$F:$F,Reference!$D:$D,"null")</f>
        <v>Rumah Tangga</v>
      </c>
      <c r="G170" s="85" t="s">
        <v>84</v>
      </c>
      <c r="H170" s="86">
        <v>100.72</v>
      </c>
      <c r="I170" s="86">
        <v>100.8</v>
      </c>
      <c r="J170" s="87">
        <f t="shared" si="2"/>
        <v>-0.07936507937</v>
      </c>
      <c r="K170" s="84" t="str">
        <f t="shared" si="3"/>
        <v>Deflasi</v>
      </c>
      <c r="L170" s="84">
        <f t="shared" si="4"/>
        <v>-0.08</v>
      </c>
      <c r="M170" s="88" t="str">
        <f t="shared" si="5"/>
        <v>Perubahan Normal</v>
      </c>
    </row>
    <row r="171" ht="18.75" customHeight="1">
      <c r="A171" s="80" t="s">
        <v>466</v>
      </c>
      <c r="B171" s="81" t="str">
        <f t="shared" si="1"/>
        <v>Kota Surabaya</v>
      </c>
      <c r="C171" s="81" t="str">
        <f t="array" ref="C171">XLOOKUP(B171,Reference!$A$2:$A$152,Reference!$B$2:$B$152)</f>
        <v>Jawa Timur</v>
      </c>
      <c r="D171" s="82" t="s">
        <v>563</v>
      </c>
      <c r="E171" s="83">
        <v>45323.0</v>
      </c>
      <c r="F171" s="84" t="str">
        <f t="array" ref="F171">XLOOKUP(G171,Reference!$F:$F,Reference!$D:$D,"null")</f>
        <v>Makanan dan Pakaian </v>
      </c>
      <c r="G171" s="85" t="s">
        <v>48</v>
      </c>
      <c r="H171" s="86">
        <v>110.77</v>
      </c>
      <c r="I171" s="86">
        <v>108.16</v>
      </c>
      <c r="J171" s="87">
        <f t="shared" si="2"/>
        <v>2.413091716</v>
      </c>
      <c r="K171" s="84" t="str">
        <f t="shared" si="3"/>
        <v>Inflasi Tinggi</v>
      </c>
      <c r="L171" s="84">
        <f t="shared" si="4"/>
        <v>2.61</v>
      </c>
      <c r="M171" s="88" t="str">
        <f t="shared" si="5"/>
        <v>Akselerasi Kuat</v>
      </c>
    </row>
    <row r="172" ht="18.75" customHeight="1">
      <c r="A172" s="80" t="s">
        <v>358</v>
      </c>
      <c r="B172" s="81" t="str">
        <f t="shared" si="1"/>
        <v>Kab Minahasa Utara</v>
      </c>
      <c r="C172" s="81" t="str">
        <f t="array" ref="C172">XLOOKUP(B172,Reference!$A$2:$A$152,Reference!$B$2:$B$152)</f>
        <v>Sulawesi Utara</v>
      </c>
      <c r="D172" s="82" t="s">
        <v>564</v>
      </c>
      <c r="E172" s="83">
        <v>45352.0</v>
      </c>
      <c r="F172" s="84" t="str">
        <f t="array" ref="F172">XLOOKUP(G172,Reference!$F:$F,Reference!$D:$D,"null")</f>
        <v>Rekreasi dan Kendaraan</v>
      </c>
      <c r="G172" s="85" t="s">
        <v>105</v>
      </c>
      <c r="H172" s="86">
        <v>102.22</v>
      </c>
      <c r="I172" s="86">
        <v>102.22</v>
      </c>
      <c r="J172" s="87">
        <f t="shared" si="2"/>
        <v>0</v>
      </c>
      <c r="K172" s="84" t="str">
        <f t="shared" si="3"/>
        <v>Stabil</v>
      </c>
      <c r="L172" s="84">
        <f t="shared" si="4"/>
        <v>0</v>
      </c>
      <c r="M172" s="88" t="str">
        <f t="shared" si="5"/>
        <v>Perubahan Normal</v>
      </c>
    </row>
    <row r="173" ht="18.75" customHeight="1">
      <c r="A173" s="80" t="s">
        <v>473</v>
      </c>
      <c r="B173" s="81" t="str">
        <f t="shared" si="1"/>
        <v>Kab Wajo</v>
      </c>
      <c r="C173" s="81" t="str">
        <f t="array" ref="C173">XLOOKUP(B173,Reference!$A$2:$A$152,Reference!$B$2:$B$152)</f>
        <v>Sulawesi Selatan</v>
      </c>
      <c r="D173" s="82" t="s">
        <v>565</v>
      </c>
      <c r="E173" s="83">
        <v>45352.0</v>
      </c>
      <c r="F173" s="84" t="str">
        <f t="array" ref="F173">XLOOKUP(G173,Reference!$F:$F,Reference!$D:$D,"null")</f>
        <v>Makanan dan Pakaian </v>
      </c>
      <c r="G173" s="85" t="s">
        <v>72</v>
      </c>
      <c r="H173" s="86">
        <v>113.97</v>
      </c>
      <c r="I173" s="86">
        <v>113.84</v>
      </c>
      <c r="J173" s="87">
        <f t="shared" si="2"/>
        <v>0.1141953619</v>
      </c>
      <c r="K173" s="84" t="str">
        <f t="shared" si="3"/>
        <v>Inflasi Normal</v>
      </c>
      <c r="L173" s="84">
        <f t="shared" si="4"/>
        <v>0.13</v>
      </c>
      <c r="M173" s="88" t="str">
        <f t="shared" si="5"/>
        <v>Perubahan Normal</v>
      </c>
    </row>
    <row r="174" ht="18.75" customHeight="1">
      <c r="A174" s="80" t="s">
        <v>423</v>
      </c>
      <c r="B174" s="81" t="str">
        <f t="shared" si="1"/>
        <v>Kota Kotamobagu</v>
      </c>
      <c r="C174" s="81" t="str">
        <f t="array" ref="C174">XLOOKUP(B174,Reference!$A$2:$A$152,Reference!$B$2:$B$152)</f>
        <v>Sulawesi Utara</v>
      </c>
      <c r="D174" s="82" t="s">
        <v>566</v>
      </c>
      <c r="E174" s="83">
        <v>45323.0</v>
      </c>
      <c r="F174" s="84" t="str">
        <f t="array" ref="F174">XLOOKUP(G174,Reference!$F:$F,Reference!$D:$D,"null")</f>
        <v>Pendidikan dan Kesehatan</v>
      </c>
      <c r="G174" s="85" t="s">
        <v>98</v>
      </c>
      <c r="H174" s="86">
        <v>105.87</v>
      </c>
      <c r="I174" s="86">
        <v>105.87</v>
      </c>
      <c r="J174" s="87">
        <f t="shared" si="2"/>
        <v>0</v>
      </c>
      <c r="K174" s="84" t="str">
        <f t="shared" si="3"/>
        <v>Stabil</v>
      </c>
      <c r="L174" s="84">
        <f t="shared" si="4"/>
        <v>0</v>
      </c>
      <c r="M174" s="88" t="str">
        <f t="shared" si="5"/>
        <v>Perubahan Normal</v>
      </c>
    </row>
    <row r="175" ht="18.75" customHeight="1">
      <c r="A175" s="80" t="s">
        <v>417</v>
      </c>
      <c r="B175" s="81" t="str">
        <f t="shared" si="1"/>
        <v>Kotabaru</v>
      </c>
      <c r="C175" s="81" t="str">
        <f t="array" ref="C175">XLOOKUP(B175,Reference!$A$2:$A$152,Reference!$B$2:$B$152)</f>
        <v>Kalimantan Selatan</v>
      </c>
      <c r="D175" s="82" t="s">
        <v>567</v>
      </c>
      <c r="E175" s="83">
        <v>45352.0</v>
      </c>
      <c r="F175" s="84" t="str">
        <f t="array" ref="F175">XLOOKUP(G175,Reference!$F:$F,Reference!$D:$D,"null")</f>
        <v>Rumah Tangga</v>
      </c>
      <c r="G175" s="85" t="s">
        <v>80</v>
      </c>
      <c r="H175" s="86">
        <v>100.77</v>
      </c>
      <c r="I175" s="86">
        <v>100.77</v>
      </c>
      <c r="J175" s="87">
        <f t="shared" si="2"/>
        <v>0</v>
      </c>
      <c r="K175" s="84" t="str">
        <f t="shared" si="3"/>
        <v>Stabil</v>
      </c>
      <c r="L175" s="84">
        <f t="shared" si="4"/>
        <v>0</v>
      </c>
      <c r="M175" s="88" t="str">
        <f t="shared" si="5"/>
        <v>Perubahan Normal</v>
      </c>
    </row>
    <row r="176" ht="18.75" customHeight="1">
      <c r="A176" s="80" t="s">
        <v>367</v>
      </c>
      <c r="B176" s="81" t="str">
        <f t="shared" si="1"/>
        <v>Kota Jambi</v>
      </c>
      <c r="C176" s="81" t="str">
        <f t="array" ref="C176">XLOOKUP(B176,Reference!$A$2:$A$152,Reference!$B$2:$B$152)</f>
        <v>Jambi</v>
      </c>
      <c r="D176" s="82" t="s">
        <v>568</v>
      </c>
      <c r="E176" s="83">
        <v>45352.0</v>
      </c>
      <c r="F176" s="84" t="str">
        <f t="array" ref="F176">XLOOKUP(G176,Reference!$F:$F,Reference!$D:$D,"null")</f>
        <v>Makanan dan Pakaian </v>
      </c>
      <c r="G176" s="85" t="s">
        <v>56</v>
      </c>
      <c r="H176" s="86">
        <v>112.9</v>
      </c>
      <c r="I176" s="86">
        <v>111.38</v>
      </c>
      <c r="J176" s="87">
        <f t="shared" si="2"/>
        <v>1.364697432</v>
      </c>
      <c r="K176" s="84" t="str">
        <f t="shared" si="3"/>
        <v>Inflasi Tinggi</v>
      </c>
      <c r="L176" s="84">
        <f t="shared" si="4"/>
        <v>1.52</v>
      </c>
      <c r="M176" s="88" t="str">
        <f t="shared" si="5"/>
        <v>Akselerasi Persentase</v>
      </c>
    </row>
    <row r="177" ht="18.75" customHeight="1">
      <c r="A177" s="80" t="s">
        <v>397</v>
      </c>
      <c r="B177" s="81" t="str">
        <f t="shared" si="1"/>
        <v>Kota Pematangsiantar</v>
      </c>
      <c r="C177" s="81" t="str">
        <f t="array" ref="C177">XLOOKUP(B177,Reference!$A$2:$A$152,Reference!$B$2:$B$152)</f>
        <v>Sumatera Utara</v>
      </c>
      <c r="D177" s="82" t="s">
        <v>569</v>
      </c>
      <c r="E177" s="83">
        <v>45323.0</v>
      </c>
      <c r="F177" s="84" t="str">
        <f t="array" ref="F177">XLOOKUP(G177,Reference!$F:$F,Reference!$D:$D,"null")</f>
        <v>Makanan dan Pakaian </v>
      </c>
      <c r="G177" s="89" t="s">
        <v>56</v>
      </c>
      <c r="H177" s="90">
        <v>109.88</v>
      </c>
      <c r="I177" s="90">
        <v>107.4</v>
      </c>
      <c r="J177" s="87">
        <f t="shared" si="2"/>
        <v>2.309124767</v>
      </c>
      <c r="K177" s="84" t="str">
        <f t="shared" si="3"/>
        <v>Inflasi Tinggi</v>
      </c>
      <c r="L177" s="91">
        <f t="shared" si="4"/>
        <v>2.48</v>
      </c>
      <c r="M177" s="88" t="str">
        <f t="shared" si="5"/>
        <v>Akselerasi Kuat</v>
      </c>
    </row>
    <row r="178" ht="18.75" customHeight="1">
      <c r="A178" s="80" t="s">
        <v>492</v>
      </c>
      <c r="B178" s="81" t="str">
        <f t="shared" si="1"/>
        <v>Kota Cilegon</v>
      </c>
      <c r="C178" s="81" t="str">
        <f t="array" ref="C178">XLOOKUP(B178,Reference!$A$2:$A$152,Reference!$B$2:$B$152)</f>
        <v>Banten</v>
      </c>
      <c r="D178" s="82" t="s">
        <v>570</v>
      </c>
      <c r="E178" s="83">
        <v>45352.0</v>
      </c>
      <c r="F178" s="84" t="str">
        <f t="array" ref="F178">XLOOKUP(G178,Reference!$F:$F,Reference!$D:$D,"null")</f>
        <v>Rumah Tangga</v>
      </c>
      <c r="G178" s="85" t="s">
        <v>89</v>
      </c>
      <c r="H178" s="86">
        <v>105.32</v>
      </c>
      <c r="I178" s="86">
        <v>105.32</v>
      </c>
      <c r="J178" s="87">
        <f t="shared" si="2"/>
        <v>0</v>
      </c>
      <c r="K178" s="84" t="str">
        <f t="shared" si="3"/>
        <v>Stabil</v>
      </c>
      <c r="L178" s="84">
        <f t="shared" si="4"/>
        <v>0</v>
      </c>
      <c r="M178" s="88" t="str">
        <f t="shared" si="5"/>
        <v>Perubahan Normal</v>
      </c>
    </row>
    <row r="179" ht="18.75" customHeight="1">
      <c r="A179" s="80" t="s">
        <v>571</v>
      </c>
      <c r="B179" s="81" t="str">
        <f t="shared" si="1"/>
        <v>Kota Sorong</v>
      </c>
      <c r="C179" s="81" t="str">
        <f t="array" ref="C179">XLOOKUP(B179,Reference!$A$2:$A$152,Reference!$B$2:$B$152)</f>
        <v>Papua Barat Daya</v>
      </c>
      <c r="D179" s="82" t="s">
        <v>572</v>
      </c>
      <c r="E179" s="83">
        <v>45352.0</v>
      </c>
      <c r="F179" s="84" t="str">
        <f t="array" ref="F179">XLOOKUP(G179,Reference!$F:$F,Reference!$D:$D,"null")</f>
        <v>Rumah Tangga</v>
      </c>
      <c r="G179" s="85" t="s">
        <v>80</v>
      </c>
      <c r="H179" s="86">
        <v>100.65</v>
      </c>
      <c r="I179" s="86">
        <v>100.65</v>
      </c>
      <c r="J179" s="87">
        <f t="shared" si="2"/>
        <v>0</v>
      </c>
      <c r="K179" s="84" t="str">
        <f t="shared" si="3"/>
        <v>Stabil</v>
      </c>
      <c r="L179" s="84">
        <f t="shared" si="4"/>
        <v>0</v>
      </c>
      <c r="M179" s="88" t="str">
        <f t="shared" si="5"/>
        <v>Perubahan Normal</v>
      </c>
    </row>
    <row r="180" ht="18.75" customHeight="1">
      <c r="A180" s="80" t="s">
        <v>573</v>
      </c>
      <c r="B180" s="81" t="str">
        <f t="shared" si="1"/>
        <v>Kota Palangkaraya</v>
      </c>
      <c r="C180" s="81" t="str">
        <f t="array" ref="C180">XLOOKUP(B180,Reference!$A$2:$A$152,Reference!$B$2:$B$152)</f>
        <v>Kalimantan Tengah</v>
      </c>
      <c r="D180" s="82" t="s">
        <v>574</v>
      </c>
      <c r="E180" s="83">
        <v>45323.0</v>
      </c>
      <c r="F180" s="84" t="str">
        <f t="array" ref="F180">XLOOKUP(G180,Reference!$F:$F,Reference!$D:$D,"null")</f>
        <v>Pendidikan dan Kesehatan</v>
      </c>
      <c r="G180" s="85" t="s">
        <v>95</v>
      </c>
      <c r="H180" s="86">
        <v>104.86</v>
      </c>
      <c r="I180" s="86">
        <v>104.82</v>
      </c>
      <c r="J180" s="87">
        <f t="shared" si="2"/>
        <v>0.03816065636</v>
      </c>
      <c r="K180" s="84" t="str">
        <f t="shared" si="3"/>
        <v>Inflasi Normal</v>
      </c>
      <c r="L180" s="84">
        <f t="shared" si="4"/>
        <v>0.04</v>
      </c>
      <c r="M180" s="88" t="str">
        <f t="shared" si="5"/>
        <v>Perubahan Normal</v>
      </c>
    </row>
    <row r="181" ht="18.75" customHeight="1">
      <c r="A181" s="80" t="s">
        <v>412</v>
      </c>
      <c r="B181" s="81" t="str">
        <f t="shared" si="1"/>
        <v>Cilacap</v>
      </c>
      <c r="C181" s="81" t="str">
        <f t="array" ref="C181">XLOOKUP(B181,Reference!$A$2:$A$152,Reference!$B$2:$B$152)</f>
        <v>Jawa Tengah</v>
      </c>
      <c r="D181" s="82" t="s">
        <v>575</v>
      </c>
      <c r="E181" s="83">
        <v>45352.0</v>
      </c>
      <c r="F181" s="84" t="str">
        <f t="array" ref="F181">XLOOKUP(G181,Reference!$F:$F,Reference!$D:$D,"null")</f>
        <v>Rekreasi dan Kendaraan</v>
      </c>
      <c r="G181" s="85" t="s">
        <v>102</v>
      </c>
      <c r="H181" s="86">
        <v>103.01</v>
      </c>
      <c r="I181" s="86">
        <v>102.88</v>
      </c>
      <c r="J181" s="87">
        <f t="shared" si="2"/>
        <v>0.1263608087</v>
      </c>
      <c r="K181" s="84" t="str">
        <f t="shared" si="3"/>
        <v>Inflasi Normal</v>
      </c>
      <c r="L181" s="84">
        <f t="shared" si="4"/>
        <v>0.13</v>
      </c>
      <c r="M181" s="88" t="str">
        <f t="shared" si="5"/>
        <v>Perubahan Normal</v>
      </c>
    </row>
    <row r="182" ht="18.75" customHeight="1">
      <c r="A182" s="80" t="s">
        <v>576</v>
      </c>
      <c r="B182" s="81" t="str">
        <f t="shared" si="1"/>
        <v>Kab Tabanan</v>
      </c>
      <c r="C182" s="81" t="str">
        <f t="array" ref="C182">XLOOKUP(B182,Reference!$A$2:$A$152,Reference!$B$2:$B$152)</f>
        <v>Bali</v>
      </c>
      <c r="D182" s="82" t="s">
        <v>577</v>
      </c>
      <c r="E182" s="83">
        <v>45352.0</v>
      </c>
      <c r="F182" s="84" t="str">
        <f t="array" ref="F182">XLOOKUP(G182,Reference!$F:$F,Reference!$D:$D,"null")</f>
        <v>Pendidikan dan Kesehatan</v>
      </c>
      <c r="G182" s="85" t="s">
        <v>95</v>
      </c>
      <c r="H182" s="86">
        <v>101.53</v>
      </c>
      <c r="I182" s="86">
        <v>101.53</v>
      </c>
      <c r="J182" s="87">
        <f t="shared" si="2"/>
        <v>0</v>
      </c>
      <c r="K182" s="84" t="str">
        <f t="shared" si="3"/>
        <v>Stabil</v>
      </c>
      <c r="L182" s="84">
        <f t="shared" si="4"/>
        <v>0</v>
      </c>
      <c r="M182" s="88" t="str">
        <f t="shared" si="5"/>
        <v>Perubahan Normal</v>
      </c>
    </row>
    <row r="183" ht="18.75" customHeight="1">
      <c r="A183" s="80" t="s">
        <v>578</v>
      </c>
      <c r="B183" s="81" t="str">
        <f t="shared" si="1"/>
        <v>Kab Belitung Timur</v>
      </c>
      <c r="C183" s="81" t="str">
        <f t="array" ref="C183">XLOOKUP(B183,Reference!$A$2:$A$152,Reference!$B$2:$B$152)</f>
        <v>Kepulauan Bangka Belitung</v>
      </c>
      <c r="D183" s="82" t="s">
        <v>579</v>
      </c>
      <c r="E183" s="83">
        <v>45323.0</v>
      </c>
      <c r="F183" s="84" t="str">
        <f t="array" ref="F183">XLOOKUP(G183,Reference!$F:$F,Reference!$D:$D,"null")</f>
        <v>Makanan dan Pakaian </v>
      </c>
      <c r="G183" s="85" t="s">
        <v>64</v>
      </c>
      <c r="H183" s="86">
        <v>110.6</v>
      </c>
      <c r="I183" s="86">
        <v>110.6</v>
      </c>
      <c r="J183" s="87">
        <f t="shared" si="2"/>
        <v>0</v>
      </c>
      <c r="K183" s="84" t="str">
        <f t="shared" si="3"/>
        <v>Stabil</v>
      </c>
      <c r="L183" s="84">
        <f t="shared" si="4"/>
        <v>0</v>
      </c>
      <c r="M183" s="88" t="str">
        <f t="shared" si="5"/>
        <v>Perubahan Normal</v>
      </c>
    </row>
    <row r="184" ht="18.75" customHeight="1">
      <c r="A184" s="80" t="s">
        <v>331</v>
      </c>
      <c r="B184" s="81" t="str">
        <f t="shared" si="1"/>
        <v>Kota Lhokseumawe</v>
      </c>
      <c r="C184" s="81" t="str">
        <f t="array" ref="C184">XLOOKUP(B184,Reference!$A$2:$A$152,Reference!$B$2:$B$152)</f>
        <v>Aceh</v>
      </c>
      <c r="D184" s="82" t="s">
        <v>580</v>
      </c>
      <c r="E184" s="83">
        <v>45323.0</v>
      </c>
      <c r="F184" s="84" t="str">
        <f t="array" ref="F184">XLOOKUP(G184,Reference!$F:$F,Reference!$D:$D,"null")</f>
        <v>Rekreasi dan Kendaraan</v>
      </c>
      <c r="G184" s="89" t="s">
        <v>102</v>
      </c>
      <c r="H184" s="90">
        <v>112.81</v>
      </c>
      <c r="I184" s="90">
        <v>112.81</v>
      </c>
      <c r="J184" s="87">
        <f t="shared" si="2"/>
        <v>0</v>
      </c>
      <c r="K184" s="84" t="str">
        <f t="shared" si="3"/>
        <v>Stabil</v>
      </c>
      <c r="L184" s="91">
        <f t="shared" si="4"/>
        <v>0</v>
      </c>
      <c r="M184" s="88" t="str">
        <f t="shared" si="5"/>
        <v>Perubahan Normal</v>
      </c>
    </row>
    <row r="185" ht="18.75" customHeight="1">
      <c r="A185" s="80" t="s">
        <v>581</v>
      </c>
      <c r="B185" s="81" t="str">
        <f t="shared" si="1"/>
        <v>Kab Dharmasraya</v>
      </c>
      <c r="C185" s="81" t="str">
        <f t="array" ref="C185">XLOOKUP(B185,Reference!$A$2:$A$152,Reference!$B$2:$B$152)</f>
        <v>Sumatera Barat</v>
      </c>
      <c r="D185" s="82" t="s">
        <v>582</v>
      </c>
      <c r="E185" s="83">
        <v>45352.0</v>
      </c>
      <c r="F185" s="84" t="str">
        <f t="array" ref="F185">XLOOKUP(G185,Reference!$F:$F,Reference!$D:$D,"null")</f>
        <v>Rumah Tangga</v>
      </c>
      <c r="G185" s="85" t="s">
        <v>80</v>
      </c>
      <c r="H185" s="86">
        <v>100.52</v>
      </c>
      <c r="I185" s="86">
        <v>100.52</v>
      </c>
      <c r="J185" s="87">
        <f t="shared" si="2"/>
        <v>0</v>
      </c>
      <c r="K185" s="84" t="str">
        <f t="shared" si="3"/>
        <v>Stabil</v>
      </c>
      <c r="L185" s="84">
        <f t="shared" si="4"/>
        <v>0</v>
      </c>
      <c r="M185" s="88" t="str">
        <f t="shared" si="5"/>
        <v>Perubahan Normal</v>
      </c>
    </row>
    <row r="186" ht="18.75" customHeight="1">
      <c r="A186" s="80" t="s">
        <v>445</v>
      </c>
      <c r="B186" s="81" t="str">
        <f t="shared" si="1"/>
        <v>Kab Bangka Barat</v>
      </c>
      <c r="C186" s="81" t="str">
        <f t="array" ref="C186">XLOOKUP(B186,Reference!$A$2:$A$152,Reference!$B$2:$B$152)</f>
        <v>Kepulauan Bangka Belitung</v>
      </c>
      <c r="D186" s="82" t="s">
        <v>583</v>
      </c>
      <c r="E186" s="83">
        <v>45323.0</v>
      </c>
      <c r="F186" s="84" t="str">
        <f t="array" ref="F186">XLOOKUP(G186,Reference!$F:$F,Reference!$D:$D,"null")</f>
        <v>Makanan dan Pakaian </v>
      </c>
      <c r="G186" s="85" t="s">
        <v>56</v>
      </c>
      <c r="H186" s="86">
        <v>107.19</v>
      </c>
      <c r="I186" s="86">
        <v>107.19</v>
      </c>
      <c r="J186" s="87">
        <f t="shared" si="2"/>
        <v>0</v>
      </c>
      <c r="K186" s="84" t="str">
        <f t="shared" si="3"/>
        <v>Stabil</v>
      </c>
      <c r="L186" s="84">
        <f t="shared" si="4"/>
        <v>0</v>
      </c>
      <c r="M186" s="88" t="str">
        <f t="shared" si="5"/>
        <v>Perubahan Normal</v>
      </c>
    </row>
    <row r="187" ht="18.75" customHeight="1">
      <c r="A187" s="80" t="s">
        <v>584</v>
      </c>
      <c r="B187" s="81" t="str">
        <f t="shared" si="1"/>
        <v>Kota Sibolga</v>
      </c>
      <c r="C187" s="81" t="str">
        <f t="array" ref="C187">XLOOKUP(B187,Reference!$A$2:$A$152,Reference!$B$2:$B$152)</f>
        <v>Sumatera Utara</v>
      </c>
      <c r="D187" s="82" t="s">
        <v>585</v>
      </c>
      <c r="E187" s="83">
        <v>45323.0</v>
      </c>
      <c r="F187" s="84" t="str">
        <f t="array" ref="F187">XLOOKUP(G187,Reference!$F:$F,Reference!$D:$D,"null")</f>
        <v>Makanan dan Pakaian </v>
      </c>
      <c r="G187" s="85" t="s">
        <v>64</v>
      </c>
      <c r="H187" s="86">
        <v>104.43</v>
      </c>
      <c r="I187" s="86">
        <v>104.5</v>
      </c>
      <c r="J187" s="87">
        <f t="shared" si="2"/>
        <v>-0.06698564593</v>
      </c>
      <c r="K187" s="84" t="str">
        <f t="shared" si="3"/>
        <v>Deflasi</v>
      </c>
      <c r="L187" s="84">
        <f t="shared" si="4"/>
        <v>-0.07</v>
      </c>
      <c r="M187" s="88" t="str">
        <f t="shared" si="5"/>
        <v>Perubahan Normal</v>
      </c>
    </row>
    <row r="188" ht="18.75" customHeight="1">
      <c r="A188" s="80" t="s">
        <v>586</v>
      </c>
      <c r="B188" s="81" t="str">
        <f t="shared" si="1"/>
        <v>Kab Karimun</v>
      </c>
      <c r="C188" s="81" t="str">
        <f t="array" ref="C188">XLOOKUP(B188,Reference!$A$2:$A$152,Reference!$B$2:$B$152)</f>
        <v>Kepulauan Riau</v>
      </c>
      <c r="D188" s="82" t="s">
        <v>587</v>
      </c>
      <c r="E188" s="83">
        <v>45352.0</v>
      </c>
      <c r="F188" s="84" t="str">
        <f t="array" ref="F188">XLOOKUP(G188,Reference!$F:$F,Reference!$D:$D,"null")</f>
        <v>Makanan dan Pakaian </v>
      </c>
      <c r="G188" s="85" t="s">
        <v>56</v>
      </c>
      <c r="H188" s="86">
        <v>107.53</v>
      </c>
      <c r="I188" s="86">
        <v>107.45</v>
      </c>
      <c r="J188" s="87">
        <f t="shared" si="2"/>
        <v>0.07445323406</v>
      </c>
      <c r="K188" s="84" t="str">
        <f t="shared" si="3"/>
        <v>Inflasi Normal</v>
      </c>
      <c r="L188" s="84">
        <f t="shared" si="4"/>
        <v>0.08</v>
      </c>
      <c r="M188" s="88" t="str">
        <f t="shared" si="5"/>
        <v>Perubahan Normal</v>
      </c>
    </row>
    <row r="189" ht="18.75" customHeight="1">
      <c r="A189" s="80" t="s">
        <v>380</v>
      </c>
      <c r="B189" s="81" t="str">
        <f t="shared" si="1"/>
        <v>Kota Bengkulu</v>
      </c>
      <c r="C189" s="81" t="str">
        <f t="array" ref="C189">XLOOKUP(B189,Reference!$A$2:$A$152,Reference!$B$2:$B$152)</f>
        <v>Bengkulu</v>
      </c>
      <c r="D189" s="82" t="s">
        <v>588</v>
      </c>
      <c r="E189" s="83">
        <v>45323.0</v>
      </c>
      <c r="F189" s="84" t="str">
        <f t="array" ref="F189">XLOOKUP(G189,Reference!$F:$F,Reference!$D:$D,"null")</f>
        <v>Rumah Tangga</v>
      </c>
      <c r="G189" s="85" t="s">
        <v>80</v>
      </c>
      <c r="H189" s="86">
        <v>102.33</v>
      </c>
      <c r="I189" s="86">
        <v>102.33</v>
      </c>
      <c r="J189" s="87">
        <f t="shared" si="2"/>
        <v>0</v>
      </c>
      <c r="K189" s="84" t="str">
        <f t="shared" si="3"/>
        <v>Stabil</v>
      </c>
      <c r="L189" s="84">
        <f t="shared" si="4"/>
        <v>0</v>
      </c>
      <c r="M189" s="88" t="str">
        <f t="shared" si="5"/>
        <v>Perubahan Normal</v>
      </c>
    </row>
    <row r="190" ht="18.75" customHeight="1">
      <c r="A190" s="80" t="s">
        <v>584</v>
      </c>
      <c r="B190" s="81" t="str">
        <f t="shared" si="1"/>
        <v>Kota Sibolga</v>
      </c>
      <c r="C190" s="81" t="str">
        <f t="array" ref="C190">XLOOKUP(B190,Reference!$A$2:$A$152,Reference!$B$2:$B$152)</f>
        <v>Sumatera Utara</v>
      </c>
      <c r="D190" s="82" t="s">
        <v>589</v>
      </c>
      <c r="E190" s="83">
        <v>45323.0</v>
      </c>
      <c r="F190" s="84" t="str">
        <f t="array" ref="F190">XLOOKUP(G190,Reference!$F:$F,Reference!$D:$D,"null")</f>
        <v>Pendidikan dan Kesehatan</v>
      </c>
      <c r="G190" s="85" t="s">
        <v>95</v>
      </c>
      <c r="H190" s="86">
        <v>103.65</v>
      </c>
      <c r="I190" s="86">
        <v>103.65</v>
      </c>
      <c r="J190" s="87">
        <f t="shared" si="2"/>
        <v>0</v>
      </c>
      <c r="K190" s="84" t="str">
        <f t="shared" si="3"/>
        <v>Stabil</v>
      </c>
      <c r="L190" s="84">
        <f t="shared" si="4"/>
        <v>0</v>
      </c>
      <c r="M190" s="88" t="str">
        <f t="shared" si="5"/>
        <v>Perubahan Normal</v>
      </c>
    </row>
    <row r="191" ht="18.75" customHeight="1">
      <c r="A191" s="80" t="s">
        <v>355</v>
      </c>
      <c r="B191" s="81" t="str">
        <f t="shared" si="1"/>
        <v>Kota Gorontalo</v>
      </c>
      <c r="C191" s="81" t="str">
        <f t="array" ref="C191">XLOOKUP(B191,Reference!$A$2:$A$152,Reference!$B$2:$B$152)</f>
        <v>Gorontalo</v>
      </c>
      <c r="D191" s="82" t="s">
        <v>590</v>
      </c>
      <c r="E191" s="83">
        <v>45323.0</v>
      </c>
      <c r="F191" s="84" t="str">
        <f t="array" ref="F191">XLOOKUP(G191,Reference!$F:$F,Reference!$D:$D,"null")</f>
        <v>Makanan dan Pakaian </v>
      </c>
      <c r="G191" s="89" t="s">
        <v>72</v>
      </c>
      <c r="H191" s="90">
        <v>102.78</v>
      </c>
      <c r="I191" s="90">
        <v>102.78</v>
      </c>
      <c r="J191" s="87">
        <f t="shared" si="2"/>
        <v>0</v>
      </c>
      <c r="K191" s="84" t="str">
        <f t="shared" si="3"/>
        <v>Stabil</v>
      </c>
      <c r="L191" s="91">
        <f t="shared" si="4"/>
        <v>0</v>
      </c>
      <c r="M191" s="88" t="str">
        <f t="shared" si="5"/>
        <v>Perubahan Normal</v>
      </c>
    </row>
    <row r="192" ht="18.75" customHeight="1">
      <c r="A192" s="80" t="s">
        <v>578</v>
      </c>
      <c r="B192" s="81" t="str">
        <f t="shared" si="1"/>
        <v>Kab Belitung Timur</v>
      </c>
      <c r="C192" s="81" t="str">
        <f t="array" ref="C192">XLOOKUP(B192,Reference!$A$2:$A$152,Reference!$B$2:$B$152)</f>
        <v>Kepulauan Bangka Belitung</v>
      </c>
      <c r="D192" s="82" t="s">
        <v>591</v>
      </c>
      <c r="E192" s="83">
        <v>45323.0</v>
      </c>
      <c r="F192" s="84" t="str">
        <f t="array" ref="F192">XLOOKUP(G192,Reference!$F:$F,Reference!$D:$D,"null")</f>
        <v>Rumah Tangga</v>
      </c>
      <c r="G192" s="89" t="s">
        <v>80</v>
      </c>
      <c r="H192" s="90">
        <v>102.22</v>
      </c>
      <c r="I192" s="90">
        <v>101.72</v>
      </c>
      <c r="J192" s="87">
        <f t="shared" si="2"/>
        <v>0.4915454188</v>
      </c>
      <c r="K192" s="84" t="str">
        <f t="shared" si="3"/>
        <v>Inflasi Normal</v>
      </c>
      <c r="L192" s="91">
        <f t="shared" si="4"/>
        <v>0.5</v>
      </c>
      <c r="M192" s="88" t="str">
        <f t="shared" si="5"/>
        <v>Perubahan Normal</v>
      </c>
    </row>
    <row r="193" ht="18.75" customHeight="1">
      <c r="A193" s="80" t="s">
        <v>592</v>
      </c>
      <c r="B193" s="81" t="str">
        <f t="shared" si="1"/>
        <v>Kab Lampung Timur</v>
      </c>
      <c r="C193" s="81" t="str">
        <f t="array" ref="C193">XLOOKUP(B193,Reference!$A$2:$A$152,Reference!$B$2:$B$152)</f>
        <v>Lampung</v>
      </c>
      <c r="D193" s="82" t="s">
        <v>593</v>
      </c>
      <c r="E193" s="83">
        <v>45323.0</v>
      </c>
      <c r="F193" s="84" t="str">
        <f t="array" ref="F193">XLOOKUP(G193,Reference!$F:$F,Reference!$D:$D,"null")</f>
        <v>Rumah Tangga</v>
      </c>
      <c r="G193" s="85" t="s">
        <v>89</v>
      </c>
      <c r="H193" s="86">
        <v>110.43</v>
      </c>
      <c r="I193" s="86">
        <v>110.43</v>
      </c>
      <c r="J193" s="87">
        <f t="shared" si="2"/>
        <v>0</v>
      </c>
      <c r="K193" s="84" t="str">
        <f t="shared" si="3"/>
        <v>Stabil</v>
      </c>
      <c r="L193" s="84">
        <f t="shared" si="4"/>
        <v>0</v>
      </c>
      <c r="M193" s="88" t="str">
        <f t="shared" si="5"/>
        <v>Perubahan Normal</v>
      </c>
    </row>
    <row r="194" ht="18.75" customHeight="1">
      <c r="A194" s="80" t="s">
        <v>594</v>
      </c>
      <c r="B194" s="81" t="str">
        <f t="shared" si="1"/>
        <v>Kota Kendari</v>
      </c>
      <c r="C194" s="81" t="str">
        <f t="array" ref="C194">XLOOKUP(B194,Reference!$A$2:$A$152,Reference!$B$2:$B$152)</f>
        <v>Sulawesi Tenggara</v>
      </c>
      <c r="D194" s="82" t="s">
        <v>595</v>
      </c>
      <c r="E194" s="83">
        <v>45323.0</v>
      </c>
      <c r="F194" s="84" t="str">
        <f t="array" ref="F194">XLOOKUP(G194,Reference!$F:$F,Reference!$D:$D,"null")</f>
        <v>Rekreasi dan Kendaraan</v>
      </c>
      <c r="G194" s="85" t="s">
        <v>102</v>
      </c>
      <c r="H194" s="86">
        <v>101.56</v>
      </c>
      <c r="I194" s="86">
        <v>101.22</v>
      </c>
      <c r="J194" s="87">
        <f t="shared" si="2"/>
        <v>0.3359019957</v>
      </c>
      <c r="K194" s="84" t="str">
        <f t="shared" si="3"/>
        <v>Inflasi Normal</v>
      </c>
      <c r="L194" s="84">
        <f t="shared" si="4"/>
        <v>0.34</v>
      </c>
      <c r="M194" s="88" t="str">
        <f t="shared" si="5"/>
        <v>Perubahan Normal</v>
      </c>
    </row>
    <row r="195" ht="18.75" customHeight="1">
      <c r="A195" s="80" t="s">
        <v>466</v>
      </c>
      <c r="B195" s="81" t="str">
        <f t="shared" si="1"/>
        <v>Kota Surabaya</v>
      </c>
      <c r="C195" s="81" t="str">
        <f t="array" ref="C195">XLOOKUP(B195,Reference!$A$2:$A$152,Reference!$B$2:$B$152)</f>
        <v>Jawa Timur</v>
      </c>
      <c r="D195" s="82" t="s">
        <v>596</v>
      </c>
      <c r="E195" s="83">
        <v>45323.0</v>
      </c>
      <c r="F195" s="84" t="str">
        <f t="array" ref="F195">XLOOKUP(G195,Reference!$F:$F,Reference!$D:$D,"null")</f>
        <v>Makanan dan Pakaian </v>
      </c>
      <c r="G195" s="85" t="s">
        <v>72</v>
      </c>
      <c r="H195" s="86">
        <v>106.34</v>
      </c>
      <c r="I195" s="86">
        <v>106.16</v>
      </c>
      <c r="J195" s="87">
        <f t="shared" si="2"/>
        <v>0.1695553881</v>
      </c>
      <c r="K195" s="84" t="str">
        <f t="shared" si="3"/>
        <v>Inflasi Normal</v>
      </c>
      <c r="L195" s="84">
        <f t="shared" si="4"/>
        <v>0.18</v>
      </c>
      <c r="M195" s="88" t="str">
        <f t="shared" si="5"/>
        <v>Perubahan Normal</v>
      </c>
    </row>
    <row r="196" ht="18.75" customHeight="1">
      <c r="A196" s="80" t="s">
        <v>468</v>
      </c>
      <c r="B196" s="81" t="str">
        <f t="shared" si="1"/>
        <v>Timika</v>
      </c>
      <c r="C196" s="81" t="str">
        <f t="array" ref="C196">XLOOKUP(B196,Reference!$A$2:$A$152,Reference!$B$2:$B$152)</f>
        <v>Papua</v>
      </c>
      <c r="D196" s="82" t="s">
        <v>597</v>
      </c>
      <c r="E196" s="83">
        <v>45352.0</v>
      </c>
      <c r="F196" s="84" t="str">
        <f t="array" ref="F196">XLOOKUP(G196,Reference!$F:$F,Reference!$D:$D,"null")</f>
        <v>Makanan dan Pakaian </v>
      </c>
      <c r="G196" s="85" t="s">
        <v>72</v>
      </c>
      <c r="H196" s="86">
        <v>101.47</v>
      </c>
      <c r="I196" s="86">
        <v>101.41</v>
      </c>
      <c r="J196" s="87">
        <f t="shared" si="2"/>
        <v>0.05916576275</v>
      </c>
      <c r="K196" s="84" t="str">
        <f t="shared" si="3"/>
        <v>Inflasi Normal</v>
      </c>
      <c r="L196" s="84">
        <f t="shared" si="4"/>
        <v>0.06</v>
      </c>
      <c r="M196" s="88" t="str">
        <f t="shared" si="5"/>
        <v>Perubahan Normal</v>
      </c>
    </row>
    <row r="197" ht="18.75" customHeight="1">
      <c r="A197" s="80" t="s">
        <v>598</v>
      </c>
      <c r="B197" s="81" t="str">
        <f t="shared" si="1"/>
        <v>Kota Surakarta</v>
      </c>
      <c r="C197" s="81" t="str">
        <f t="array" ref="C197">XLOOKUP(B197,Reference!$A$2:$A$152,Reference!$B$2:$B$152)</f>
        <v>Jawa Tengah</v>
      </c>
      <c r="D197" s="82" t="s">
        <v>599</v>
      </c>
      <c r="E197" s="83">
        <v>45352.0</v>
      </c>
      <c r="F197" s="84" t="str">
        <f t="array" ref="F197">XLOOKUP(G197,Reference!$F:$F,Reference!$D:$D,"null")</f>
        <v>Rumah Tangga</v>
      </c>
      <c r="G197" s="85" t="s">
        <v>84</v>
      </c>
      <c r="H197" s="86">
        <v>101.15</v>
      </c>
      <c r="I197" s="86">
        <v>101.36</v>
      </c>
      <c r="J197" s="87">
        <f t="shared" si="2"/>
        <v>-0.2071823204</v>
      </c>
      <c r="K197" s="84" t="str">
        <f t="shared" si="3"/>
        <v>Deflasi</v>
      </c>
      <c r="L197" s="84">
        <f t="shared" si="4"/>
        <v>-0.21</v>
      </c>
      <c r="M197" s="88" t="str">
        <f t="shared" si="5"/>
        <v>Perubahan Normal</v>
      </c>
    </row>
    <row r="198" ht="18.75" customHeight="1">
      <c r="A198" s="80" t="s">
        <v>600</v>
      </c>
      <c r="B198" s="81" t="str">
        <f t="shared" si="1"/>
        <v>Kota Banda Aceh</v>
      </c>
      <c r="C198" s="81" t="str">
        <f t="array" ref="C198">XLOOKUP(B198,Reference!$A$2:$A$152,Reference!$B$2:$B$152)</f>
        <v>Aceh</v>
      </c>
      <c r="D198" s="82" t="s">
        <v>601</v>
      </c>
      <c r="E198" s="83">
        <v>45323.0</v>
      </c>
      <c r="F198" s="84" t="str">
        <f t="array" ref="F198">XLOOKUP(G198,Reference!$F:$F,Reference!$D:$D,"null")</f>
        <v>Rumah Tangga</v>
      </c>
      <c r="G198" s="85" t="s">
        <v>84</v>
      </c>
      <c r="H198" s="86">
        <v>101.54</v>
      </c>
      <c r="I198" s="86">
        <v>101.54</v>
      </c>
      <c r="J198" s="87">
        <f t="shared" si="2"/>
        <v>0</v>
      </c>
      <c r="K198" s="84" t="str">
        <f t="shared" si="3"/>
        <v>Stabil</v>
      </c>
      <c r="L198" s="84">
        <f t="shared" si="4"/>
        <v>0</v>
      </c>
      <c r="M198" s="88" t="str">
        <f t="shared" si="5"/>
        <v>Perubahan Normal</v>
      </c>
    </row>
    <row r="199" ht="18.75" customHeight="1">
      <c r="A199" s="80" t="s">
        <v>425</v>
      </c>
      <c r="B199" s="81" t="str">
        <f t="shared" si="1"/>
        <v>Kab Gorontalo</v>
      </c>
      <c r="C199" s="81" t="str">
        <f t="array" ref="C199">XLOOKUP(B199,Reference!$A$2:$A$152,Reference!$B$2:$B$152)</f>
        <v>Gorontalo</v>
      </c>
      <c r="D199" s="82" t="s">
        <v>602</v>
      </c>
      <c r="E199" s="83">
        <v>45323.0</v>
      </c>
      <c r="F199" s="84" t="str">
        <f t="array" ref="F199">XLOOKUP(G199,Reference!$F:$F,Reference!$D:$D,"null")</f>
        <v>Rumah Tangga</v>
      </c>
      <c r="G199" s="85" t="s">
        <v>89</v>
      </c>
      <c r="H199" s="86">
        <v>101.05</v>
      </c>
      <c r="I199" s="86">
        <v>101.04</v>
      </c>
      <c r="J199" s="87">
        <f t="shared" si="2"/>
        <v>0.009897070467</v>
      </c>
      <c r="K199" s="84" t="str">
        <f t="shared" si="3"/>
        <v>Inflasi Normal</v>
      </c>
      <c r="L199" s="84">
        <f t="shared" si="4"/>
        <v>0.01</v>
      </c>
      <c r="M199" s="88" t="str">
        <f t="shared" si="5"/>
        <v>Perubahan Normal</v>
      </c>
    </row>
    <row r="200" ht="18.75" customHeight="1">
      <c r="A200" s="80" t="s">
        <v>462</v>
      </c>
      <c r="B200" s="81" t="str">
        <f t="shared" si="1"/>
        <v>Kota Probolinggo</v>
      </c>
      <c r="C200" s="81" t="str">
        <f t="array" ref="C200">XLOOKUP(B200,Reference!$A$2:$A$152,Reference!$B$2:$B$152)</f>
        <v>Jawa Timur</v>
      </c>
      <c r="D200" s="82" t="s">
        <v>603</v>
      </c>
      <c r="E200" s="83">
        <v>45352.0</v>
      </c>
      <c r="F200" s="84" t="str">
        <f t="array" ref="F200">XLOOKUP(G200,Reference!$F:$F,Reference!$D:$D,"null")</f>
        <v>Pendidikan dan Kesehatan</v>
      </c>
      <c r="G200" s="85" t="s">
        <v>95</v>
      </c>
      <c r="H200" s="86">
        <v>108.31</v>
      </c>
      <c r="I200" s="86">
        <v>108.31</v>
      </c>
      <c r="J200" s="87">
        <f t="shared" si="2"/>
        <v>0</v>
      </c>
      <c r="K200" s="84" t="str">
        <f t="shared" si="3"/>
        <v>Stabil</v>
      </c>
      <c r="L200" s="84">
        <f t="shared" si="4"/>
        <v>0</v>
      </c>
      <c r="M200" s="88" t="str">
        <f t="shared" si="5"/>
        <v>Perubahan Normal</v>
      </c>
    </row>
    <row r="201" ht="18.75" customHeight="1">
      <c r="A201" s="80" t="s">
        <v>462</v>
      </c>
      <c r="B201" s="81" t="str">
        <f t="shared" si="1"/>
        <v>Kota Probolinggo</v>
      </c>
      <c r="C201" s="81" t="str">
        <f t="array" ref="C201">XLOOKUP(B201,Reference!$A$2:$A$152,Reference!$B$2:$B$152)</f>
        <v>Jawa Timur</v>
      </c>
      <c r="D201" s="82" t="s">
        <v>604</v>
      </c>
      <c r="E201" s="83">
        <v>45352.0</v>
      </c>
      <c r="F201" s="84" t="str">
        <f t="array" ref="F201">XLOOKUP(G201,Reference!$F:$F,Reference!$D:$D,"null")</f>
        <v>Rekreasi dan Kendaraan</v>
      </c>
      <c r="G201" s="85" t="s">
        <v>105</v>
      </c>
      <c r="H201" s="86">
        <v>101.87</v>
      </c>
      <c r="I201" s="86">
        <v>101.87</v>
      </c>
      <c r="J201" s="87">
        <f t="shared" si="2"/>
        <v>0</v>
      </c>
      <c r="K201" s="84" t="str">
        <f t="shared" si="3"/>
        <v>Stabil</v>
      </c>
      <c r="L201" s="84">
        <f t="shared" si="4"/>
        <v>0</v>
      </c>
      <c r="M201" s="88" t="str">
        <f t="shared" si="5"/>
        <v>Perubahan Normal</v>
      </c>
    </row>
    <row r="202" ht="18.75" customHeight="1">
      <c r="A202" s="80" t="s">
        <v>526</v>
      </c>
      <c r="B202" s="81" t="str">
        <f t="shared" si="1"/>
        <v>Maumere</v>
      </c>
      <c r="C202" s="81" t="str">
        <f t="array" ref="C202">XLOOKUP(B202,Reference!$A$2:$A$152,Reference!$B$2:$B$152)</f>
        <v>Nusa Tenggara Timur (NTT)</v>
      </c>
      <c r="D202" s="82" t="s">
        <v>605</v>
      </c>
      <c r="E202" s="83">
        <v>45323.0</v>
      </c>
      <c r="F202" s="84" t="str">
        <f t="array" ref="F202">XLOOKUP(G202,Reference!$F:$F,Reference!$D:$D,"null")</f>
        <v>Rumah Tangga</v>
      </c>
      <c r="G202" s="89" t="s">
        <v>80</v>
      </c>
      <c r="H202" s="90">
        <v>102.18</v>
      </c>
      <c r="I202" s="90">
        <v>102.18</v>
      </c>
      <c r="J202" s="87">
        <f t="shared" si="2"/>
        <v>0</v>
      </c>
      <c r="K202" s="84" t="str">
        <f t="shared" si="3"/>
        <v>Stabil</v>
      </c>
      <c r="L202" s="91">
        <f t="shared" si="4"/>
        <v>0</v>
      </c>
      <c r="M202" s="88" t="str">
        <f t="shared" si="5"/>
        <v>Perubahan Normal</v>
      </c>
    </row>
    <row r="203" ht="18.75" customHeight="1">
      <c r="A203" s="80" t="s">
        <v>606</v>
      </c>
      <c r="B203" s="81" t="str">
        <f t="shared" si="1"/>
        <v>Kota Pare Pare</v>
      </c>
      <c r="C203" s="81" t="str">
        <f t="array" ref="C203">XLOOKUP(B203,Reference!$A$2:$A$152,Reference!$B$2:$B$152)</f>
        <v>Sulawesi Selatan</v>
      </c>
      <c r="D203" s="82" t="s">
        <v>607</v>
      </c>
      <c r="E203" s="83">
        <v>45352.0</v>
      </c>
      <c r="F203" s="84" t="str">
        <f t="array" ref="F203">XLOOKUP(G203,Reference!$F:$F,Reference!$D:$D,"null")</f>
        <v>Makanan dan Pakaian </v>
      </c>
      <c r="G203" s="85" t="s">
        <v>48</v>
      </c>
      <c r="H203" s="86">
        <v>109.99</v>
      </c>
      <c r="I203" s="86">
        <v>109.66</v>
      </c>
      <c r="J203" s="87">
        <f t="shared" si="2"/>
        <v>0.3009301477</v>
      </c>
      <c r="K203" s="84" t="str">
        <f t="shared" si="3"/>
        <v>Inflasi Normal</v>
      </c>
      <c r="L203" s="84">
        <f t="shared" si="4"/>
        <v>0.33</v>
      </c>
      <c r="M203" s="88" t="str">
        <f t="shared" si="5"/>
        <v>Perubahan Normal</v>
      </c>
    </row>
    <row r="204" ht="18.75" customHeight="1">
      <c r="A204" s="80" t="s">
        <v>380</v>
      </c>
      <c r="B204" s="81" t="str">
        <f t="shared" si="1"/>
        <v>Kota Bengkulu</v>
      </c>
      <c r="C204" s="81" t="str">
        <f t="array" ref="C204">XLOOKUP(B204,Reference!$A$2:$A$152,Reference!$B$2:$B$152)</f>
        <v>Bengkulu</v>
      </c>
      <c r="D204" s="82" t="s">
        <v>608</v>
      </c>
      <c r="E204" s="83">
        <v>45352.0</v>
      </c>
      <c r="F204" s="84" t="str">
        <f t="array" ref="F204">XLOOKUP(G204,Reference!$F:$F,Reference!$D:$D,"null")</f>
        <v>Makanan dan Pakaian </v>
      </c>
      <c r="G204" s="89" t="s">
        <v>56</v>
      </c>
      <c r="H204" s="90">
        <v>106.62</v>
      </c>
      <c r="I204" s="90">
        <v>107.29</v>
      </c>
      <c r="J204" s="87">
        <f t="shared" si="2"/>
        <v>-0.62447572</v>
      </c>
      <c r="K204" s="84" t="str">
        <f t="shared" si="3"/>
        <v>Deflasi</v>
      </c>
      <c r="L204" s="91">
        <f t="shared" si="4"/>
        <v>-0.67</v>
      </c>
      <c r="M204" s="88" t="str">
        <f t="shared" si="5"/>
        <v>Perubahan Normal</v>
      </c>
    </row>
    <row r="205" ht="18.75" customHeight="1">
      <c r="A205" s="80" t="s">
        <v>592</v>
      </c>
      <c r="B205" s="81" t="str">
        <f t="shared" si="1"/>
        <v>Kab Lampung Timur</v>
      </c>
      <c r="C205" s="81" t="str">
        <f t="array" ref="C205">XLOOKUP(B205,Reference!$A$2:$A$152,Reference!$B$2:$B$152)</f>
        <v>Lampung</v>
      </c>
      <c r="D205" s="82" t="s">
        <v>609</v>
      </c>
      <c r="E205" s="83">
        <v>45352.0</v>
      </c>
      <c r="F205" s="84" t="str">
        <f t="array" ref="F205">XLOOKUP(G205,Reference!$F:$F,Reference!$D:$D,"null")</f>
        <v>Pendidikan dan Kesehatan</v>
      </c>
      <c r="G205" s="89" t="s">
        <v>98</v>
      </c>
      <c r="H205" s="90">
        <v>102.44</v>
      </c>
      <c r="I205" s="90">
        <v>102.44</v>
      </c>
      <c r="J205" s="87">
        <f t="shared" si="2"/>
        <v>0</v>
      </c>
      <c r="K205" s="84" t="str">
        <f t="shared" si="3"/>
        <v>Stabil</v>
      </c>
      <c r="L205" s="91">
        <f t="shared" si="4"/>
        <v>0</v>
      </c>
      <c r="M205" s="88" t="str">
        <f t="shared" si="5"/>
        <v>Perubahan Normal</v>
      </c>
    </row>
    <row r="206" ht="18.75" customHeight="1">
      <c r="A206" s="80" t="s">
        <v>326</v>
      </c>
      <c r="B206" s="81" t="str">
        <f t="shared" si="1"/>
        <v>Luwuk</v>
      </c>
      <c r="C206" s="81" t="str">
        <f t="array" ref="C206">XLOOKUP(B206,Reference!$A$2:$A$152,Reference!$B$2:$B$152)</f>
        <v>Sulawesi Tengah</v>
      </c>
      <c r="D206" s="82" t="s">
        <v>610</v>
      </c>
      <c r="E206" s="83">
        <v>45352.0</v>
      </c>
      <c r="F206" s="84" t="str">
        <f t="array" ref="F206">XLOOKUP(G206,Reference!$F:$F,Reference!$D:$D,"null")</f>
        <v>Rumah Tangga</v>
      </c>
      <c r="G206" s="85" t="s">
        <v>89</v>
      </c>
      <c r="H206" s="86">
        <v>99.88</v>
      </c>
      <c r="I206" s="86">
        <v>100.17</v>
      </c>
      <c r="J206" s="87">
        <f t="shared" si="2"/>
        <v>-0.2895078367</v>
      </c>
      <c r="K206" s="84" t="str">
        <f t="shared" si="3"/>
        <v>Deflasi</v>
      </c>
      <c r="L206" s="84">
        <f t="shared" si="4"/>
        <v>-0.29</v>
      </c>
      <c r="M206" s="88" t="str">
        <f t="shared" si="5"/>
        <v>Perubahan Normal</v>
      </c>
    </row>
    <row r="207" ht="18.75" customHeight="1">
      <c r="A207" s="80" t="s">
        <v>360</v>
      </c>
      <c r="B207" s="81" t="str">
        <f t="shared" si="1"/>
        <v>Kab Wonosobo</v>
      </c>
      <c r="C207" s="81" t="str">
        <f t="array" ref="C207">XLOOKUP(B207,Reference!$A$2:$A$152,Reference!$B$2:$B$152)</f>
        <v>Jawa Tengah</v>
      </c>
      <c r="D207" s="82" t="s">
        <v>611</v>
      </c>
      <c r="E207" s="83">
        <v>45323.0</v>
      </c>
      <c r="F207" s="84" t="str">
        <f t="array" ref="F207">XLOOKUP(G207,Reference!$F:$F,Reference!$D:$D,"null")</f>
        <v>Rumah Tangga</v>
      </c>
      <c r="G207" s="85" t="s">
        <v>84</v>
      </c>
      <c r="H207" s="86">
        <v>98.8</v>
      </c>
      <c r="I207" s="86">
        <v>98.8</v>
      </c>
      <c r="J207" s="87">
        <f t="shared" si="2"/>
        <v>0</v>
      </c>
      <c r="K207" s="84" t="str">
        <f t="shared" si="3"/>
        <v>Stabil</v>
      </c>
      <c r="L207" s="84">
        <f t="shared" si="4"/>
        <v>0</v>
      </c>
      <c r="M207" s="88" t="str">
        <f t="shared" si="5"/>
        <v>Perubahan Normal</v>
      </c>
    </row>
    <row r="208" ht="18.75" customHeight="1">
      <c r="A208" s="80" t="s">
        <v>358</v>
      </c>
      <c r="B208" s="81" t="str">
        <f t="shared" si="1"/>
        <v>Kab Minahasa Utara</v>
      </c>
      <c r="C208" s="81" t="str">
        <f t="array" ref="C208">XLOOKUP(B208,Reference!$A$2:$A$152,Reference!$B$2:$B$152)</f>
        <v>Sulawesi Utara</v>
      </c>
      <c r="D208" s="82" t="s">
        <v>612</v>
      </c>
      <c r="E208" s="83">
        <v>45323.0</v>
      </c>
      <c r="F208" s="84" t="str">
        <f t="array" ref="F208">XLOOKUP(G208,Reference!$F:$F,Reference!$D:$D,"null")</f>
        <v>Rumah Tangga</v>
      </c>
      <c r="G208" s="85" t="s">
        <v>84</v>
      </c>
      <c r="H208" s="86">
        <v>99.59</v>
      </c>
      <c r="I208" s="86">
        <v>100.2</v>
      </c>
      <c r="J208" s="87">
        <f t="shared" si="2"/>
        <v>-0.6087824351</v>
      </c>
      <c r="K208" s="84" t="str">
        <f t="shared" si="3"/>
        <v>Deflasi</v>
      </c>
      <c r="L208" s="84">
        <f t="shared" si="4"/>
        <v>-0.61</v>
      </c>
      <c r="M208" s="88" t="str">
        <f t="shared" si="5"/>
        <v>Perubahan Normal</v>
      </c>
    </row>
    <row r="209" ht="18.75" customHeight="1">
      <c r="A209" s="80" t="s">
        <v>458</v>
      </c>
      <c r="B209" s="81" t="str">
        <f t="shared" si="1"/>
        <v>Kota Dumai</v>
      </c>
      <c r="C209" s="81" t="str">
        <f t="array" ref="C209">XLOOKUP(B209,Reference!$A$2:$A$152,Reference!$B$2:$B$152)</f>
        <v>Riau</v>
      </c>
      <c r="D209" s="82" t="s">
        <v>613</v>
      </c>
      <c r="E209" s="83">
        <v>45323.0</v>
      </c>
      <c r="F209" s="84" t="str">
        <f t="array" ref="F209">XLOOKUP(G209,Reference!$F:$F,Reference!$D:$D,"null")</f>
        <v>Rekreasi dan Kendaraan</v>
      </c>
      <c r="G209" s="89" t="s">
        <v>105</v>
      </c>
      <c r="H209" s="90">
        <v>111.48</v>
      </c>
      <c r="I209" s="90">
        <v>110.35</v>
      </c>
      <c r="J209" s="87">
        <f t="shared" si="2"/>
        <v>1.024014499</v>
      </c>
      <c r="K209" s="84" t="str">
        <f t="shared" si="3"/>
        <v>Inflasi Tinggi</v>
      </c>
      <c r="L209" s="91">
        <f t="shared" si="4"/>
        <v>1.13</v>
      </c>
      <c r="M209" s="88" t="str">
        <f t="shared" si="5"/>
        <v>Akselerasi Persentase</v>
      </c>
    </row>
    <row r="210" ht="18.75" customHeight="1">
      <c r="A210" s="80" t="s">
        <v>573</v>
      </c>
      <c r="B210" s="81" t="str">
        <f t="shared" si="1"/>
        <v>Kota Palangkaraya</v>
      </c>
      <c r="C210" s="81" t="str">
        <f t="array" ref="C210">XLOOKUP(B210,Reference!$A$2:$A$152,Reference!$B$2:$B$152)</f>
        <v>Kalimantan Tengah</v>
      </c>
      <c r="D210" s="82" t="s">
        <v>614</v>
      </c>
      <c r="E210" s="83">
        <v>45352.0</v>
      </c>
      <c r="F210" s="84" t="str">
        <f t="array" ref="F210">XLOOKUP(G210,Reference!$F:$F,Reference!$D:$D,"null")</f>
        <v>Pendidikan dan Kesehatan</v>
      </c>
      <c r="G210" s="85" t="s">
        <v>98</v>
      </c>
      <c r="H210" s="86">
        <v>102.14</v>
      </c>
      <c r="I210" s="86">
        <v>102.05</v>
      </c>
      <c r="J210" s="87">
        <f t="shared" si="2"/>
        <v>0.08819206271</v>
      </c>
      <c r="K210" s="84" t="str">
        <f t="shared" si="3"/>
        <v>Inflasi Normal</v>
      </c>
      <c r="L210" s="84">
        <f t="shared" si="4"/>
        <v>0.09</v>
      </c>
      <c r="M210" s="88" t="str">
        <f t="shared" si="5"/>
        <v>Perubahan Normal</v>
      </c>
    </row>
    <row r="211" ht="18.75" customHeight="1">
      <c r="A211" s="80" t="s">
        <v>389</v>
      </c>
      <c r="B211" s="81" t="str">
        <f t="shared" si="1"/>
        <v>Tembilahan</v>
      </c>
      <c r="C211" s="81" t="str">
        <f t="array" ref="C211">XLOOKUP(B211,Reference!$A$2:$A$152,Reference!$B$2:$B$152)</f>
        <v>Riau</v>
      </c>
      <c r="D211" s="82" t="s">
        <v>615</v>
      </c>
      <c r="E211" s="83">
        <v>45323.0</v>
      </c>
      <c r="F211" s="84" t="str">
        <f t="array" ref="F211">XLOOKUP(G211,Reference!$F:$F,Reference!$D:$D,"null")</f>
        <v>Makanan dan Pakaian </v>
      </c>
      <c r="G211" s="85" t="s">
        <v>56</v>
      </c>
      <c r="H211" s="86">
        <v>104.73</v>
      </c>
      <c r="I211" s="86">
        <v>104.53</v>
      </c>
      <c r="J211" s="87">
        <f t="shared" si="2"/>
        <v>0.1913326318</v>
      </c>
      <c r="K211" s="84" t="str">
        <f t="shared" si="3"/>
        <v>Inflasi Normal</v>
      </c>
      <c r="L211" s="84">
        <f t="shared" si="4"/>
        <v>0.2</v>
      </c>
      <c r="M211" s="88" t="str">
        <f t="shared" si="5"/>
        <v>Perubahan Normal</v>
      </c>
    </row>
    <row r="212" ht="18.75" customHeight="1">
      <c r="A212" s="80" t="s">
        <v>616</v>
      </c>
      <c r="B212" s="81" t="str">
        <f t="shared" si="1"/>
        <v>Kab Sorong</v>
      </c>
      <c r="C212" s="81" t="str">
        <f t="array" ref="C212">XLOOKUP(B212,Reference!$A$2:$A$152,Reference!$B$2:$B$152)</f>
        <v>Papua Barat Daya</v>
      </c>
      <c r="D212" s="82" t="s">
        <v>617</v>
      </c>
      <c r="E212" s="83">
        <v>45323.0</v>
      </c>
      <c r="F212" s="84" t="str">
        <f t="array" ref="F212">XLOOKUP(G212,Reference!$F:$F,Reference!$D:$D,"null")</f>
        <v>Pendidikan dan Kesehatan</v>
      </c>
      <c r="G212" s="85" t="s">
        <v>98</v>
      </c>
      <c r="H212" s="86">
        <v>110.23</v>
      </c>
      <c r="I212" s="86">
        <v>111.52</v>
      </c>
      <c r="J212" s="87">
        <f t="shared" si="2"/>
        <v>-1.156743185</v>
      </c>
      <c r="K212" s="84" t="str">
        <f t="shared" si="3"/>
        <v>Deflasi</v>
      </c>
      <c r="L212" s="84">
        <f t="shared" si="4"/>
        <v>-1.29</v>
      </c>
      <c r="M212" s="88" t="str">
        <f t="shared" si="5"/>
        <v>Perubahan Normal</v>
      </c>
    </row>
    <row r="213" ht="18.75" customHeight="1">
      <c r="A213" s="80" t="s">
        <v>618</v>
      </c>
      <c r="B213" s="81" t="str">
        <f t="shared" si="1"/>
        <v>Kota Tangerang</v>
      </c>
      <c r="C213" s="81" t="str">
        <f t="array" ref="C213">XLOOKUP(B213,Reference!$A$2:$A$152,Reference!$B$2:$B$152)</f>
        <v>Banten</v>
      </c>
      <c r="D213" s="82" t="s">
        <v>619</v>
      </c>
      <c r="E213" s="83">
        <v>45352.0</v>
      </c>
      <c r="F213" s="84" t="str">
        <f t="array" ref="F213">XLOOKUP(G213,Reference!$F:$F,Reference!$D:$D,"null")</f>
        <v>Rekreasi dan Kendaraan</v>
      </c>
      <c r="G213" s="85" t="s">
        <v>105</v>
      </c>
      <c r="H213" s="86">
        <v>102.1</v>
      </c>
      <c r="I213" s="86">
        <v>101.47</v>
      </c>
      <c r="J213" s="87">
        <f t="shared" si="2"/>
        <v>0.6208731645</v>
      </c>
      <c r="K213" s="84" t="str">
        <f t="shared" si="3"/>
        <v>Inflasi Tinggi</v>
      </c>
      <c r="L213" s="84">
        <f t="shared" si="4"/>
        <v>0.63</v>
      </c>
      <c r="M213" s="88" t="str">
        <f t="shared" si="5"/>
        <v>Akselerasi Persentase</v>
      </c>
    </row>
    <row r="214" ht="18.75" customHeight="1">
      <c r="A214" s="80" t="s">
        <v>450</v>
      </c>
      <c r="B214" s="81" t="str">
        <f t="shared" si="1"/>
        <v>Waingapu</v>
      </c>
      <c r="C214" s="81" t="str">
        <f t="array" ref="C214">XLOOKUP(B214,Reference!$A$2:$A$152,Reference!$B$2:$B$152)</f>
        <v>Nusa Tenggara Timur (NTT)</v>
      </c>
      <c r="D214" s="82" t="s">
        <v>620</v>
      </c>
      <c r="E214" s="83">
        <v>45352.0</v>
      </c>
      <c r="F214" s="84" t="str">
        <f t="array" ref="F214">XLOOKUP(G214,Reference!$F:$F,Reference!$D:$D,"null")</f>
        <v>Rekreasi dan Kendaraan</v>
      </c>
      <c r="G214" s="85" t="s">
        <v>102</v>
      </c>
      <c r="H214" s="86">
        <v>101.08</v>
      </c>
      <c r="I214" s="86">
        <v>101.08</v>
      </c>
      <c r="J214" s="87">
        <f t="shared" si="2"/>
        <v>0</v>
      </c>
      <c r="K214" s="84" t="str">
        <f t="shared" si="3"/>
        <v>Stabil</v>
      </c>
      <c r="L214" s="84">
        <f t="shared" si="4"/>
        <v>0</v>
      </c>
      <c r="M214" s="88" t="str">
        <f t="shared" si="5"/>
        <v>Perubahan Normal</v>
      </c>
    </row>
    <row r="215" ht="18.75" customHeight="1">
      <c r="A215" s="80" t="s">
        <v>419</v>
      </c>
      <c r="B215" s="81" t="str">
        <f t="shared" si="1"/>
        <v>Kota Singkawang</v>
      </c>
      <c r="C215" s="81" t="str">
        <f t="array" ref="C215">XLOOKUP(B215,Reference!$A$2:$A$152,Reference!$B$2:$B$152)</f>
        <v>Kalimantan Barat</v>
      </c>
      <c r="D215" s="82" t="s">
        <v>621</v>
      </c>
      <c r="E215" s="83">
        <v>45352.0</v>
      </c>
      <c r="F215" s="84" t="str">
        <f t="array" ref="F215">XLOOKUP(G215,Reference!$F:$F,Reference!$D:$D,"null")</f>
        <v>Pendidikan dan Kesehatan</v>
      </c>
      <c r="G215" s="85" t="s">
        <v>95</v>
      </c>
      <c r="H215" s="86">
        <v>102.77</v>
      </c>
      <c r="I215" s="86">
        <v>102.77</v>
      </c>
      <c r="J215" s="87">
        <f t="shared" si="2"/>
        <v>0</v>
      </c>
      <c r="K215" s="84" t="str">
        <f t="shared" si="3"/>
        <v>Stabil</v>
      </c>
      <c r="L215" s="84">
        <f t="shared" si="4"/>
        <v>0</v>
      </c>
      <c r="M215" s="88" t="str">
        <f t="shared" si="5"/>
        <v>Perubahan Normal</v>
      </c>
    </row>
    <row r="216" ht="18.75" customHeight="1">
      <c r="A216" s="80" t="s">
        <v>508</v>
      </c>
      <c r="B216" s="81" t="str">
        <f t="shared" si="1"/>
        <v>Kab Minahasa Selatan</v>
      </c>
      <c r="C216" s="81" t="str">
        <f t="array" ref="C216">XLOOKUP(B216,Reference!$A$2:$A$152,Reference!$B$2:$B$152)</f>
        <v>Sulawesi Utara</v>
      </c>
      <c r="D216" s="82" t="s">
        <v>622</v>
      </c>
      <c r="E216" s="83">
        <v>45323.0</v>
      </c>
      <c r="F216" s="84" t="str">
        <f t="array" ref="F216">XLOOKUP(G216,Reference!$F:$F,Reference!$D:$D,"null")</f>
        <v>Makanan dan Pakaian </v>
      </c>
      <c r="G216" s="85" t="s">
        <v>56</v>
      </c>
      <c r="H216" s="86">
        <v>103.12</v>
      </c>
      <c r="I216" s="86">
        <v>102.91</v>
      </c>
      <c r="J216" s="87">
        <f t="shared" si="2"/>
        <v>0.2040618016</v>
      </c>
      <c r="K216" s="84" t="str">
        <f t="shared" si="3"/>
        <v>Inflasi Normal</v>
      </c>
      <c r="L216" s="84">
        <f t="shared" si="4"/>
        <v>0.21</v>
      </c>
      <c r="M216" s="88" t="str">
        <f t="shared" si="5"/>
        <v>Perubahan Normal</v>
      </c>
    </row>
    <row r="217" ht="18.75" customHeight="1">
      <c r="A217" s="80" t="s">
        <v>578</v>
      </c>
      <c r="B217" s="81" t="str">
        <f t="shared" si="1"/>
        <v>Kab Belitung Timur</v>
      </c>
      <c r="C217" s="81" t="str">
        <f t="array" ref="C217">XLOOKUP(B217,Reference!$A$2:$A$152,Reference!$B$2:$B$152)</f>
        <v>Kepulauan Bangka Belitung</v>
      </c>
      <c r="D217" s="82" t="s">
        <v>623</v>
      </c>
      <c r="E217" s="83">
        <v>45323.0</v>
      </c>
      <c r="F217" s="84" t="str">
        <f t="array" ref="F217">XLOOKUP(G217,Reference!$F:$F,Reference!$D:$D,"null")</f>
        <v>Makanan dan Pakaian </v>
      </c>
      <c r="G217" s="85" t="s">
        <v>56</v>
      </c>
      <c r="H217" s="86">
        <v>105.47</v>
      </c>
      <c r="I217" s="86">
        <v>105.47</v>
      </c>
      <c r="J217" s="87">
        <f t="shared" si="2"/>
        <v>0</v>
      </c>
      <c r="K217" s="84" t="str">
        <f t="shared" si="3"/>
        <v>Stabil</v>
      </c>
      <c r="L217" s="84">
        <f t="shared" si="4"/>
        <v>0</v>
      </c>
      <c r="M217" s="88" t="str">
        <f t="shared" si="5"/>
        <v>Perubahan Normal</v>
      </c>
    </row>
    <row r="218" ht="18.75" customHeight="1">
      <c r="A218" s="80" t="s">
        <v>340</v>
      </c>
      <c r="B218" s="81" t="str">
        <f t="shared" si="1"/>
        <v>Kab Rembang</v>
      </c>
      <c r="C218" s="81" t="str">
        <f t="array" ref="C218">XLOOKUP(B218,Reference!$A$2:$A$152,Reference!$B$2:$B$152)</f>
        <v>Jawa Tengah</v>
      </c>
      <c r="D218" s="82" t="s">
        <v>624</v>
      </c>
      <c r="E218" s="83">
        <v>45352.0</v>
      </c>
      <c r="F218" s="84" t="str">
        <f t="array" ref="F218">XLOOKUP(G218,Reference!$F:$F,Reference!$D:$D,"null")</f>
        <v>Makanan dan Pakaian </v>
      </c>
      <c r="G218" s="85" t="s">
        <v>72</v>
      </c>
      <c r="H218" s="86">
        <v>113.06</v>
      </c>
      <c r="I218" s="86">
        <v>113.35</v>
      </c>
      <c r="J218" s="87">
        <f t="shared" si="2"/>
        <v>-0.2558447287</v>
      </c>
      <c r="K218" s="84" t="str">
        <f t="shared" si="3"/>
        <v>Deflasi</v>
      </c>
      <c r="L218" s="84">
        <f t="shared" si="4"/>
        <v>-0.29</v>
      </c>
      <c r="M218" s="88" t="str">
        <f t="shared" si="5"/>
        <v>Perubahan Normal</v>
      </c>
    </row>
    <row r="219" ht="18.75" customHeight="1">
      <c r="A219" s="80" t="s">
        <v>454</v>
      </c>
      <c r="B219" s="81" t="str">
        <f t="shared" si="1"/>
        <v>Kab Ketapang</v>
      </c>
      <c r="C219" s="81" t="str">
        <f t="array" ref="C219">XLOOKUP(B219,Reference!$A$2:$A$152,Reference!$B$2:$B$152)</f>
        <v>Kalimantan Barat</v>
      </c>
      <c r="D219" s="82" t="s">
        <v>625</v>
      </c>
      <c r="E219" s="83">
        <v>45323.0</v>
      </c>
      <c r="F219" s="84" t="str">
        <f t="array" ref="F219">XLOOKUP(G219,Reference!$F:$F,Reference!$D:$D,"null")</f>
        <v>Makanan dan Pakaian </v>
      </c>
      <c r="G219" s="85" t="s">
        <v>48</v>
      </c>
      <c r="H219" s="86">
        <v>107.69</v>
      </c>
      <c r="I219" s="86">
        <v>107.81</v>
      </c>
      <c r="J219" s="87">
        <f t="shared" si="2"/>
        <v>-0.1113069289</v>
      </c>
      <c r="K219" s="84" t="str">
        <f t="shared" si="3"/>
        <v>Deflasi</v>
      </c>
      <c r="L219" s="84">
        <f t="shared" si="4"/>
        <v>-0.12</v>
      </c>
      <c r="M219" s="88" t="str">
        <f t="shared" si="5"/>
        <v>Perubahan Normal</v>
      </c>
    </row>
    <row r="220" ht="18.75" customHeight="1">
      <c r="A220" s="80" t="s">
        <v>342</v>
      </c>
      <c r="B220" s="81" t="str">
        <f t="shared" si="1"/>
        <v>Kab Bandung</v>
      </c>
      <c r="C220" s="81" t="str">
        <f t="array" ref="C220">XLOOKUP(B220,Reference!$A$2:$A$152,Reference!$B$2:$B$152)</f>
        <v>Jawa Barat</v>
      </c>
      <c r="D220" s="82" t="s">
        <v>626</v>
      </c>
      <c r="E220" s="83">
        <v>45352.0</v>
      </c>
      <c r="F220" s="84" t="str">
        <f t="array" ref="F220">XLOOKUP(G220,Reference!$F:$F,Reference!$D:$D,"null")</f>
        <v>Rekreasi dan Kendaraan</v>
      </c>
      <c r="G220" s="85" t="s">
        <v>105</v>
      </c>
      <c r="H220" s="86">
        <v>97.37</v>
      </c>
      <c r="I220" s="86">
        <v>97.42</v>
      </c>
      <c r="J220" s="87">
        <f t="shared" si="2"/>
        <v>-0.05132416342</v>
      </c>
      <c r="K220" s="84" t="str">
        <f t="shared" si="3"/>
        <v>Deflasi</v>
      </c>
      <c r="L220" s="84">
        <f t="shared" si="4"/>
        <v>-0.05</v>
      </c>
      <c r="M220" s="88" t="str">
        <f t="shared" si="5"/>
        <v>Perubahan Normal</v>
      </c>
    </row>
    <row r="221" ht="18.75" customHeight="1">
      <c r="A221" s="80" t="s">
        <v>594</v>
      </c>
      <c r="B221" s="81" t="str">
        <f t="shared" si="1"/>
        <v>Kota Kendari</v>
      </c>
      <c r="C221" s="81" t="str">
        <f t="array" ref="C221">XLOOKUP(B221,Reference!$A$2:$A$152,Reference!$B$2:$B$152)</f>
        <v>Sulawesi Tenggara</v>
      </c>
      <c r="D221" s="82" t="s">
        <v>627</v>
      </c>
      <c r="E221" s="83">
        <v>45352.0</v>
      </c>
      <c r="F221" s="84" t="str">
        <f t="array" ref="F221">XLOOKUP(G221,Reference!$F:$F,Reference!$D:$D,"null")</f>
        <v>Pendidikan dan Kesehatan</v>
      </c>
      <c r="G221" s="85" t="s">
        <v>95</v>
      </c>
      <c r="H221" s="86">
        <v>110.29</v>
      </c>
      <c r="I221" s="86">
        <v>110.29</v>
      </c>
      <c r="J221" s="87">
        <f t="shared" si="2"/>
        <v>0</v>
      </c>
      <c r="K221" s="84" t="str">
        <f t="shared" si="3"/>
        <v>Stabil</v>
      </c>
      <c r="L221" s="84">
        <f t="shared" si="4"/>
        <v>0</v>
      </c>
      <c r="M221" s="88" t="str">
        <f t="shared" si="5"/>
        <v>Perubahan Normal</v>
      </c>
    </row>
    <row r="222" ht="18.75" customHeight="1">
      <c r="A222" s="80" t="s">
        <v>628</v>
      </c>
      <c r="B222" s="81" t="str">
        <f t="shared" si="1"/>
        <v>Watampone</v>
      </c>
      <c r="C222" s="81" t="str">
        <f t="array" ref="C222">XLOOKUP(B222,Reference!$A$2:$A$152,Reference!$B$2:$B$152)</f>
        <v>Sulawesi Selatan</v>
      </c>
      <c r="D222" s="82" t="s">
        <v>629</v>
      </c>
      <c r="E222" s="83">
        <v>45323.0</v>
      </c>
      <c r="F222" s="84" t="str">
        <f t="array" ref="F222">XLOOKUP(G222,Reference!$F:$F,Reference!$D:$D,"null")</f>
        <v>Rekreasi dan Kendaraan</v>
      </c>
      <c r="G222" s="85" t="s">
        <v>102</v>
      </c>
      <c r="H222" s="86">
        <v>100.0</v>
      </c>
      <c r="I222" s="86">
        <v>100.0</v>
      </c>
      <c r="J222" s="87">
        <f t="shared" si="2"/>
        <v>0</v>
      </c>
      <c r="K222" s="84" t="str">
        <f t="shared" si="3"/>
        <v>Stabil</v>
      </c>
      <c r="L222" s="84">
        <f t="shared" si="4"/>
        <v>0</v>
      </c>
      <c r="M222" s="88" t="str">
        <f t="shared" si="5"/>
        <v>Perubahan Normal</v>
      </c>
    </row>
    <row r="223" ht="18.75" customHeight="1">
      <c r="A223" s="80" t="s">
        <v>306</v>
      </c>
      <c r="B223" s="81" t="str">
        <f t="shared" si="1"/>
        <v>Kota Padang</v>
      </c>
      <c r="C223" s="81" t="str">
        <f t="array" ref="C223">XLOOKUP(B223,Reference!$A$2:$A$152,Reference!$B$2:$B$152)</f>
        <v>Sumatera Barat</v>
      </c>
      <c r="D223" s="82" t="s">
        <v>630</v>
      </c>
      <c r="E223" s="83">
        <v>45323.0</v>
      </c>
      <c r="F223" s="84" t="str">
        <f t="array" ref="F223">XLOOKUP(G223,Reference!$F:$F,Reference!$D:$D,"null")</f>
        <v>Rumah Tangga</v>
      </c>
      <c r="G223" s="85" t="s">
        <v>80</v>
      </c>
      <c r="H223" s="86">
        <v>104.46</v>
      </c>
      <c r="I223" s="86">
        <v>104.46</v>
      </c>
      <c r="J223" s="87">
        <f t="shared" si="2"/>
        <v>0</v>
      </c>
      <c r="K223" s="84" t="str">
        <f t="shared" si="3"/>
        <v>Stabil</v>
      </c>
      <c r="L223" s="84">
        <f t="shared" si="4"/>
        <v>0</v>
      </c>
      <c r="M223" s="88" t="str">
        <f t="shared" si="5"/>
        <v>Perubahan Normal</v>
      </c>
    </row>
    <row r="224" ht="18.75" customHeight="1">
      <c r="A224" s="80" t="s">
        <v>631</v>
      </c>
      <c r="B224" s="81" t="str">
        <f t="shared" si="1"/>
        <v>Kab Toli Toli</v>
      </c>
      <c r="C224" s="81" t="str">
        <f t="array" ref="C224">XLOOKUP(B224,Reference!$A$2:$A$152,Reference!$B$2:$B$152)</f>
        <v>Sulawesi Tengah</v>
      </c>
      <c r="D224" s="82" t="s">
        <v>632</v>
      </c>
      <c r="E224" s="83">
        <v>45323.0</v>
      </c>
      <c r="F224" s="84" t="str">
        <f t="array" ref="F224">XLOOKUP(G224,Reference!$F:$F,Reference!$D:$D,"null")</f>
        <v>Makanan dan Pakaian </v>
      </c>
      <c r="G224" s="85" t="s">
        <v>56</v>
      </c>
      <c r="H224" s="86">
        <v>102.16</v>
      </c>
      <c r="I224" s="86">
        <v>113.03</v>
      </c>
      <c r="J224" s="87">
        <f t="shared" si="2"/>
        <v>-9.616915863</v>
      </c>
      <c r="K224" s="84" t="str">
        <f t="shared" si="3"/>
        <v>Deflasi</v>
      </c>
      <c r="L224" s="84">
        <f t="shared" si="4"/>
        <v>-10.87</v>
      </c>
      <c r="M224" s="88" t="str">
        <f t="shared" si="5"/>
        <v>Perubahan Normal</v>
      </c>
    </row>
    <row r="225" ht="18.75" customHeight="1">
      <c r="A225" s="80" t="s">
        <v>427</v>
      </c>
      <c r="B225" s="81" t="str">
        <f t="shared" si="1"/>
        <v>Kota Malang</v>
      </c>
      <c r="C225" s="81" t="str">
        <f t="array" ref="C225">XLOOKUP(B225,Reference!$A$2:$A$152,Reference!$B$2:$B$152)</f>
        <v>Jawa Timur</v>
      </c>
      <c r="D225" s="82" t="s">
        <v>633</v>
      </c>
      <c r="E225" s="83">
        <v>45323.0</v>
      </c>
      <c r="F225" s="84" t="str">
        <f t="array" ref="F225">XLOOKUP(G225,Reference!$F:$F,Reference!$D:$D,"null")</f>
        <v>Rumah Tangga</v>
      </c>
      <c r="G225" s="89" t="s">
        <v>84</v>
      </c>
      <c r="H225" s="90">
        <v>100.59</v>
      </c>
      <c r="I225" s="90">
        <v>100.59</v>
      </c>
      <c r="J225" s="87">
        <f t="shared" si="2"/>
        <v>0</v>
      </c>
      <c r="K225" s="84" t="str">
        <f t="shared" si="3"/>
        <v>Stabil</v>
      </c>
      <c r="L225" s="91">
        <f t="shared" si="4"/>
        <v>0</v>
      </c>
      <c r="M225" s="88" t="str">
        <f t="shared" si="5"/>
        <v>Perubahan Normal</v>
      </c>
    </row>
    <row r="226" ht="18.75" customHeight="1">
      <c r="A226" s="80" t="s">
        <v>634</v>
      </c>
      <c r="B226" s="81" t="str">
        <f t="shared" si="1"/>
        <v>Kota Depok</v>
      </c>
      <c r="C226" s="81" t="str">
        <f t="array" ref="C226">XLOOKUP(B226,Reference!$A$2:$A$152,Reference!$B$2:$B$152)</f>
        <v>Jawa Barat</v>
      </c>
      <c r="D226" s="82" t="s">
        <v>635</v>
      </c>
      <c r="E226" s="83">
        <v>45323.0</v>
      </c>
      <c r="F226" s="84" t="str">
        <f t="array" ref="F226">XLOOKUP(G226,Reference!$F:$F,Reference!$D:$D,"null")</f>
        <v>Rekreasi dan Kendaraan</v>
      </c>
      <c r="G226" s="85" t="s">
        <v>102</v>
      </c>
      <c r="H226" s="86">
        <v>107.35</v>
      </c>
      <c r="I226" s="86">
        <v>107.15</v>
      </c>
      <c r="J226" s="87">
        <f t="shared" si="2"/>
        <v>0.1866542231</v>
      </c>
      <c r="K226" s="84" t="str">
        <f t="shared" si="3"/>
        <v>Inflasi Normal</v>
      </c>
      <c r="L226" s="84">
        <f t="shared" si="4"/>
        <v>0.2</v>
      </c>
      <c r="M226" s="88" t="str">
        <f t="shared" si="5"/>
        <v>Perubahan Normal</v>
      </c>
    </row>
    <row r="227" ht="18.75" customHeight="1">
      <c r="A227" s="80" t="s">
        <v>308</v>
      </c>
      <c r="B227" s="81" t="str">
        <f t="shared" si="1"/>
        <v>Kab Sukamara</v>
      </c>
      <c r="C227" s="81" t="str">
        <f t="array" ref="C227">XLOOKUP(B227,Reference!$A$2:$A$152,Reference!$B$2:$B$152)</f>
        <v>Kalimantan Tengah</v>
      </c>
      <c r="D227" s="82" t="s">
        <v>636</v>
      </c>
      <c r="E227" s="83">
        <v>45352.0</v>
      </c>
      <c r="F227" s="84" t="str">
        <f t="array" ref="F227">XLOOKUP(G227,Reference!$F:$F,Reference!$D:$D,"null")</f>
        <v>Makanan dan Pakaian </v>
      </c>
      <c r="G227" s="85" t="s">
        <v>48</v>
      </c>
      <c r="H227" s="86">
        <v>109.02</v>
      </c>
      <c r="I227" s="86">
        <v>107.39</v>
      </c>
      <c r="J227" s="87">
        <f t="shared" si="2"/>
        <v>1.5178322</v>
      </c>
      <c r="K227" s="84" t="str">
        <f t="shared" si="3"/>
        <v>Inflasi Tinggi</v>
      </c>
      <c r="L227" s="84">
        <f t="shared" si="4"/>
        <v>1.63</v>
      </c>
      <c r="M227" s="88" t="str">
        <f t="shared" si="5"/>
        <v>Akselerasi Persentase</v>
      </c>
    </row>
    <row r="228" ht="18.75" customHeight="1">
      <c r="A228" s="80" t="s">
        <v>384</v>
      </c>
      <c r="B228" s="81" t="str">
        <f t="shared" si="1"/>
        <v>Kab Lebak</v>
      </c>
      <c r="C228" s="81" t="str">
        <f t="array" ref="C228">XLOOKUP(B228,Reference!$A$2:$A$152,Reference!$B$2:$B$152)</f>
        <v>Banten</v>
      </c>
      <c r="D228" s="82" t="s">
        <v>637</v>
      </c>
      <c r="E228" s="83">
        <v>45323.0</v>
      </c>
      <c r="F228" s="84" t="str">
        <f t="array" ref="F228">XLOOKUP(G228,Reference!$F:$F,Reference!$D:$D,"null")</f>
        <v>Makanan dan Pakaian </v>
      </c>
      <c r="G228" s="85" t="s">
        <v>64</v>
      </c>
      <c r="H228" s="86">
        <v>103.39</v>
      </c>
      <c r="I228" s="86">
        <v>103.34</v>
      </c>
      <c r="J228" s="87">
        <f t="shared" si="2"/>
        <v>0.04838397523</v>
      </c>
      <c r="K228" s="84" t="str">
        <f t="shared" si="3"/>
        <v>Inflasi Normal</v>
      </c>
      <c r="L228" s="84">
        <f t="shared" si="4"/>
        <v>0.05</v>
      </c>
      <c r="M228" s="88" t="str">
        <f t="shared" si="5"/>
        <v>Perubahan Normal</v>
      </c>
    </row>
    <row r="229" ht="18.75" customHeight="1">
      <c r="A229" s="80" t="s">
        <v>586</v>
      </c>
      <c r="B229" s="81" t="str">
        <f t="shared" si="1"/>
        <v>Kab Karimun</v>
      </c>
      <c r="C229" s="81" t="str">
        <f t="array" ref="C229">XLOOKUP(B229,Reference!$A$2:$A$152,Reference!$B$2:$B$152)</f>
        <v>Kepulauan Riau</v>
      </c>
      <c r="D229" s="82" t="s">
        <v>638</v>
      </c>
      <c r="E229" s="83">
        <v>45352.0</v>
      </c>
      <c r="F229" s="84" t="str">
        <f t="array" ref="F229">XLOOKUP(G229,Reference!$F:$F,Reference!$D:$D,"null")</f>
        <v>Rumah Tangga</v>
      </c>
      <c r="G229" s="85" t="s">
        <v>84</v>
      </c>
      <c r="H229" s="86">
        <v>101.1</v>
      </c>
      <c r="I229" s="86">
        <v>101.1</v>
      </c>
      <c r="J229" s="87">
        <f t="shared" si="2"/>
        <v>0</v>
      </c>
      <c r="K229" s="84" t="str">
        <f t="shared" si="3"/>
        <v>Stabil</v>
      </c>
      <c r="L229" s="84">
        <f t="shared" si="4"/>
        <v>0</v>
      </c>
      <c r="M229" s="88" t="str">
        <f t="shared" si="5"/>
        <v>Perubahan Normal</v>
      </c>
    </row>
    <row r="230" ht="18.75" customHeight="1">
      <c r="A230" s="80" t="s">
        <v>410</v>
      </c>
      <c r="B230" s="81" t="str">
        <f t="shared" si="1"/>
        <v>Meulaboh</v>
      </c>
      <c r="C230" s="81" t="str">
        <f t="array" ref="C230">XLOOKUP(B230,Reference!$A$2:$A$152,Reference!$B$2:$B$152)</f>
        <v>Aceh</v>
      </c>
      <c r="D230" s="82" t="s">
        <v>639</v>
      </c>
      <c r="E230" s="83">
        <v>45352.0</v>
      </c>
      <c r="F230" s="84" t="str">
        <f t="array" ref="F230">XLOOKUP(G230,Reference!$F:$F,Reference!$D:$D,"null")</f>
        <v>Rumah Tangga</v>
      </c>
      <c r="G230" s="85" t="s">
        <v>80</v>
      </c>
      <c r="H230" s="86">
        <v>103.45</v>
      </c>
      <c r="I230" s="86">
        <v>103.45</v>
      </c>
      <c r="J230" s="87">
        <f t="shared" si="2"/>
        <v>0</v>
      </c>
      <c r="K230" s="84" t="str">
        <f t="shared" si="3"/>
        <v>Stabil</v>
      </c>
      <c r="L230" s="84">
        <f t="shared" si="4"/>
        <v>0</v>
      </c>
      <c r="M230" s="88" t="str">
        <f t="shared" si="5"/>
        <v>Perubahan Normal</v>
      </c>
    </row>
    <row r="231" ht="18.75" customHeight="1">
      <c r="A231" s="80" t="s">
        <v>322</v>
      </c>
      <c r="B231" s="81" t="str">
        <f t="shared" si="1"/>
        <v>Purwokerto</v>
      </c>
      <c r="C231" s="81" t="str">
        <f t="array" ref="C231">XLOOKUP(B231,Reference!$A$2:$A$152,Reference!$B$2:$B$152)</f>
        <v>Jawa Tengah</v>
      </c>
      <c r="D231" s="82" t="s">
        <v>640</v>
      </c>
      <c r="E231" s="83">
        <v>45352.0</v>
      </c>
      <c r="F231" s="84" t="str">
        <f t="array" ref="F231">XLOOKUP(G231,Reference!$F:$F,Reference!$D:$D,"null")</f>
        <v>Pendidikan dan Kesehatan</v>
      </c>
      <c r="G231" s="89" t="s">
        <v>95</v>
      </c>
      <c r="H231" s="90">
        <v>101.53</v>
      </c>
      <c r="I231" s="90">
        <v>101.53</v>
      </c>
      <c r="J231" s="87">
        <f t="shared" si="2"/>
        <v>0</v>
      </c>
      <c r="K231" s="84" t="str">
        <f t="shared" si="3"/>
        <v>Stabil</v>
      </c>
      <c r="L231" s="91">
        <f t="shared" si="4"/>
        <v>0</v>
      </c>
      <c r="M231" s="88" t="str">
        <f t="shared" si="5"/>
        <v>Perubahan Normal</v>
      </c>
    </row>
    <row r="232" ht="18.75" customHeight="1">
      <c r="A232" s="80" t="s">
        <v>370</v>
      </c>
      <c r="B232" s="81" t="str">
        <f t="shared" si="1"/>
        <v>Jember</v>
      </c>
      <c r="C232" s="81" t="str">
        <f t="array" ref="C232">XLOOKUP(B232,Reference!$A$2:$A$152,Reference!$B$2:$B$152)</f>
        <v>Jawa Timur</v>
      </c>
      <c r="D232" s="82" t="s">
        <v>641</v>
      </c>
      <c r="E232" s="83">
        <v>45323.0</v>
      </c>
      <c r="F232" s="84" t="str">
        <f t="array" ref="F232">XLOOKUP(G232,Reference!$F:$F,Reference!$D:$D,"null")</f>
        <v>Pendidikan dan Kesehatan</v>
      </c>
      <c r="G232" s="85" t="s">
        <v>98</v>
      </c>
      <c r="H232" s="86">
        <v>100.29</v>
      </c>
      <c r="I232" s="86">
        <v>100.5</v>
      </c>
      <c r="J232" s="87">
        <f t="shared" si="2"/>
        <v>-0.2089552239</v>
      </c>
      <c r="K232" s="84" t="str">
        <f t="shared" si="3"/>
        <v>Deflasi</v>
      </c>
      <c r="L232" s="84">
        <f t="shared" si="4"/>
        <v>-0.21</v>
      </c>
      <c r="M232" s="88" t="str">
        <f t="shared" si="5"/>
        <v>Perubahan Normal</v>
      </c>
    </row>
    <row r="233" ht="18.75" customHeight="1">
      <c r="A233" s="80" t="s">
        <v>642</v>
      </c>
      <c r="B233" s="81" t="str">
        <f t="shared" si="1"/>
        <v>Kota Bandar Lampung</v>
      </c>
      <c r="C233" s="81" t="str">
        <f t="array" ref="C233">XLOOKUP(B233,Reference!$A$2:$A$152,Reference!$B$2:$B$152)</f>
        <v>Lampung</v>
      </c>
      <c r="D233" s="82" t="s">
        <v>643</v>
      </c>
      <c r="E233" s="83">
        <v>45352.0</v>
      </c>
      <c r="F233" s="84" t="str">
        <f t="array" ref="F233">XLOOKUP(G233,Reference!$F:$F,Reference!$D:$D,"null")</f>
        <v>Rumah Tangga</v>
      </c>
      <c r="G233" s="89" t="s">
        <v>89</v>
      </c>
      <c r="H233" s="90">
        <v>100.2</v>
      </c>
      <c r="I233" s="90">
        <v>99.05</v>
      </c>
      <c r="J233" s="87">
        <f t="shared" si="2"/>
        <v>1.161029783</v>
      </c>
      <c r="K233" s="84" t="str">
        <f t="shared" si="3"/>
        <v>Inflasi Tinggi</v>
      </c>
      <c r="L233" s="91">
        <f t="shared" si="4"/>
        <v>1.15</v>
      </c>
      <c r="M233" s="88" t="str">
        <f t="shared" si="5"/>
        <v>Akselerasi Persentase</v>
      </c>
    </row>
    <row r="234" ht="18.75" customHeight="1">
      <c r="A234" s="80" t="s">
        <v>490</v>
      </c>
      <c r="B234" s="81" t="str">
        <f t="shared" si="1"/>
        <v>Kab Kerinci</v>
      </c>
      <c r="C234" s="81" t="str">
        <f t="array" ref="C234">XLOOKUP(B234,Reference!$A$2:$A$152,Reference!$B$2:$B$152)</f>
        <v>Jambi</v>
      </c>
      <c r="D234" s="82" t="s">
        <v>644</v>
      </c>
      <c r="E234" s="83">
        <v>45323.0</v>
      </c>
      <c r="F234" s="84" t="str">
        <f t="array" ref="F234">XLOOKUP(G234,Reference!$F:$F,Reference!$D:$D,"null")</f>
        <v>Rekreasi dan Kendaraan</v>
      </c>
      <c r="G234" s="85" t="s">
        <v>102</v>
      </c>
      <c r="H234" s="86">
        <v>98.8</v>
      </c>
      <c r="I234" s="86">
        <v>98.8</v>
      </c>
      <c r="J234" s="87">
        <f t="shared" si="2"/>
        <v>0</v>
      </c>
      <c r="K234" s="84" t="str">
        <f t="shared" si="3"/>
        <v>Stabil</v>
      </c>
      <c r="L234" s="84">
        <f t="shared" si="4"/>
        <v>0</v>
      </c>
      <c r="M234" s="88" t="str">
        <f t="shared" si="5"/>
        <v>Perubahan Normal</v>
      </c>
    </row>
    <row r="235" ht="18.75" customHeight="1">
      <c r="A235" s="80" t="s">
        <v>594</v>
      </c>
      <c r="B235" s="81" t="str">
        <f t="shared" si="1"/>
        <v>Kota Kendari</v>
      </c>
      <c r="C235" s="81" t="str">
        <f t="array" ref="C235">XLOOKUP(B235,Reference!$A$2:$A$152,Reference!$B$2:$B$152)</f>
        <v>Sulawesi Tenggara</v>
      </c>
      <c r="D235" s="82" t="s">
        <v>645</v>
      </c>
      <c r="E235" s="83">
        <v>45323.0</v>
      </c>
      <c r="F235" s="84" t="str">
        <f t="array" ref="F235">XLOOKUP(G235,Reference!$F:$F,Reference!$D:$D,"null")</f>
        <v>Rumah Tangga</v>
      </c>
      <c r="G235" s="85" t="s">
        <v>84</v>
      </c>
      <c r="H235" s="86">
        <v>101.62</v>
      </c>
      <c r="I235" s="86">
        <v>102.05</v>
      </c>
      <c r="J235" s="87">
        <f t="shared" si="2"/>
        <v>-0.4213620774</v>
      </c>
      <c r="K235" s="84" t="str">
        <f t="shared" si="3"/>
        <v>Deflasi</v>
      </c>
      <c r="L235" s="84">
        <f t="shared" si="4"/>
        <v>-0.43</v>
      </c>
      <c r="M235" s="88" t="str">
        <f t="shared" si="5"/>
        <v>Perubahan Normal</v>
      </c>
    </row>
    <row r="236" ht="18.75" customHeight="1">
      <c r="A236" s="80" t="s">
        <v>346</v>
      </c>
      <c r="B236" s="81" t="str">
        <f t="shared" si="1"/>
        <v>Kab Timor Tengah Selatan</v>
      </c>
      <c r="C236" s="81" t="str">
        <f t="array" ref="C236">XLOOKUP(B236,Reference!$A$2:$A$152,Reference!$B$2:$B$152)</f>
        <v>Nusa Tenggara Timur (NTT)</v>
      </c>
      <c r="D236" s="82" t="s">
        <v>646</v>
      </c>
      <c r="E236" s="83">
        <v>45323.0</v>
      </c>
      <c r="F236" s="84" t="str">
        <f t="array" ref="F236">XLOOKUP(G236,Reference!$F:$F,Reference!$D:$D,"null")</f>
        <v>Rekreasi dan Kendaraan</v>
      </c>
      <c r="G236" s="85" t="s">
        <v>102</v>
      </c>
      <c r="H236" s="86">
        <v>92.62</v>
      </c>
      <c r="I236" s="86">
        <v>92.62</v>
      </c>
      <c r="J236" s="87">
        <f t="shared" si="2"/>
        <v>0</v>
      </c>
      <c r="K236" s="84" t="str">
        <f t="shared" si="3"/>
        <v>Stabil</v>
      </c>
      <c r="L236" s="84">
        <f t="shared" si="4"/>
        <v>0</v>
      </c>
      <c r="M236" s="88" t="str">
        <f t="shared" si="5"/>
        <v>Perubahan Normal</v>
      </c>
    </row>
    <row r="237" ht="18.75" customHeight="1">
      <c r="A237" s="80" t="s">
        <v>578</v>
      </c>
      <c r="B237" s="81" t="str">
        <f t="shared" si="1"/>
        <v>Kab Belitung Timur</v>
      </c>
      <c r="C237" s="81" t="str">
        <f t="array" ref="C237">XLOOKUP(B237,Reference!$A$2:$A$152,Reference!$B$2:$B$152)</f>
        <v>Kepulauan Bangka Belitung</v>
      </c>
      <c r="D237" s="82" t="s">
        <v>647</v>
      </c>
      <c r="E237" s="83">
        <v>45352.0</v>
      </c>
      <c r="F237" s="84" t="str">
        <f t="array" ref="F237">XLOOKUP(G237,Reference!$F:$F,Reference!$D:$D,"null")</f>
        <v>Rekreasi dan Kendaraan</v>
      </c>
      <c r="G237" s="85" t="s">
        <v>105</v>
      </c>
      <c r="H237" s="86">
        <v>101.45</v>
      </c>
      <c r="I237" s="86">
        <v>101.45</v>
      </c>
      <c r="J237" s="87">
        <f t="shared" si="2"/>
        <v>0</v>
      </c>
      <c r="K237" s="84" t="str">
        <f t="shared" si="3"/>
        <v>Stabil</v>
      </c>
      <c r="L237" s="84">
        <f t="shared" si="4"/>
        <v>0</v>
      </c>
      <c r="M237" s="88" t="str">
        <f t="shared" si="5"/>
        <v>Perubahan Normal</v>
      </c>
    </row>
    <row r="238" ht="18.75" customHeight="1">
      <c r="A238" s="80" t="s">
        <v>529</v>
      </c>
      <c r="B238" s="81" t="str">
        <f t="shared" si="1"/>
        <v>Kota Yogyakarta</v>
      </c>
      <c r="C238" s="81" t="str">
        <f t="array" ref="C238">XLOOKUP(B238,Reference!$A$2:$A$152,Reference!$B$2:$B$152)</f>
        <v>D.I. Yogyakarta</v>
      </c>
      <c r="D238" s="82" t="s">
        <v>648</v>
      </c>
      <c r="E238" s="83">
        <v>45323.0</v>
      </c>
      <c r="F238" s="84" t="str">
        <f t="array" ref="F238">XLOOKUP(G238,Reference!$F:$F,Reference!$D:$D,"null")</f>
        <v>Rumah Tangga</v>
      </c>
      <c r="G238" s="89" t="s">
        <v>84</v>
      </c>
      <c r="H238" s="90">
        <v>101.16</v>
      </c>
      <c r="I238" s="90">
        <v>101.25</v>
      </c>
      <c r="J238" s="87">
        <f t="shared" si="2"/>
        <v>-0.08888888889</v>
      </c>
      <c r="K238" s="84" t="str">
        <f t="shared" si="3"/>
        <v>Deflasi</v>
      </c>
      <c r="L238" s="91">
        <f t="shared" si="4"/>
        <v>-0.09</v>
      </c>
      <c r="M238" s="88" t="str">
        <f t="shared" si="5"/>
        <v>Perubahan Normal</v>
      </c>
    </row>
    <row r="239" ht="18.75" customHeight="1">
      <c r="A239" s="80" t="s">
        <v>406</v>
      </c>
      <c r="B239" s="81" t="str">
        <f t="shared" si="1"/>
        <v>Kota Tasikmalaya</v>
      </c>
      <c r="C239" s="81" t="str">
        <f t="array" ref="C239">XLOOKUP(B239,Reference!$A$2:$A$152,Reference!$B$2:$B$152)</f>
        <v>Jawa Barat</v>
      </c>
      <c r="D239" s="82" t="s">
        <v>649</v>
      </c>
      <c r="E239" s="83">
        <v>45352.0</v>
      </c>
      <c r="F239" s="84" t="str">
        <f t="array" ref="F239">XLOOKUP(G239,Reference!$F:$F,Reference!$D:$D,"null")</f>
        <v>Rumah Tangga</v>
      </c>
      <c r="G239" s="85" t="s">
        <v>89</v>
      </c>
      <c r="H239" s="86">
        <v>100.28</v>
      </c>
      <c r="I239" s="86">
        <v>100.28</v>
      </c>
      <c r="J239" s="87">
        <f t="shared" si="2"/>
        <v>0</v>
      </c>
      <c r="K239" s="84" t="str">
        <f t="shared" si="3"/>
        <v>Stabil</v>
      </c>
      <c r="L239" s="84">
        <f t="shared" si="4"/>
        <v>0</v>
      </c>
      <c r="M239" s="88" t="str">
        <f t="shared" si="5"/>
        <v>Perubahan Normal</v>
      </c>
    </row>
    <row r="240" ht="18.75" customHeight="1">
      <c r="A240" s="80" t="s">
        <v>316</v>
      </c>
      <c r="B240" s="81" t="str">
        <f t="shared" si="1"/>
        <v>Singaraja</v>
      </c>
      <c r="C240" s="81" t="str">
        <f t="array" ref="C240">XLOOKUP(B240,Reference!$A$2:$A$152,Reference!$B$2:$B$152)</f>
        <v>Bali</v>
      </c>
      <c r="D240" s="82" t="s">
        <v>650</v>
      </c>
      <c r="E240" s="83">
        <v>45352.0</v>
      </c>
      <c r="F240" s="84" t="str">
        <f t="array" ref="F240">XLOOKUP(G240,Reference!$F:$F,Reference!$D:$D,"null")</f>
        <v>Rumah Tangga</v>
      </c>
      <c r="G240" s="85" t="s">
        <v>89</v>
      </c>
      <c r="H240" s="86">
        <v>98.75</v>
      </c>
      <c r="I240" s="86">
        <v>98.75</v>
      </c>
      <c r="J240" s="87">
        <f t="shared" si="2"/>
        <v>0</v>
      </c>
      <c r="K240" s="84" t="str">
        <f t="shared" si="3"/>
        <v>Stabil</v>
      </c>
      <c r="L240" s="84">
        <f t="shared" si="4"/>
        <v>0</v>
      </c>
      <c r="M240" s="88" t="str">
        <f t="shared" si="5"/>
        <v>Perubahan Normal</v>
      </c>
    </row>
    <row r="241" ht="18.75" customHeight="1">
      <c r="A241" s="80" t="s">
        <v>548</v>
      </c>
      <c r="B241" s="81" t="str">
        <f t="shared" si="1"/>
        <v>Kota Metro</v>
      </c>
      <c r="C241" s="81" t="str">
        <f t="array" ref="C241">XLOOKUP(B241,Reference!$A$2:$A$152,Reference!$B$2:$B$152)</f>
        <v>Lampung</v>
      </c>
      <c r="D241" s="82" t="s">
        <v>651</v>
      </c>
      <c r="E241" s="83">
        <v>45323.0</v>
      </c>
      <c r="F241" s="84" t="str">
        <f t="array" ref="F241">XLOOKUP(G241,Reference!$F:$F,Reference!$D:$D,"null")</f>
        <v>Makanan dan Pakaian </v>
      </c>
      <c r="G241" s="85" t="s">
        <v>56</v>
      </c>
      <c r="H241" s="86">
        <v>103.84</v>
      </c>
      <c r="I241" s="86">
        <v>102.71</v>
      </c>
      <c r="J241" s="87">
        <f t="shared" si="2"/>
        <v>1.100184987</v>
      </c>
      <c r="K241" s="84" t="str">
        <f t="shared" si="3"/>
        <v>Inflasi Tinggi</v>
      </c>
      <c r="L241" s="84">
        <f t="shared" si="4"/>
        <v>1.13</v>
      </c>
      <c r="M241" s="88" t="str">
        <f t="shared" si="5"/>
        <v>Akselerasi Persentase</v>
      </c>
    </row>
    <row r="242" ht="18.75" customHeight="1">
      <c r="A242" s="80" t="s">
        <v>431</v>
      </c>
      <c r="B242" s="81" t="str">
        <f t="shared" si="1"/>
        <v>Kota Ternate</v>
      </c>
      <c r="C242" s="81" t="str">
        <f t="array" ref="C242">XLOOKUP(B242,Reference!$A$2:$A$152,Reference!$B$2:$B$152)</f>
        <v>Maluku Utara</v>
      </c>
      <c r="D242" s="82" t="s">
        <v>652</v>
      </c>
      <c r="E242" s="83">
        <v>45352.0</v>
      </c>
      <c r="F242" s="84" t="str">
        <f t="array" ref="F242">XLOOKUP(G242,Reference!$F:$F,Reference!$D:$D,"null")</f>
        <v>Rumah Tangga</v>
      </c>
      <c r="G242" s="85" t="s">
        <v>89</v>
      </c>
      <c r="H242" s="86">
        <v>100.76</v>
      </c>
      <c r="I242" s="86">
        <v>100.76</v>
      </c>
      <c r="J242" s="87">
        <f t="shared" si="2"/>
        <v>0</v>
      </c>
      <c r="K242" s="84" t="str">
        <f t="shared" si="3"/>
        <v>Stabil</v>
      </c>
      <c r="L242" s="84">
        <f t="shared" si="4"/>
        <v>0</v>
      </c>
      <c r="M242" s="88" t="str">
        <f t="shared" si="5"/>
        <v>Perubahan Normal</v>
      </c>
    </row>
    <row r="243" ht="18.75" customHeight="1">
      <c r="A243" s="80" t="s">
        <v>337</v>
      </c>
      <c r="B243" s="81" t="str">
        <f t="shared" si="1"/>
        <v>Merauke</v>
      </c>
      <c r="C243" s="81" t="str">
        <f t="array" ref="C243">XLOOKUP(B243,Reference!$A$2:$A$152,Reference!$B$2:$B$152)</f>
        <v>Papua</v>
      </c>
      <c r="D243" s="82" t="s">
        <v>653</v>
      </c>
      <c r="E243" s="83">
        <v>45352.0</v>
      </c>
      <c r="F243" s="84" t="str">
        <f t="array" ref="F243">XLOOKUP(G243,Reference!$F:$F,Reference!$D:$D,"null")</f>
        <v>Pendidikan dan Kesehatan</v>
      </c>
      <c r="G243" s="85" t="s">
        <v>95</v>
      </c>
      <c r="H243" s="86">
        <v>103.76</v>
      </c>
      <c r="I243" s="86">
        <v>103.76</v>
      </c>
      <c r="J243" s="87">
        <f t="shared" si="2"/>
        <v>0</v>
      </c>
      <c r="K243" s="84" t="str">
        <f t="shared" si="3"/>
        <v>Stabil</v>
      </c>
      <c r="L243" s="84">
        <f t="shared" si="4"/>
        <v>0</v>
      </c>
      <c r="M243" s="88" t="str">
        <f t="shared" si="5"/>
        <v>Perubahan Normal</v>
      </c>
    </row>
    <row r="244" ht="18.75" customHeight="1">
      <c r="A244" s="80" t="s">
        <v>654</v>
      </c>
      <c r="B244" s="81" t="str">
        <f t="shared" si="1"/>
        <v>Kab Aceh Tengah</v>
      </c>
      <c r="C244" s="81" t="str">
        <f t="array" ref="C244">XLOOKUP(B244,Reference!$A$2:$A$152,Reference!$B$2:$B$152)</f>
        <v>Aceh</v>
      </c>
      <c r="D244" s="82" t="s">
        <v>655</v>
      </c>
      <c r="E244" s="83">
        <v>45323.0</v>
      </c>
      <c r="F244" s="84" t="str">
        <f t="array" ref="F244">XLOOKUP(G244,Reference!$F:$F,Reference!$D:$D,"null")</f>
        <v>Pendidikan dan Kesehatan</v>
      </c>
      <c r="G244" s="85" t="s">
        <v>95</v>
      </c>
      <c r="H244" s="86">
        <v>102.26</v>
      </c>
      <c r="I244" s="86">
        <v>102.26</v>
      </c>
      <c r="J244" s="87">
        <f t="shared" si="2"/>
        <v>0</v>
      </c>
      <c r="K244" s="84" t="str">
        <f t="shared" si="3"/>
        <v>Stabil</v>
      </c>
      <c r="L244" s="84">
        <f t="shared" si="4"/>
        <v>0</v>
      </c>
      <c r="M244" s="88" t="str">
        <f t="shared" si="5"/>
        <v>Perubahan Normal</v>
      </c>
    </row>
    <row r="245" ht="18.75" customHeight="1">
      <c r="A245" s="80" t="s">
        <v>656</v>
      </c>
      <c r="B245" s="81" t="str">
        <f t="shared" si="1"/>
        <v>Kota Palopo</v>
      </c>
      <c r="C245" s="81" t="str">
        <f t="array" ref="C245">XLOOKUP(B245,Reference!$A$2:$A$152,Reference!$B$2:$B$152)</f>
        <v>Sulawesi Selatan</v>
      </c>
      <c r="D245" s="82" t="s">
        <v>657</v>
      </c>
      <c r="E245" s="83">
        <v>45323.0</v>
      </c>
      <c r="F245" s="84" t="str">
        <f t="array" ref="F245">XLOOKUP(G245,Reference!$F:$F,Reference!$D:$D,"null")</f>
        <v>Rekreasi dan Kendaraan</v>
      </c>
      <c r="G245" s="85" t="s">
        <v>102</v>
      </c>
      <c r="H245" s="86">
        <v>101.72</v>
      </c>
      <c r="I245" s="86">
        <v>101.72</v>
      </c>
      <c r="J245" s="87">
        <f t="shared" si="2"/>
        <v>0</v>
      </c>
      <c r="K245" s="84" t="str">
        <f t="shared" si="3"/>
        <v>Stabil</v>
      </c>
      <c r="L245" s="84">
        <f t="shared" si="4"/>
        <v>0</v>
      </c>
      <c r="M245" s="88" t="str">
        <f t="shared" si="5"/>
        <v>Perubahan Normal</v>
      </c>
    </row>
    <row r="246" ht="18.75" customHeight="1">
      <c r="A246" s="80" t="s">
        <v>658</v>
      </c>
      <c r="B246" s="81" t="str">
        <f t="shared" si="1"/>
        <v>Kota Mataram</v>
      </c>
      <c r="C246" s="81" t="str">
        <f t="array" ref="C246">XLOOKUP(B246,Reference!$A$2:$A$152,Reference!$B$2:$B$152)</f>
        <v>Nusa Tenggara Barat (NTB)</v>
      </c>
      <c r="D246" s="82" t="s">
        <v>659</v>
      </c>
      <c r="E246" s="83">
        <v>45323.0</v>
      </c>
      <c r="F246" s="84" t="str">
        <f t="array" ref="F246">XLOOKUP(G246,Reference!$F:$F,Reference!$D:$D,"null")</f>
        <v>Makanan dan Pakaian </v>
      </c>
      <c r="G246" s="85" t="s">
        <v>64</v>
      </c>
      <c r="H246" s="86">
        <v>103.9</v>
      </c>
      <c r="I246" s="86">
        <v>103.88</v>
      </c>
      <c r="J246" s="87">
        <f t="shared" si="2"/>
        <v>0.01925298421</v>
      </c>
      <c r="K246" s="84" t="str">
        <f t="shared" si="3"/>
        <v>Inflasi Normal</v>
      </c>
      <c r="L246" s="84">
        <f t="shared" si="4"/>
        <v>0.02</v>
      </c>
      <c r="M246" s="88" t="str">
        <f t="shared" si="5"/>
        <v>Perubahan Normal</v>
      </c>
    </row>
    <row r="247" ht="18.75" customHeight="1">
      <c r="A247" s="80" t="s">
        <v>454</v>
      </c>
      <c r="B247" s="81" t="str">
        <f t="shared" si="1"/>
        <v>Kab Ketapang</v>
      </c>
      <c r="C247" s="81" t="str">
        <f t="array" ref="C247">XLOOKUP(B247,Reference!$A$2:$A$152,Reference!$B$2:$B$152)</f>
        <v>Kalimantan Barat</v>
      </c>
      <c r="D247" s="82" t="s">
        <v>660</v>
      </c>
      <c r="E247" s="83">
        <v>45352.0</v>
      </c>
      <c r="F247" s="84" t="str">
        <f t="array" ref="F247">XLOOKUP(G247,Reference!$F:$F,Reference!$D:$D,"null")</f>
        <v>Rumah Tangga</v>
      </c>
      <c r="G247" s="85" t="s">
        <v>80</v>
      </c>
      <c r="H247" s="86">
        <v>100.26</v>
      </c>
      <c r="I247" s="86">
        <v>100.26</v>
      </c>
      <c r="J247" s="87">
        <f t="shared" si="2"/>
        <v>0</v>
      </c>
      <c r="K247" s="84" t="str">
        <f t="shared" si="3"/>
        <v>Stabil</v>
      </c>
      <c r="L247" s="84">
        <f t="shared" si="4"/>
        <v>0</v>
      </c>
      <c r="M247" s="88" t="str">
        <f t="shared" si="5"/>
        <v>Perubahan Normal</v>
      </c>
    </row>
    <row r="248" ht="18.75" customHeight="1">
      <c r="A248" s="80" t="s">
        <v>393</v>
      </c>
      <c r="B248" s="81" t="str">
        <f t="shared" si="1"/>
        <v>Kab Sumbawa</v>
      </c>
      <c r="C248" s="81" t="str">
        <f t="array" ref="C248">XLOOKUP(B248,Reference!$A$2:$A$152,Reference!$B$2:$B$152)</f>
        <v>Nusa Tenggara Barat (NTB)</v>
      </c>
      <c r="D248" s="82" t="s">
        <v>661</v>
      </c>
      <c r="E248" s="83">
        <v>45352.0</v>
      </c>
      <c r="F248" s="84" t="str">
        <f t="array" ref="F248">XLOOKUP(G248,Reference!$F:$F,Reference!$D:$D,"null")</f>
        <v>Rekreasi dan Kendaraan</v>
      </c>
      <c r="G248" s="85" t="s">
        <v>105</v>
      </c>
      <c r="H248" s="86">
        <v>104.21</v>
      </c>
      <c r="I248" s="86">
        <v>104.07</v>
      </c>
      <c r="J248" s="87">
        <f t="shared" si="2"/>
        <v>0.1345248391</v>
      </c>
      <c r="K248" s="84" t="str">
        <f t="shared" si="3"/>
        <v>Inflasi Normal</v>
      </c>
      <c r="L248" s="84">
        <f t="shared" si="4"/>
        <v>0.14</v>
      </c>
      <c r="M248" s="88" t="str">
        <f t="shared" si="5"/>
        <v>Perubahan Normal</v>
      </c>
    </row>
    <row r="249" ht="18.75" customHeight="1">
      <c r="A249" s="80" t="s">
        <v>372</v>
      </c>
      <c r="B249" s="81" t="str">
        <f t="shared" si="1"/>
        <v>Kota Tanjung Pinang</v>
      </c>
      <c r="C249" s="81" t="str">
        <f t="array" ref="C249">XLOOKUP(B249,Reference!$A$2:$A$152,Reference!$B$2:$B$152)</f>
        <v>Kepulauan Riau</v>
      </c>
      <c r="D249" s="82" t="s">
        <v>662</v>
      </c>
      <c r="E249" s="83">
        <v>45323.0</v>
      </c>
      <c r="F249" s="84" t="str">
        <f t="array" ref="F249">XLOOKUP(G249,Reference!$F:$F,Reference!$D:$D,"null")</f>
        <v>Makanan dan Pakaian </v>
      </c>
      <c r="G249" s="85" t="s">
        <v>56</v>
      </c>
      <c r="H249" s="86">
        <v>102.23</v>
      </c>
      <c r="I249" s="86">
        <v>102.21</v>
      </c>
      <c r="J249" s="87">
        <f t="shared" si="2"/>
        <v>0.01956755699</v>
      </c>
      <c r="K249" s="84" t="str">
        <f t="shared" si="3"/>
        <v>Inflasi Normal</v>
      </c>
      <c r="L249" s="84">
        <f t="shared" si="4"/>
        <v>0.02</v>
      </c>
      <c r="M249" s="88" t="str">
        <f t="shared" si="5"/>
        <v>Perubahan Normal</v>
      </c>
    </row>
    <row r="250" ht="18.75" customHeight="1">
      <c r="A250" s="80" t="s">
        <v>663</v>
      </c>
      <c r="B250" s="81" t="str">
        <f t="shared" si="1"/>
        <v>Kota Serang</v>
      </c>
      <c r="C250" s="81" t="str">
        <f t="array" ref="C250">XLOOKUP(B250,Reference!$A$2:$A$152,Reference!$B$2:$B$152)</f>
        <v>Banten</v>
      </c>
      <c r="D250" s="82" t="s">
        <v>664</v>
      </c>
      <c r="E250" s="83">
        <v>45323.0</v>
      </c>
      <c r="F250" s="84" t="str">
        <f t="array" ref="F250">XLOOKUP(G250,Reference!$F:$F,Reference!$D:$D,"null")</f>
        <v>Rumah Tangga</v>
      </c>
      <c r="G250" s="85" t="s">
        <v>80</v>
      </c>
      <c r="H250" s="86">
        <v>103.58</v>
      </c>
      <c r="I250" s="86">
        <v>103.58</v>
      </c>
      <c r="J250" s="87">
        <f t="shared" si="2"/>
        <v>0</v>
      </c>
      <c r="K250" s="84" t="str">
        <f t="shared" si="3"/>
        <v>Stabil</v>
      </c>
      <c r="L250" s="84">
        <f t="shared" si="4"/>
        <v>0</v>
      </c>
      <c r="M250" s="88" t="str">
        <f t="shared" si="5"/>
        <v>Perubahan Normal</v>
      </c>
    </row>
    <row r="251" ht="18.75" customHeight="1">
      <c r="A251" s="80" t="s">
        <v>576</v>
      </c>
      <c r="B251" s="81" t="str">
        <f t="shared" si="1"/>
        <v>Kab Tabanan</v>
      </c>
      <c r="C251" s="81" t="str">
        <f t="array" ref="C251">XLOOKUP(B251,Reference!$A$2:$A$152,Reference!$B$2:$B$152)</f>
        <v>Bali</v>
      </c>
      <c r="D251" s="82" t="s">
        <v>665</v>
      </c>
      <c r="E251" s="83">
        <v>45323.0</v>
      </c>
      <c r="F251" s="84" t="str">
        <f t="array" ref="F251">XLOOKUP(G251,Reference!$F:$F,Reference!$D:$D,"null")</f>
        <v>Pendidikan dan Kesehatan</v>
      </c>
      <c r="G251" s="85" t="s">
        <v>95</v>
      </c>
      <c r="H251" s="86">
        <v>101.53</v>
      </c>
      <c r="I251" s="86">
        <v>101.53</v>
      </c>
      <c r="J251" s="87">
        <f t="shared" si="2"/>
        <v>0</v>
      </c>
      <c r="K251" s="84" t="str">
        <f t="shared" si="3"/>
        <v>Stabil</v>
      </c>
      <c r="L251" s="84">
        <f t="shared" si="4"/>
        <v>0</v>
      </c>
      <c r="M251" s="88" t="str">
        <f t="shared" si="5"/>
        <v>Perubahan Normal</v>
      </c>
    </row>
    <row r="252" ht="18.75" customHeight="1">
      <c r="A252" s="80" t="s">
        <v>393</v>
      </c>
      <c r="B252" s="81" t="str">
        <f t="shared" si="1"/>
        <v>Kab Sumbawa</v>
      </c>
      <c r="C252" s="81" t="str">
        <f t="array" ref="C252">XLOOKUP(B252,Reference!$A$2:$A$152,Reference!$B$2:$B$152)</f>
        <v>Nusa Tenggara Barat (NTB)</v>
      </c>
      <c r="D252" s="82" t="s">
        <v>666</v>
      </c>
      <c r="E252" s="83">
        <v>45323.0</v>
      </c>
      <c r="F252" s="84" t="str">
        <f t="array" ref="F252">XLOOKUP(G252,Reference!$F:$F,Reference!$D:$D,"null")</f>
        <v>Makanan dan Pakaian </v>
      </c>
      <c r="G252" s="85" t="s">
        <v>72</v>
      </c>
      <c r="H252" s="86">
        <v>100.41</v>
      </c>
      <c r="I252" s="86">
        <v>100.41</v>
      </c>
      <c r="J252" s="87">
        <f t="shared" si="2"/>
        <v>0</v>
      </c>
      <c r="K252" s="84" t="str">
        <f t="shared" si="3"/>
        <v>Stabil</v>
      </c>
      <c r="L252" s="84">
        <f t="shared" si="4"/>
        <v>0</v>
      </c>
      <c r="M252" s="88" t="str">
        <f t="shared" si="5"/>
        <v>Perubahan Normal</v>
      </c>
    </row>
    <row r="253" ht="18.75" customHeight="1">
      <c r="A253" s="80" t="s">
        <v>524</v>
      </c>
      <c r="B253" s="81" t="str">
        <f t="shared" si="1"/>
        <v>Kudus</v>
      </c>
      <c r="C253" s="81" t="str">
        <f t="array" ref="C253">XLOOKUP(B253,Reference!$A$2:$A$152,Reference!$B$2:$B$152)</f>
        <v>Jawa Tengah</v>
      </c>
      <c r="D253" s="82" t="s">
        <v>667</v>
      </c>
      <c r="E253" s="83">
        <v>45352.0</v>
      </c>
      <c r="F253" s="84" t="str">
        <f t="array" ref="F253">XLOOKUP(G253,Reference!$F:$F,Reference!$D:$D,"null")</f>
        <v>Pendidikan dan Kesehatan</v>
      </c>
      <c r="G253" s="85" t="s">
        <v>95</v>
      </c>
      <c r="H253" s="86">
        <v>106.7</v>
      </c>
      <c r="I253" s="86">
        <v>106.7</v>
      </c>
      <c r="J253" s="87">
        <f t="shared" si="2"/>
        <v>0</v>
      </c>
      <c r="K253" s="84" t="str">
        <f t="shared" si="3"/>
        <v>Stabil</v>
      </c>
      <c r="L253" s="84">
        <f t="shared" si="4"/>
        <v>0</v>
      </c>
      <c r="M253" s="88" t="str">
        <f t="shared" si="5"/>
        <v>Perubahan Normal</v>
      </c>
    </row>
    <row r="254" ht="18.75" customHeight="1">
      <c r="A254" s="80" t="s">
        <v>399</v>
      </c>
      <c r="B254" s="81" t="str">
        <f t="shared" si="1"/>
        <v>Sampit</v>
      </c>
      <c r="C254" s="81" t="str">
        <f t="array" ref="C254">XLOOKUP(B254,Reference!$A$2:$A$152,Reference!$B$2:$B$152)</f>
        <v>Kalimantan Tengah</v>
      </c>
      <c r="D254" s="82" t="s">
        <v>668</v>
      </c>
      <c r="E254" s="83">
        <v>45352.0</v>
      </c>
      <c r="F254" s="84" t="str">
        <f t="array" ref="F254">XLOOKUP(G254,Reference!$F:$F,Reference!$D:$D,"null")</f>
        <v>Pendidikan dan Kesehatan</v>
      </c>
      <c r="G254" s="85" t="s">
        <v>95</v>
      </c>
      <c r="H254" s="86">
        <v>104.56</v>
      </c>
      <c r="I254" s="86">
        <v>104.56</v>
      </c>
      <c r="J254" s="87">
        <f t="shared" si="2"/>
        <v>0</v>
      </c>
      <c r="K254" s="84" t="str">
        <f t="shared" si="3"/>
        <v>Stabil</v>
      </c>
      <c r="L254" s="84">
        <f t="shared" si="4"/>
        <v>0</v>
      </c>
      <c r="M254" s="88" t="str">
        <f t="shared" si="5"/>
        <v>Perubahan Normal</v>
      </c>
    </row>
    <row r="255" ht="18.75" customHeight="1">
      <c r="A255" s="80" t="s">
        <v>669</v>
      </c>
      <c r="B255" s="81" t="str">
        <f t="shared" si="1"/>
        <v>Kab Sidenreng Rappang</v>
      </c>
      <c r="C255" s="81" t="str">
        <f t="array" ref="C255">XLOOKUP(B255,Reference!$A$2:$A$152,Reference!$B$2:$B$152)</f>
        <v>Sulawesi Selatan</v>
      </c>
      <c r="D255" s="82" t="s">
        <v>670</v>
      </c>
      <c r="E255" s="83">
        <v>45352.0</v>
      </c>
      <c r="F255" s="84" t="str">
        <f t="array" ref="F255">XLOOKUP(G255,Reference!$F:$F,Reference!$D:$D,"null")</f>
        <v>Pendidikan dan Kesehatan</v>
      </c>
      <c r="G255" s="85" t="s">
        <v>98</v>
      </c>
      <c r="H255" s="86">
        <v>101.58</v>
      </c>
      <c r="I255" s="86">
        <v>101.58</v>
      </c>
      <c r="J255" s="87">
        <f t="shared" si="2"/>
        <v>0</v>
      </c>
      <c r="K255" s="84" t="str">
        <f t="shared" si="3"/>
        <v>Stabil</v>
      </c>
      <c r="L255" s="84">
        <f t="shared" si="4"/>
        <v>0</v>
      </c>
      <c r="M255" s="88" t="str">
        <f t="shared" si="5"/>
        <v>Perubahan Normal</v>
      </c>
    </row>
    <row r="256" ht="18.75" customHeight="1">
      <c r="A256" s="80" t="s">
        <v>397</v>
      </c>
      <c r="B256" s="81" t="str">
        <f t="shared" si="1"/>
        <v>Kota Pematangsiantar</v>
      </c>
      <c r="C256" s="81" t="str">
        <f t="array" ref="C256">XLOOKUP(B256,Reference!$A$2:$A$152,Reference!$B$2:$B$152)</f>
        <v>Sumatera Utara</v>
      </c>
      <c r="D256" s="82" t="s">
        <v>671</v>
      </c>
      <c r="E256" s="83">
        <v>45352.0</v>
      </c>
      <c r="F256" s="84" t="str">
        <f t="array" ref="F256">XLOOKUP(G256,Reference!$F:$F,Reference!$D:$D,"null")</f>
        <v>Makanan dan Pakaian </v>
      </c>
      <c r="G256" s="85" t="s">
        <v>64</v>
      </c>
      <c r="H256" s="86">
        <v>101.85</v>
      </c>
      <c r="I256" s="86">
        <v>101.85</v>
      </c>
      <c r="J256" s="87">
        <f t="shared" si="2"/>
        <v>0</v>
      </c>
      <c r="K256" s="84" t="str">
        <f t="shared" si="3"/>
        <v>Stabil</v>
      </c>
      <c r="L256" s="84">
        <f t="shared" si="4"/>
        <v>0</v>
      </c>
      <c r="M256" s="88" t="str">
        <f t="shared" si="5"/>
        <v>Perubahan Normal</v>
      </c>
    </row>
    <row r="257" ht="18.75" customHeight="1">
      <c r="A257" s="80" t="s">
        <v>672</v>
      </c>
      <c r="B257" s="81" t="str">
        <f t="shared" si="1"/>
        <v>Kab Ogan Komering Ilir</v>
      </c>
      <c r="C257" s="81" t="str">
        <f t="array" ref="C257">XLOOKUP(B257,Reference!$A$2:$A$152,Reference!$B$2:$B$152)</f>
        <v>Sumatera Selatan</v>
      </c>
      <c r="D257" s="82" t="s">
        <v>673</v>
      </c>
      <c r="E257" s="83">
        <v>45352.0</v>
      </c>
      <c r="F257" s="84" t="str">
        <f t="array" ref="F257">XLOOKUP(G257,Reference!$F:$F,Reference!$D:$D,"null")</f>
        <v>Rumah Tangga</v>
      </c>
      <c r="G257" s="85" t="s">
        <v>84</v>
      </c>
      <c r="H257" s="86">
        <v>102.04</v>
      </c>
      <c r="I257" s="86">
        <v>102.04</v>
      </c>
      <c r="J257" s="87">
        <f t="shared" si="2"/>
        <v>0</v>
      </c>
      <c r="K257" s="84" t="str">
        <f t="shared" si="3"/>
        <v>Stabil</v>
      </c>
      <c r="L257" s="84">
        <f t="shared" si="4"/>
        <v>0</v>
      </c>
      <c r="M257" s="88" t="str">
        <f t="shared" si="5"/>
        <v>Perubahan Normal</v>
      </c>
    </row>
    <row r="258" ht="18.75" customHeight="1">
      <c r="A258" s="80" t="s">
        <v>438</v>
      </c>
      <c r="B258" s="81" t="str">
        <f t="shared" si="1"/>
        <v>Kab Muara Enim</v>
      </c>
      <c r="C258" s="81" t="str">
        <f t="array" ref="C258">XLOOKUP(B258,Reference!$A$2:$A$152,Reference!$B$2:$B$152)</f>
        <v>Sumatera Selatan</v>
      </c>
      <c r="D258" s="82" t="s">
        <v>674</v>
      </c>
      <c r="E258" s="83">
        <v>45323.0</v>
      </c>
      <c r="F258" s="84" t="str">
        <f t="array" ref="F258">XLOOKUP(G258,Reference!$F:$F,Reference!$D:$D,"null")</f>
        <v>Rekreasi dan Kendaraan</v>
      </c>
      <c r="G258" s="89" t="s">
        <v>102</v>
      </c>
      <c r="H258" s="90">
        <v>109.69</v>
      </c>
      <c r="I258" s="90">
        <v>111.21</v>
      </c>
      <c r="J258" s="87">
        <f t="shared" si="2"/>
        <v>-1.366783563</v>
      </c>
      <c r="K258" s="84" t="str">
        <f t="shared" si="3"/>
        <v>Deflasi</v>
      </c>
      <c r="L258" s="91">
        <f t="shared" si="4"/>
        <v>-1.52</v>
      </c>
      <c r="M258" s="88" t="str">
        <f t="shared" si="5"/>
        <v>Perubahan Normal</v>
      </c>
    </row>
    <row r="259" ht="18.75" customHeight="1">
      <c r="A259" s="80" t="s">
        <v>502</v>
      </c>
      <c r="B259" s="81" t="str">
        <f t="shared" si="1"/>
        <v>Muara Bungo</v>
      </c>
      <c r="C259" s="81" t="str">
        <f t="array" ref="C259">XLOOKUP(B259,Reference!$A$2:$A$152,Reference!$B$2:$B$152)</f>
        <v>Jambi</v>
      </c>
      <c r="D259" s="82" t="s">
        <v>675</v>
      </c>
      <c r="E259" s="83">
        <v>45323.0</v>
      </c>
      <c r="F259" s="84" t="str">
        <f t="array" ref="F259">XLOOKUP(G259,Reference!$F:$F,Reference!$D:$D,"null")</f>
        <v>Rumah Tangga</v>
      </c>
      <c r="G259" s="85" t="s">
        <v>84</v>
      </c>
      <c r="H259" s="86">
        <v>100.86</v>
      </c>
      <c r="I259" s="86">
        <v>100.86</v>
      </c>
      <c r="J259" s="87">
        <f t="shared" si="2"/>
        <v>0</v>
      </c>
      <c r="K259" s="84" t="str">
        <f t="shared" si="3"/>
        <v>Stabil</v>
      </c>
      <c r="L259" s="84">
        <f t="shared" si="4"/>
        <v>0</v>
      </c>
      <c r="M259" s="88" t="str">
        <f t="shared" si="5"/>
        <v>Perubahan Normal</v>
      </c>
    </row>
    <row r="260" ht="18.75" customHeight="1">
      <c r="A260" s="80" t="s">
        <v>322</v>
      </c>
      <c r="B260" s="81" t="str">
        <f t="shared" si="1"/>
        <v>Purwokerto</v>
      </c>
      <c r="C260" s="81" t="str">
        <f t="array" ref="C260">XLOOKUP(B260,Reference!$A$2:$A$152,Reference!$B$2:$B$152)</f>
        <v>Jawa Tengah</v>
      </c>
      <c r="D260" s="82" t="s">
        <v>676</v>
      </c>
      <c r="E260" s="83">
        <v>45323.0</v>
      </c>
      <c r="F260" s="84" t="str">
        <f t="array" ref="F260">XLOOKUP(G260,Reference!$F:$F,Reference!$D:$D,"null")</f>
        <v>Makanan dan Pakaian </v>
      </c>
      <c r="G260" s="85" t="s">
        <v>56</v>
      </c>
      <c r="H260" s="86">
        <v>104.61</v>
      </c>
      <c r="I260" s="86">
        <v>104.51</v>
      </c>
      <c r="J260" s="87">
        <f t="shared" si="2"/>
        <v>0.09568462348</v>
      </c>
      <c r="K260" s="84" t="str">
        <f t="shared" si="3"/>
        <v>Inflasi Normal</v>
      </c>
      <c r="L260" s="84">
        <f t="shared" si="4"/>
        <v>0.1</v>
      </c>
      <c r="M260" s="88" t="str">
        <f t="shared" si="5"/>
        <v>Perubahan Normal</v>
      </c>
    </row>
    <row r="261" ht="18.75" customHeight="1">
      <c r="A261" s="80" t="s">
        <v>372</v>
      </c>
      <c r="B261" s="81" t="str">
        <f t="shared" si="1"/>
        <v>Kota Tanjung Pinang</v>
      </c>
      <c r="C261" s="81" t="str">
        <f t="array" ref="C261">XLOOKUP(B261,Reference!$A$2:$A$152,Reference!$B$2:$B$152)</f>
        <v>Kepulauan Riau</v>
      </c>
      <c r="D261" s="82" t="s">
        <v>677</v>
      </c>
      <c r="E261" s="83">
        <v>45352.0</v>
      </c>
      <c r="F261" s="84" t="str">
        <f t="array" ref="F261">XLOOKUP(G261,Reference!$F:$F,Reference!$D:$D,"null")</f>
        <v>Makanan dan Pakaian </v>
      </c>
      <c r="G261" s="85" t="s">
        <v>64</v>
      </c>
      <c r="H261" s="86">
        <v>100.11</v>
      </c>
      <c r="I261" s="86">
        <v>100.0</v>
      </c>
      <c r="J261" s="87">
        <f t="shared" si="2"/>
        <v>0.11</v>
      </c>
      <c r="K261" s="84" t="str">
        <f t="shared" si="3"/>
        <v>Inflasi Normal</v>
      </c>
      <c r="L261" s="84">
        <f t="shared" si="4"/>
        <v>0.11</v>
      </c>
      <c r="M261" s="88" t="str">
        <f t="shared" si="5"/>
        <v>Perubahan Normal</v>
      </c>
    </row>
    <row r="262" ht="18.75" customHeight="1">
      <c r="A262" s="80" t="s">
        <v>505</v>
      </c>
      <c r="B262" s="81" t="str">
        <f t="shared" si="1"/>
        <v>Kota Denpasar</v>
      </c>
      <c r="C262" s="81" t="str">
        <f t="array" ref="C262">XLOOKUP(B262,Reference!$A$2:$A$152,Reference!$B$2:$B$152)</f>
        <v>Bali</v>
      </c>
      <c r="D262" s="82" t="s">
        <v>678</v>
      </c>
      <c r="E262" s="83">
        <v>45352.0</v>
      </c>
      <c r="F262" s="84" t="str">
        <f t="array" ref="F262">XLOOKUP(G262,Reference!$F:$F,Reference!$D:$D,"null")</f>
        <v>Pendidikan dan Kesehatan</v>
      </c>
      <c r="G262" s="85" t="s">
        <v>98</v>
      </c>
      <c r="H262" s="86">
        <v>99.15</v>
      </c>
      <c r="I262" s="86">
        <v>99.15</v>
      </c>
      <c r="J262" s="87">
        <f t="shared" si="2"/>
        <v>0</v>
      </c>
      <c r="K262" s="84" t="str">
        <f t="shared" si="3"/>
        <v>Stabil</v>
      </c>
      <c r="L262" s="84">
        <f t="shared" si="4"/>
        <v>0</v>
      </c>
      <c r="M262" s="88" t="str">
        <f t="shared" si="5"/>
        <v>Perubahan Normal</v>
      </c>
    </row>
    <row r="263" ht="18.75" customHeight="1">
      <c r="A263" s="80" t="s">
        <v>410</v>
      </c>
      <c r="B263" s="81" t="str">
        <f t="shared" si="1"/>
        <v>Meulaboh</v>
      </c>
      <c r="C263" s="81" t="str">
        <f t="array" ref="C263">XLOOKUP(B263,Reference!$A$2:$A$152,Reference!$B$2:$B$152)</f>
        <v>Aceh</v>
      </c>
      <c r="D263" s="82" t="s">
        <v>679</v>
      </c>
      <c r="E263" s="83">
        <v>45352.0</v>
      </c>
      <c r="F263" s="84" t="str">
        <f t="array" ref="F263">XLOOKUP(G263,Reference!$F:$F,Reference!$D:$D,"null")</f>
        <v>Rumah Tangga</v>
      </c>
      <c r="G263" s="85" t="s">
        <v>84</v>
      </c>
      <c r="H263" s="86">
        <v>101.44</v>
      </c>
      <c r="I263" s="86">
        <v>101.44</v>
      </c>
      <c r="J263" s="87">
        <f t="shared" si="2"/>
        <v>0</v>
      </c>
      <c r="K263" s="84" t="str">
        <f t="shared" si="3"/>
        <v>Stabil</v>
      </c>
      <c r="L263" s="84">
        <f t="shared" si="4"/>
        <v>0</v>
      </c>
      <c r="M263" s="88" t="str">
        <f t="shared" si="5"/>
        <v>Perubahan Normal</v>
      </c>
    </row>
    <row r="264" ht="18.75" customHeight="1">
      <c r="A264" s="80" t="s">
        <v>680</v>
      </c>
      <c r="B264" s="81" t="str">
        <f t="shared" si="1"/>
        <v>Kota Pekanbaru</v>
      </c>
      <c r="C264" s="81" t="str">
        <f t="array" ref="C264">XLOOKUP(B264,Reference!$A$2:$A$152,Reference!$B$2:$B$152)</f>
        <v>Riau</v>
      </c>
      <c r="D264" s="82" t="s">
        <v>681</v>
      </c>
      <c r="E264" s="83">
        <v>45352.0</v>
      </c>
      <c r="F264" s="84" t="str">
        <f t="array" ref="F264">XLOOKUP(G264,Reference!$F:$F,Reference!$D:$D,"null")</f>
        <v>Rumah Tangga</v>
      </c>
      <c r="G264" s="85" t="s">
        <v>84</v>
      </c>
      <c r="H264" s="86">
        <v>101.74</v>
      </c>
      <c r="I264" s="86">
        <v>101.74</v>
      </c>
      <c r="J264" s="87">
        <f t="shared" si="2"/>
        <v>0</v>
      </c>
      <c r="K264" s="84" t="str">
        <f t="shared" si="3"/>
        <v>Stabil</v>
      </c>
      <c r="L264" s="84">
        <f t="shared" si="4"/>
        <v>0</v>
      </c>
      <c r="M264" s="88" t="str">
        <f t="shared" si="5"/>
        <v>Perubahan Normal</v>
      </c>
    </row>
    <row r="265" ht="18.75" customHeight="1">
      <c r="A265" s="80" t="s">
        <v>466</v>
      </c>
      <c r="B265" s="81" t="str">
        <f t="shared" si="1"/>
        <v>Kota Surabaya</v>
      </c>
      <c r="C265" s="81" t="str">
        <f t="array" ref="C265">XLOOKUP(B265,Reference!$A$2:$A$152,Reference!$B$2:$B$152)</f>
        <v>Jawa Timur</v>
      </c>
      <c r="D265" s="82" t="s">
        <v>682</v>
      </c>
      <c r="E265" s="83">
        <v>45323.0</v>
      </c>
      <c r="F265" s="84" t="str">
        <f t="array" ref="F265">XLOOKUP(G265,Reference!$F:$F,Reference!$D:$D,"null")</f>
        <v>Rekreasi dan Kendaraan</v>
      </c>
      <c r="G265" s="85" t="s">
        <v>102</v>
      </c>
      <c r="H265" s="86">
        <v>101.26</v>
      </c>
      <c r="I265" s="86">
        <v>101.19</v>
      </c>
      <c r="J265" s="87">
        <f t="shared" si="2"/>
        <v>0.06917679613</v>
      </c>
      <c r="K265" s="84" t="str">
        <f t="shared" si="3"/>
        <v>Inflasi Normal</v>
      </c>
      <c r="L265" s="84">
        <f t="shared" si="4"/>
        <v>0.07</v>
      </c>
      <c r="M265" s="88" t="str">
        <f t="shared" si="5"/>
        <v>Perubahan Normal</v>
      </c>
    </row>
    <row r="266" ht="18.75" customHeight="1">
      <c r="A266" s="80" t="s">
        <v>658</v>
      </c>
      <c r="B266" s="81" t="str">
        <f t="shared" si="1"/>
        <v>Kota Mataram</v>
      </c>
      <c r="C266" s="81" t="str">
        <f t="array" ref="C266">XLOOKUP(B266,Reference!$A$2:$A$152,Reference!$B$2:$B$152)</f>
        <v>Nusa Tenggara Barat (NTB)</v>
      </c>
      <c r="D266" s="82" t="s">
        <v>683</v>
      </c>
      <c r="E266" s="83">
        <v>45352.0</v>
      </c>
      <c r="F266" s="84" t="str">
        <f t="array" ref="F266">XLOOKUP(G266,Reference!$F:$F,Reference!$D:$D,"null")</f>
        <v>Rumah Tangga</v>
      </c>
      <c r="G266" s="85" t="s">
        <v>80</v>
      </c>
      <c r="H266" s="86">
        <v>102.09</v>
      </c>
      <c r="I266" s="86">
        <v>102.09</v>
      </c>
      <c r="J266" s="87">
        <f t="shared" si="2"/>
        <v>0</v>
      </c>
      <c r="K266" s="84" t="str">
        <f t="shared" si="3"/>
        <v>Stabil</v>
      </c>
      <c r="L266" s="84">
        <f t="shared" si="4"/>
        <v>0</v>
      </c>
      <c r="M266" s="88" t="str">
        <f t="shared" si="5"/>
        <v>Perubahan Normal</v>
      </c>
    </row>
    <row r="267" ht="18.75" customHeight="1">
      <c r="A267" s="80" t="s">
        <v>488</v>
      </c>
      <c r="B267" s="81" t="str">
        <f t="shared" si="1"/>
        <v>Kab Muko Muko</v>
      </c>
      <c r="C267" s="81" t="str">
        <f t="array" ref="C267">XLOOKUP(B267,Reference!$A$2:$A$152,Reference!$B$2:$B$152)</f>
        <v>Bengkulu</v>
      </c>
      <c r="D267" s="82" t="s">
        <v>684</v>
      </c>
      <c r="E267" s="83">
        <v>45352.0</v>
      </c>
      <c r="F267" s="84" t="str">
        <f t="array" ref="F267">XLOOKUP(G267,Reference!$F:$F,Reference!$D:$D,"null")</f>
        <v>Makanan dan Pakaian </v>
      </c>
      <c r="G267" s="85" t="s">
        <v>48</v>
      </c>
      <c r="H267" s="86">
        <v>107.36</v>
      </c>
      <c r="I267" s="86">
        <v>107.83</v>
      </c>
      <c r="J267" s="87">
        <f t="shared" si="2"/>
        <v>-0.4358712789</v>
      </c>
      <c r="K267" s="84" t="str">
        <f t="shared" si="3"/>
        <v>Deflasi</v>
      </c>
      <c r="L267" s="84">
        <f t="shared" si="4"/>
        <v>-0.47</v>
      </c>
      <c r="M267" s="88" t="str">
        <f t="shared" si="5"/>
        <v>Perubahan Normal</v>
      </c>
    </row>
    <row r="268" ht="18.75" customHeight="1">
      <c r="A268" s="80" t="s">
        <v>654</v>
      </c>
      <c r="B268" s="81" t="str">
        <f t="shared" si="1"/>
        <v>Kab Aceh Tengah</v>
      </c>
      <c r="C268" s="81" t="str">
        <f t="array" ref="C268">XLOOKUP(B268,Reference!$A$2:$A$152,Reference!$B$2:$B$152)</f>
        <v>Aceh</v>
      </c>
      <c r="D268" s="82" t="s">
        <v>685</v>
      </c>
      <c r="E268" s="83">
        <v>45352.0</v>
      </c>
      <c r="F268" s="84" t="str">
        <f t="array" ref="F268">XLOOKUP(G268,Reference!$F:$F,Reference!$D:$D,"null")</f>
        <v>Rekreasi dan Kendaraan</v>
      </c>
      <c r="G268" s="85" t="s">
        <v>102</v>
      </c>
      <c r="H268" s="86">
        <v>109.7</v>
      </c>
      <c r="I268" s="86">
        <v>110.04</v>
      </c>
      <c r="J268" s="87">
        <f t="shared" si="2"/>
        <v>-0.3089785533</v>
      </c>
      <c r="K268" s="84" t="str">
        <f t="shared" si="3"/>
        <v>Deflasi</v>
      </c>
      <c r="L268" s="84">
        <f t="shared" si="4"/>
        <v>-0.34</v>
      </c>
      <c r="M268" s="88" t="str">
        <f t="shared" si="5"/>
        <v>Perubahan Normal</v>
      </c>
    </row>
    <row r="269" ht="18.75" customHeight="1">
      <c r="A269" s="80" t="s">
        <v>378</v>
      </c>
      <c r="B269" s="81" t="str">
        <f t="shared" si="1"/>
        <v>Kab Berau</v>
      </c>
      <c r="C269" s="81" t="str">
        <f t="array" ref="C269">XLOOKUP(B269,Reference!$A$2:$A$152,Reference!$B$2:$B$152)</f>
        <v>Kalimantan Timur</v>
      </c>
      <c r="D269" s="82" t="s">
        <v>686</v>
      </c>
      <c r="E269" s="83">
        <v>45352.0</v>
      </c>
      <c r="F269" s="84" t="str">
        <f t="array" ref="F269">XLOOKUP(G269,Reference!$F:$F,Reference!$D:$D,"null")</f>
        <v>Makanan dan Pakaian </v>
      </c>
      <c r="G269" s="85" t="s">
        <v>64</v>
      </c>
      <c r="H269" s="86">
        <v>106.28</v>
      </c>
      <c r="I269" s="86">
        <v>105.68</v>
      </c>
      <c r="J269" s="87">
        <f t="shared" si="2"/>
        <v>0.5677517033</v>
      </c>
      <c r="K269" s="84" t="str">
        <f t="shared" si="3"/>
        <v>Inflasi Tinggi</v>
      </c>
      <c r="L269" s="84">
        <f t="shared" si="4"/>
        <v>0.6</v>
      </c>
      <c r="M269" s="88" t="str">
        <f t="shared" si="5"/>
        <v>Akselerasi Persentase</v>
      </c>
    </row>
    <row r="270" ht="18.75" customHeight="1">
      <c r="A270" s="80" t="s">
        <v>433</v>
      </c>
      <c r="B270" s="81" t="str">
        <f t="shared" si="1"/>
        <v>Kab Tulungagung</v>
      </c>
      <c r="C270" s="81" t="str">
        <f t="array" ref="C270">XLOOKUP(B270,Reference!$A$2:$A$152,Reference!$B$2:$B$152)</f>
        <v>Jawa Timur</v>
      </c>
      <c r="D270" s="82" t="s">
        <v>687</v>
      </c>
      <c r="E270" s="83">
        <v>45323.0</v>
      </c>
      <c r="F270" s="84" t="str">
        <f t="array" ref="F270">XLOOKUP(G270,Reference!$F:$F,Reference!$D:$D,"null")</f>
        <v>Rekreasi dan Kendaraan</v>
      </c>
      <c r="G270" s="89" t="s">
        <v>105</v>
      </c>
      <c r="H270" s="90">
        <v>100.9</v>
      </c>
      <c r="I270" s="90">
        <v>100.19</v>
      </c>
      <c r="J270" s="87">
        <f t="shared" si="2"/>
        <v>0.7086535582</v>
      </c>
      <c r="K270" s="84" t="str">
        <f t="shared" si="3"/>
        <v>Inflasi Tinggi</v>
      </c>
      <c r="L270" s="91">
        <f t="shared" si="4"/>
        <v>0.71</v>
      </c>
      <c r="M270" s="88" t="str">
        <f t="shared" si="5"/>
        <v>Akselerasi Persentase</v>
      </c>
    </row>
    <row r="271" ht="18.75" customHeight="1">
      <c r="A271" s="80" t="s">
        <v>586</v>
      </c>
      <c r="B271" s="81" t="str">
        <f t="shared" si="1"/>
        <v>Kab Karimun</v>
      </c>
      <c r="C271" s="81" t="str">
        <f t="array" ref="C271">XLOOKUP(B271,Reference!$A$2:$A$152,Reference!$B$2:$B$152)</f>
        <v>Kepulauan Riau</v>
      </c>
      <c r="D271" s="82" t="s">
        <v>688</v>
      </c>
      <c r="E271" s="83">
        <v>45323.0</v>
      </c>
      <c r="F271" s="84" t="str">
        <f t="array" ref="F271">XLOOKUP(G271,Reference!$F:$F,Reference!$D:$D,"null")</f>
        <v>Rumah Tangga</v>
      </c>
      <c r="G271" s="85" t="s">
        <v>80</v>
      </c>
      <c r="H271" s="86">
        <v>100.91</v>
      </c>
      <c r="I271" s="86">
        <v>100.47</v>
      </c>
      <c r="J271" s="87">
        <f t="shared" si="2"/>
        <v>0.4379416741</v>
      </c>
      <c r="K271" s="84" t="str">
        <f t="shared" si="3"/>
        <v>Inflasi Normal</v>
      </c>
      <c r="L271" s="84">
        <f t="shared" si="4"/>
        <v>0.44</v>
      </c>
      <c r="M271" s="88" t="str">
        <f t="shared" si="5"/>
        <v>Perubahan Normal</v>
      </c>
    </row>
    <row r="272" ht="18.75" customHeight="1">
      <c r="A272" s="80" t="s">
        <v>458</v>
      </c>
      <c r="B272" s="81" t="str">
        <f t="shared" si="1"/>
        <v>Kota Dumai</v>
      </c>
      <c r="C272" s="81" t="str">
        <f t="array" ref="C272">XLOOKUP(B272,Reference!$A$2:$A$152,Reference!$B$2:$B$152)</f>
        <v>Riau</v>
      </c>
      <c r="D272" s="82" t="s">
        <v>689</v>
      </c>
      <c r="E272" s="83">
        <v>45352.0</v>
      </c>
      <c r="F272" s="84" t="str">
        <f t="array" ref="F272">XLOOKUP(G272,Reference!$F:$F,Reference!$D:$D,"null")</f>
        <v>Makanan dan Pakaian </v>
      </c>
      <c r="G272" s="85" t="s">
        <v>56</v>
      </c>
      <c r="H272" s="86">
        <v>102.19</v>
      </c>
      <c r="I272" s="86">
        <v>102.02</v>
      </c>
      <c r="J272" s="87">
        <f t="shared" si="2"/>
        <v>0.1666339933</v>
      </c>
      <c r="K272" s="84" t="str">
        <f t="shared" si="3"/>
        <v>Inflasi Normal</v>
      </c>
      <c r="L272" s="84">
        <f t="shared" si="4"/>
        <v>0.17</v>
      </c>
      <c r="M272" s="88" t="str">
        <f t="shared" si="5"/>
        <v>Perubahan Normal</v>
      </c>
    </row>
    <row r="273" ht="18.75" customHeight="1">
      <c r="A273" s="80" t="s">
        <v>358</v>
      </c>
      <c r="B273" s="81" t="str">
        <f t="shared" si="1"/>
        <v>Kab Minahasa Utara</v>
      </c>
      <c r="C273" s="81" t="str">
        <f t="array" ref="C273">XLOOKUP(B273,Reference!$A$2:$A$152,Reference!$B$2:$B$152)</f>
        <v>Sulawesi Utara</v>
      </c>
      <c r="D273" s="82" t="s">
        <v>690</v>
      </c>
      <c r="E273" s="83">
        <v>45323.0</v>
      </c>
      <c r="F273" s="84" t="str">
        <f t="array" ref="F273">XLOOKUP(G273,Reference!$F:$F,Reference!$D:$D,"null")</f>
        <v>Makanan dan Pakaian </v>
      </c>
      <c r="G273" s="85" t="s">
        <v>48</v>
      </c>
      <c r="H273" s="86">
        <v>113.95</v>
      </c>
      <c r="I273" s="86">
        <v>117.14</v>
      </c>
      <c r="J273" s="87">
        <f t="shared" si="2"/>
        <v>-2.723237152</v>
      </c>
      <c r="K273" s="84" t="str">
        <f t="shared" si="3"/>
        <v>Deflasi</v>
      </c>
      <c r="L273" s="84">
        <f t="shared" si="4"/>
        <v>-3.19</v>
      </c>
      <c r="M273" s="88" t="str">
        <f t="shared" si="5"/>
        <v>Perubahan Normal</v>
      </c>
    </row>
    <row r="274" ht="18.75" customHeight="1">
      <c r="A274" s="80" t="s">
        <v>425</v>
      </c>
      <c r="B274" s="81" t="str">
        <f t="shared" si="1"/>
        <v>Kab Gorontalo</v>
      </c>
      <c r="C274" s="81" t="str">
        <f t="array" ref="C274">XLOOKUP(B274,Reference!$A$2:$A$152,Reference!$B$2:$B$152)</f>
        <v>Gorontalo</v>
      </c>
      <c r="D274" s="82" t="s">
        <v>691</v>
      </c>
      <c r="E274" s="83">
        <v>45352.0</v>
      </c>
      <c r="F274" s="84" t="str">
        <f t="array" ref="F274">XLOOKUP(G274,Reference!$F:$F,Reference!$D:$D,"null")</f>
        <v>Rumah Tangga</v>
      </c>
      <c r="G274" s="85" t="s">
        <v>89</v>
      </c>
      <c r="H274" s="86">
        <v>101.05</v>
      </c>
      <c r="I274" s="86">
        <v>101.05</v>
      </c>
      <c r="J274" s="87">
        <f t="shared" si="2"/>
        <v>0</v>
      </c>
      <c r="K274" s="84" t="str">
        <f t="shared" si="3"/>
        <v>Stabil</v>
      </c>
      <c r="L274" s="84">
        <f t="shared" si="4"/>
        <v>0</v>
      </c>
      <c r="M274" s="88" t="str">
        <f t="shared" si="5"/>
        <v>Perubahan Normal</v>
      </c>
    </row>
    <row r="275" ht="18.75" customHeight="1">
      <c r="A275" s="80" t="s">
        <v>391</v>
      </c>
      <c r="B275" s="81" t="str">
        <f t="shared" si="1"/>
        <v>Kota Batam</v>
      </c>
      <c r="C275" s="81" t="str">
        <f t="array" ref="C275">XLOOKUP(B275,Reference!$A$2:$A$152,Reference!$B$2:$B$152)</f>
        <v>Kepulauan Riau</v>
      </c>
      <c r="D275" s="82" t="s">
        <v>692</v>
      </c>
      <c r="E275" s="83">
        <v>45323.0</v>
      </c>
      <c r="F275" s="84" t="str">
        <f t="array" ref="F275">XLOOKUP(G275,Reference!$F:$F,Reference!$D:$D,"null")</f>
        <v>Rumah Tangga</v>
      </c>
      <c r="G275" s="85" t="s">
        <v>84</v>
      </c>
      <c r="H275" s="86">
        <v>101.74</v>
      </c>
      <c r="I275" s="86">
        <v>101.87</v>
      </c>
      <c r="J275" s="87">
        <f t="shared" si="2"/>
        <v>-0.1276136252</v>
      </c>
      <c r="K275" s="84" t="str">
        <f t="shared" si="3"/>
        <v>Deflasi</v>
      </c>
      <c r="L275" s="84">
        <f t="shared" si="4"/>
        <v>-0.13</v>
      </c>
      <c r="M275" s="88" t="str">
        <f t="shared" si="5"/>
        <v>Perubahan Normal</v>
      </c>
    </row>
    <row r="276" ht="18.75" customHeight="1">
      <c r="A276" s="80" t="s">
        <v>550</v>
      </c>
      <c r="B276" s="81" t="str">
        <f t="shared" si="1"/>
        <v>Kota Sukabumi</v>
      </c>
      <c r="C276" s="81" t="str">
        <f t="array" ref="C276">XLOOKUP(B276,Reference!$A$2:$A$152,Reference!$B$2:$B$152)</f>
        <v>Jawa Barat</v>
      </c>
      <c r="D276" s="82" t="s">
        <v>693</v>
      </c>
      <c r="E276" s="83">
        <v>45323.0</v>
      </c>
      <c r="F276" s="84" t="str">
        <f t="array" ref="F276">XLOOKUP(G276,Reference!$F:$F,Reference!$D:$D,"null")</f>
        <v>Pendidikan dan Kesehatan</v>
      </c>
      <c r="G276" s="85" t="s">
        <v>95</v>
      </c>
      <c r="H276" s="86">
        <v>101.05</v>
      </c>
      <c r="I276" s="86">
        <v>101.05</v>
      </c>
      <c r="J276" s="87">
        <f t="shared" si="2"/>
        <v>0</v>
      </c>
      <c r="K276" s="84" t="str">
        <f t="shared" si="3"/>
        <v>Stabil</v>
      </c>
      <c r="L276" s="84">
        <f t="shared" si="4"/>
        <v>0</v>
      </c>
      <c r="M276" s="88" t="str">
        <f t="shared" si="5"/>
        <v>Perubahan Normal</v>
      </c>
    </row>
    <row r="277" ht="18.75" customHeight="1">
      <c r="A277" s="80" t="s">
        <v>337</v>
      </c>
      <c r="B277" s="81" t="str">
        <f t="shared" si="1"/>
        <v>Merauke</v>
      </c>
      <c r="C277" s="81" t="str">
        <f t="array" ref="C277">XLOOKUP(B277,Reference!$A$2:$A$152,Reference!$B$2:$B$152)</f>
        <v>Papua</v>
      </c>
      <c r="D277" s="82" t="s">
        <v>694</v>
      </c>
      <c r="E277" s="83">
        <v>45352.0</v>
      </c>
      <c r="F277" s="84" t="str">
        <f t="array" ref="F277">XLOOKUP(G277,Reference!$F:$F,Reference!$D:$D,"null")</f>
        <v>Makanan dan Pakaian </v>
      </c>
      <c r="G277" s="85" t="s">
        <v>56</v>
      </c>
      <c r="H277" s="86">
        <v>99.51</v>
      </c>
      <c r="I277" s="86">
        <v>99.37</v>
      </c>
      <c r="J277" s="87">
        <f t="shared" si="2"/>
        <v>0.1408875918</v>
      </c>
      <c r="K277" s="84" t="str">
        <f t="shared" si="3"/>
        <v>Inflasi Normal</v>
      </c>
      <c r="L277" s="84">
        <f t="shared" si="4"/>
        <v>0.14</v>
      </c>
      <c r="M277" s="88" t="str">
        <f t="shared" si="5"/>
        <v>Perubahan Normal</v>
      </c>
    </row>
    <row r="278" ht="18.75" customHeight="1">
      <c r="A278" s="80" t="s">
        <v>355</v>
      </c>
      <c r="B278" s="81" t="str">
        <f t="shared" si="1"/>
        <v>Kota Gorontalo</v>
      </c>
      <c r="C278" s="81" t="str">
        <f t="array" ref="C278">XLOOKUP(B278,Reference!$A$2:$A$152,Reference!$B$2:$B$152)</f>
        <v>Gorontalo</v>
      </c>
      <c r="D278" s="82" t="s">
        <v>695</v>
      </c>
      <c r="E278" s="83">
        <v>45352.0</v>
      </c>
      <c r="F278" s="84" t="str">
        <f t="array" ref="F278">XLOOKUP(G278,Reference!$F:$F,Reference!$D:$D,"null")</f>
        <v>Makanan dan Pakaian </v>
      </c>
      <c r="G278" s="85" t="s">
        <v>64</v>
      </c>
      <c r="H278" s="86">
        <v>102.41</v>
      </c>
      <c r="I278" s="86">
        <v>102.12</v>
      </c>
      <c r="J278" s="87">
        <f t="shared" si="2"/>
        <v>0.2839796318</v>
      </c>
      <c r="K278" s="84" t="str">
        <f t="shared" si="3"/>
        <v>Inflasi Normal</v>
      </c>
      <c r="L278" s="84">
        <f t="shared" si="4"/>
        <v>0.29</v>
      </c>
      <c r="M278" s="88" t="str">
        <f t="shared" si="5"/>
        <v>Perubahan Normal</v>
      </c>
    </row>
    <row r="279" ht="18.75" customHeight="1">
      <c r="A279" s="80" t="s">
        <v>571</v>
      </c>
      <c r="B279" s="81" t="str">
        <f t="shared" si="1"/>
        <v>Kota Sorong</v>
      </c>
      <c r="C279" s="81" t="str">
        <f t="array" ref="C279">XLOOKUP(B279,Reference!$A$2:$A$152,Reference!$B$2:$B$152)</f>
        <v>Papua Barat Daya</v>
      </c>
      <c r="D279" s="82" t="s">
        <v>696</v>
      </c>
      <c r="E279" s="83">
        <v>45323.0</v>
      </c>
      <c r="F279" s="84" t="str">
        <f t="array" ref="F279">XLOOKUP(G279,Reference!$F:$F,Reference!$D:$D,"null")</f>
        <v>Makanan dan Pakaian </v>
      </c>
      <c r="G279" s="89" t="s">
        <v>72</v>
      </c>
      <c r="H279" s="90">
        <v>103.95</v>
      </c>
      <c r="I279" s="90">
        <v>105.19</v>
      </c>
      <c r="J279" s="87">
        <f t="shared" si="2"/>
        <v>-1.178819279</v>
      </c>
      <c r="K279" s="84" t="str">
        <f t="shared" si="3"/>
        <v>Deflasi</v>
      </c>
      <c r="L279" s="91">
        <f t="shared" si="4"/>
        <v>-1.24</v>
      </c>
      <c r="M279" s="88" t="str">
        <f t="shared" si="5"/>
        <v>Perubahan Normal</v>
      </c>
    </row>
    <row r="280" ht="18.75" customHeight="1">
      <c r="A280" s="80" t="s">
        <v>382</v>
      </c>
      <c r="B280" s="81" t="str">
        <f t="shared" si="1"/>
        <v>Kab Ngada</v>
      </c>
      <c r="C280" s="81" t="str">
        <f t="array" ref="C280">XLOOKUP(B280,Reference!$A$2:$A$152,Reference!$B$2:$B$152)</f>
        <v>Nusa Tenggara Timur (NTT)</v>
      </c>
      <c r="D280" s="82" t="s">
        <v>697</v>
      </c>
      <c r="E280" s="83">
        <v>45352.0</v>
      </c>
      <c r="F280" s="84" t="str">
        <f t="array" ref="F280">XLOOKUP(G280,Reference!$F:$F,Reference!$D:$D,"null")</f>
        <v>Makanan dan Pakaian </v>
      </c>
      <c r="G280" s="85" t="s">
        <v>64</v>
      </c>
      <c r="H280" s="86">
        <v>122.7</v>
      </c>
      <c r="I280" s="86">
        <v>122.7</v>
      </c>
      <c r="J280" s="87">
        <f t="shared" si="2"/>
        <v>0</v>
      </c>
      <c r="K280" s="84" t="str">
        <f t="shared" si="3"/>
        <v>Stabil</v>
      </c>
      <c r="L280" s="84">
        <f t="shared" si="4"/>
        <v>0</v>
      </c>
      <c r="M280" s="88" t="str">
        <f t="shared" si="5"/>
        <v>Perubahan Normal</v>
      </c>
    </row>
    <row r="281" ht="18.75" customHeight="1">
      <c r="A281" s="80" t="s">
        <v>362</v>
      </c>
      <c r="B281" s="81" t="str">
        <f t="shared" si="1"/>
        <v>Sumenep</v>
      </c>
      <c r="C281" s="81" t="str">
        <f t="array" ref="C281">XLOOKUP(B281,Reference!$A$2:$A$152,Reference!$B$2:$B$152)</f>
        <v>Jawa Timur</v>
      </c>
      <c r="D281" s="82" t="s">
        <v>698</v>
      </c>
      <c r="E281" s="83">
        <v>45323.0</v>
      </c>
      <c r="F281" s="84" t="str">
        <f t="array" ref="F281">XLOOKUP(G281,Reference!$F:$F,Reference!$D:$D,"null")</f>
        <v>Rumah Tangga</v>
      </c>
      <c r="G281" s="85" t="s">
        <v>84</v>
      </c>
      <c r="H281" s="86">
        <v>100.48</v>
      </c>
      <c r="I281" s="86">
        <v>100.48</v>
      </c>
      <c r="J281" s="87">
        <f t="shared" si="2"/>
        <v>0</v>
      </c>
      <c r="K281" s="84" t="str">
        <f t="shared" si="3"/>
        <v>Stabil</v>
      </c>
      <c r="L281" s="84">
        <f t="shared" si="4"/>
        <v>0</v>
      </c>
      <c r="M281" s="88" t="str">
        <f t="shared" si="5"/>
        <v>Perubahan Normal</v>
      </c>
    </row>
    <row r="282" ht="18.75" customHeight="1">
      <c r="A282" s="80" t="s">
        <v>699</v>
      </c>
      <c r="B282" s="81" t="str">
        <f t="shared" si="1"/>
        <v>Mamuju</v>
      </c>
      <c r="C282" s="81" t="str">
        <f t="array" ref="C282">XLOOKUP(B282,Reference!$A$2:$A$152,Reference!$B$2:$B$152)</f>
        <v>Sulawesi Barat</v>
      </c>
      <c r="D282" s="82" t="s">
        <v>700</v>
      </c>
      <c r="E282" s="83">
        <v>45352.0</v>
      </c>
      <c r="F282" s="84" t="str">
        <f t="array" ref="F282">XLOOKUP(G282,Reference!$F:$F,Reference!$D:$D,"null")</f>
        <v>Rumah Tangga</v>
      </c>
      <c r="G282" s="89" t="s">
        <v>89</v>
      </c>
      <c r="H282" s="90">
        <v>107.31</v>
      </c>
      <c r="I282" s="90">
        <v>107.31</v>
      </c>
      <c r="J282" s="87">
        <f t="shared" si="2"/>
        <v>0</v>
      </c>
      <c r="K282" s="84" t="str">
        <f t="shared" si="3"/>
        <v>Stabil</v>
      </c>
      <c r="L282" s="91">
        <f t="shared" si="4"/>
        <v>0</v>
      </c>
      <c r="M282" s="88" t="str">
        <f t="shared" si="5"/>
        <v>Perubahan Normal</v>
      </c>
    </row>
    <row r="283" ht="18.75" customHeight="1">
      <c r="A283" s="80" t="s">
        <v>397</v>
      </c>
      <c r="B283" s="81" t="str">
        <f t="shared" si="1"/>
        <v>Kota Pematangsiantar</v>
      </c>
      <c r="C283" s="81" t="str">
        <f t="array" ref="C283">XLOOKUP(B283,Reference!$A$2:$A$152,Reference!$B$2:$B$152)</f>
        <v>Sumatera Utara</v>
      </c>
      <c r="D283" s="82" t="s">
        <v>701</v>
      </c>
      <c r="E283" s="83">
        <v>45323.0</v>
      </c>
      <c r="F283" s="84" t="str">
        <f t="array" ref="F283">XLOOKUP(G283,Reference!$F:$F,Reference!$D:$D,"null")</f>
        <v>Rekreasi dan Kendaraan</v>
      </c>
      <c r="G283" s="85" t="s">
        <v>102</v>
      </c>
      <c r="H283" s="86">
        <v>98.01</v>
      </c>
      <c r="I283" s="86">
        <v>97.85</v>
      </c>
      <c r="J283" s="87">
        <f t="shared" si="2"/>
        <v>0.1635155851</v>
      </c>
      <c r="K283" s="84" t="str">
        <f t="shared" si="3"/>
        <v>Inflasi Normal</v>
      </c>
      <c r="L283" s="84">
        <f t="shared" si="4"/>
        <v>0.16</v>
      </c>
      <c r="M283" s="88" t="str">
        <f t="shared" si="5"/>
        <v>Perubahan Normal</v>
      </c>
    </row>
    <row r="284" ht="18.75" customHeight="1">
      <c r="A284" s="80" t="s">
        <v>406</v>
      </c>
      <c r="B284" s="81" t="str">
        <f t="shared" si="1"/>
        <v>Kota Tasikmalaya</v>
      </c>
      <c r="C284" s="81" t="str">
        <f t="array" ref="C284">XLOOKUP(B284,Reference!$A$2:$A$152,Reference!$B$2:$B$152)</f>
        <v>Jawa Barat</v>
      </c>
      <c r="D284" s="82" t="s">
        <v>702</v>
      </c>
      <c r="E284" s="83">
        <v>45323.0</v>
      </c>
      <c r="F284" s="84" t="str">
        <f t="array" ref="F284">XLOOKUP(G284,Reference!$F:$F,Reference!$D:$D,"null")</f>
        <v>Rekreasi dan Kendaraan</v>
      </c>
      <c r="G284" s="89" t="s">
        <v>105</v>
      </c>
      <c r="H284" s="90">
        <v>102.75</v>
      </c>
      <c r="I284" s="90">
        <v>102.75</v>
      </c>
      <c r="J284" s="87">
        <f t="shared" si="2"/>
        <v>0</v>
      </c>
      <c r="K284" s="84" t="str">
        <f t="shared" si="3"/>
        <v>Stabil</v>
      </c>
      <c r="L284" s="91">
        <f t="shared" si="4"/>
        <v>0</v>
      </c>
      <c r="M284" s="88" t="str">
        <f t="shared" si="5"/>
        <v>Perubahan Normal</v>
      </c>
    </row>
    <row r="285" ht="18.75" customHeight="1">
      <c r="A285" s="80" t="s">
        <v>497</v>
      </c>
      <c r="B285" s="81" t="str">
        <f t="shared" si="1"/>
        <v>Tanjung Pandan</v>
      </c>
      <c r="C285" s="81" t="str">
        <f t="array" ref="C285">XLOOKUP(B285,Reference!$A$2:$A$152,Reference!$B$2:$B$152)</f>
        <v>Kepulauan Bangka Belitung</v>
      </c>
      <c r="D285" s="82" t="s">
        <v>703</v>
      </c>
      <c r="E285" s="83">
        <v>45323.0</v>
      </c>
      <c r="F285" s="84" t="str">
        <f t="array" ref="F285">XLOOKUP(G285,Reference!$F:$F,Reference!$D:$D,"null")</f>
        <v>Makanan dan Pakaian </v>
      </c>
      <c r="G285" s="85" t="s">
        <v>56</v>
      </c>
      <c r="H285" s="86">
        <v>107.52</v>
      </c>
      <c r="I285" s="86">
        <v>107.52</v>
      </c>
      <c r="J285" s="87">
        <f t="shared" si="2"/>
        <v>0</v>
      </c>
      <c r="K285" s="84" t="str">
        <f t="shared" si="3"/>
        <v>Stabil</v>
      </c>
      <c r="L285" s="84">
        <f t="shared" si="4"/>
        <v>0</v>
      </c>
      <c r="M285" s="88" t="str">
        <f t="shared" si="5"/>
        <v>Perubahan Normal</v>
      </c>
    </row>
    <row r="286" ht="18.75" customHeight="1">
      <c r="A286" s="80" t="s">
        <v>414</v>
      </c>
      <c r="B286" s="81" t="str">
        <f t="shared" si="1"/>
        <v>Kota Bandung</v>
      </c>
      <c r="C286" s="81" t="str">
        <f t="array" ref="C286">XLOOKUP(B286,Reference!$A$2:$A$152,Reference!$B$2:$B$152)</f>
        <v>Jawa Barat</v>
      </c>
      <c r="D286" s="82" t="s">
        <v>704</v>
      </c>
      <c r="E286" s="83">
        <v>45352.0</v>
      </c>
      <c r="F286" s="84" t="str">
        <f t="array" ref="F286">XLOOKUP(G286,Reference!$F:$F,Reference!$D:$D,"null")</f>
        <v>Makanan dan Pakaian </v>
      </c>
      <c r="G286" s="85" t="s">
        <v>56</v>
      </c>
      <c r="H286" s="86">
        <v>104.17</v>
      </c>
      <c r="I286" s="86">
        <v>103.85</v>
      </c>
      <c r="J286" s="87">
        <f t="shared" si="2"/>
        <v>0.3081367357</v>
      </c>
      <c r="K286" s="84" t="str">
        <f t="shared" si="3"/>
        <v>Inflasi Normal</v>
      </c>
      <c r="L286" s="84">
        <f t="shared" si="4"/>
        <v>0.32</v>
      </c>
      <c r="M286" s="88" t="str">
        <f t="shared" si="5"/>
        <v>Perubahan Normal</v>
      </c>
    </row>
    <row r="287" ht="18.75" customHeight="1">
      <c r="A287" s="80" t="s">
        <v>404</v>
      </c>
      <c r="B287" s="81" t="str">
        <f t="shared" si="1"/>
        <v>Kab Mesuji</v>
      </c>
      <c r="C287" s="81" t="str">
        <f t="array" ref="C287">XLOOKUP(B287,Reference!$A$2:$A$152,Reference!$B$2:$B$152)</f>
        <v>Lampung</v>
      </c>
      <c r="D287" s="82" t="s">
        <v>705</v>
      </c>
      <c r="E287" s="83">
        <v>45323.0</v>
      </c>
      <c r="F287" s="84" t="str">
        <f t="array" ref="F287">XLOOKUP(G287,Reference!$F:$F,Reference!$D:$D,"null")</f>
        <v>Pendidikan dan Kesehatan</v>
      </c>
      <c r="G287" s="85" t="s">
        <v>95</v>
      </c>
      <c r="H287" s="86">
        <v>100.64</v>
      </c>
      <c r="I287" s="86">
        <v>100.64</v>
      </c>
      <c r="J287" s="87">
        <f t="shared" si="2"/>
        <v>0</v>
      </c>
      <c r="K287" s="84" t="str">
        <f t="shared" si="3"/>
        <v>Stabil</v>
      </c>
      <c r="L287" s="84">
        <f t="shared" si="4"/>
        <v>0</v>
      </c>
      <c r="M287" s="88" t="str">
        <f t="shared" si="5"/>
        <v>Perubahan Normal</v>
      </c>
    </row>
    <row r="288" ht="18.75" customHeight="1">
      <c r="A288" s="80" t="s">
        <v>706</v>
      </c>
      <c r="B288" s="81" t="str">
        <f t="shared" si="1"/>
        <v>Kota Makassar</v>
      </c>
      <c r="C288" s="81" t="str">
        <f t="array" ref="C288">XLOOKUP(B288,Reference!$A$2:$A$152,Reference!$B$2:$B$152)</f>
        <v>Sulawesi Selatan</v>
      </c>
      <c r="D288" s="82" t="s">
        <v>707</v>
      </c>
      <c r="E288" s="83">
        <v>45323.0</v>
      </c>
      <c r="F288" s="84" t="str">
        <f t="array" ref="F288">XLOOKUP(G288,Reference!$F:$F,Reference!$D:$D,"null")</f>
        <v>Rumah Tangga</v>
      </c>
      <c r="G288" s="89" t="s">
        <v>89</v>
      </c>
      <c r="H288" s="90">
        <v>102.36</v>
      </c>
      <c r="I288" s="90">
        <v>102.36</v>
      </c>
      <c r="J288" s="87">
        <f t="shared" si="2"/>
        <v>0</v>
      </c>
      <c r="K288" s="84" t="str">
        <f t="shared" si="3"/>
        <v>Stabil</v>
      </c>
      <c r="L288" s="91">
        <f t="shared" si="4"/>
        <v>0</v>
      </c>
      <c r="M288" s="88" t="str">
        <f t="shared" si="5"/>
        <v>Perubahan Normal</v>
      </c>
    </row>
    <row r="289" ht="18.75" customHeight="1">
      <c r="A289" s="80" t="s">
        <v>370</v>
      </c>
      <c r="B289" s="81" t="str">
        <f t="shared" si="1"/>
        <v>Jember</v>
      </c>
      <c r="C289" s="81" t="str">
        <f t="array" ref="C289">XLOOKUP(B289,Reference!$A$2:$A$152,Reference!$B$2:$B$152)</f>
        <v>Jawa Timur</v>
      </c>
      <c r="D289" s="82" t="s">
        <v>708</v>
      </c>
      <c r="E289" s="83">
        <v>45352.0</v>
      </c>
      <c r="F289" s="84" t="str">
        <f t="array" ref="F289">XLOOKUP(G289,Reference!$F:$F,Reference!$D:$D,"null")</f>
        <v>Rekreasi dan Kendaraan</v>
      </c>
      <c r="G289" s="85" t="s">
        <v>102</v>
      </c>
      <c r="H289" s="86">
        <v>100.94</v>
      </c>
      <c r="I289" s="86">
        <v>100.96</v>
      </c>
      <c r="J289" s="87">
        <f t="shared" si="2"/>
        <v>-0.01980982567</v>
      </c>
      <c r="K289" s="84" t="str">
        <f t="shared" si="3"/>
        <v>Deflasi</v>
      </c>
      <c r="L289" s="84">
        <f t="shared" si="4"/>
        <v>-0.02</v>
      </c>
      <c r="M289" s="88" t="str">
        <f t="shared" si="5"/>
        <v>Perubahan Normal</v>
      </c>
    </row>
    <row r="290" ht="18.75" customHeight="1">
      <c r="A290" s="80" t="s">
        <v>442</v>
      </c>
      <c r="B290" s="81" t="str">
        <f t="shared" si="1"/>
        <v>Kota Cirebon</v>
      </c>
      <c r="C290" s="81" t="str">
        <f t="array" ref="C290">XLOOKUP(B290,Reference!$A$2:$A$152,Reference!$B$2:$B$152)</f>
        <v>Jawa Barat</v>
      </c>
      <c r="D290" s="82" t="s">
        <v>709</v>
      </c>
      <c r="E290" s="83">
        <v>45352.0</v>
      </c>
      <c r="F290" s="84" t="str">
        <f t="array" ref="F290">XLOOKUP(G290,Reference!$F:$F,Reference!$D:$D,"null")</f>
        <v>Rumah Tangga</v>
      </c>
      <c r="G290" s="85" t="s">
        <v>89</v>
      </c>
      <c r="H290" s="86">
        <v>98.42</v>
      </c>
      <c r="I290" s="86">
        <v>98.42</v>
      </c>
      <c r="J290" s="87">
        <f t="shared" si="2"/>
        <v>0</v>
      </c>
      <c r="K290" s="84" t="str">
        <f t="shared" si="3"/>
        <v>Stabil</v>
      </c>
      <c r="L290" s="84">
        <f t="shared" si="4"/>
        <v>0</v>
      </c>
      <c r="M290" s="88" t="str">
        <f t="shared" si="5"/>
        <v>Perubahan Normal</v>
      </c>
    </row>
    <row r="291" ht="18.75" customHeight="1">
      <c r="A291" s="80" t="s">
        <v>592</v>
      </c>
      <c r="B291" s="81" t="str">
        <f t="shared" si="1"/>
        <v>Kab Lampung Timur</v>
      </c>
      <c r="C291" s="81" t="str">
        <f t="array" ref="C291">XLOOKUP(B291,Reference!$A$2:$A$152,Reference!$B$2:$B$152)</f>
        <v>Lampung</v>
      </c>
      <c r="D291" s="82" t="s">
        <v>710</v>
      </c>
      <c r="E291" s="83">
        <v>45323.0</v>
      </c>
      <c r="F291" s="84" t="str">
        <f t="array" ref="F291">XLOOKUP(G291,Reference!$F:$F,Reference!$D:$D,"null")</f>
        <v>Rekreasi dan Kendaraan</v>
      </c>
      <c r="G291" s="85" t="s">
        <v>102</v>
      </c>
      <c r="H291" s="86">
        <v>104.82</v>
      </c>
      <c r="I291" s="86">
        <v>104.82</v>
      </c>
      <c r="J291" s="87">
        <f t="shared" si="2"/>
        <v>0</v>
      </c>
      <c r="K291" s="84" t="str">
        <f t="shared" si="3"/>
        <v>Stabil</v>
      </c>
      <c r="L291" s="84">
        <f t="shared" si="4"/>
        <v>0</v>
      </c>
      <c r="M291" s="88" t="str">
        <f t="shared" si="5"/>
        <v>Perubahan Normal</v>
      </c>
    </row>
    <row r="292" ht="18.75" customHeight="1">
      <c r="A292" s="80" t="s">
        <v>512</v>
      </c>
      <c r="B292" s="81" t="str">
        <f t="shared" si="1"/>
        <v>Kota Palu</v>
      </c>
      <c r="C292" s="81" t="str">
        <f t="array" ref="C292">XLOOKUP(B292,Reference!$A$2:$A$152,Reference!$B$2:$B$152)</f>
        <v>Sulawesi Tengah</v>
      </c>
      <c r="D292" s="82" t="s">
        <v>711</v>
      </c>
      <c r="E292" s="83">
        <v>45323.0</v>
      </c>
      <c r="F292" s="84" t="str">
        <f t="array" ref="F292">XLOOKUP(G292,Reference!$F:$F,Reference!$D:$D,"null")</f>
        <v>Rekreasi dan Kendaraan</v>
      </c>
      <c r="G292" s="85" t="s">
        <v>102</v>
      </c>
      <c r="H292" s="86">
        <v>103.85</v>
      </c>
      <c r="I292" s="86">
        <v>103.87</v>
      </c>
      <c r="J292" s="87">
        <f t="shared" si="2"/>
        <v>-0.01925483778</v>
      </c>
      <c r="K292" s="84" t="str">
        <f t="shared" si="3"/>
        <v>Deflasi</v>
      </c>
      <c r="L292" s="84">
        <f t="shared" si="4"/>
        <v>-0.02</v>
      </c>
      <c r="M292" s="88" t="str">
        <f t="shared" si="5"/>
        <v>Perubahan Normal</v>
      </c>
    </row>
    <row r="293" ht="18.75" customHeight="1">
      <c r="A293" s="80" t="s">
        <v>592</v>
      </c>
      <c r="B293" s="81" t="str">
        <f t="shared" si="1"/>
        <v>Kab Lampung Timur</v>
      </c>
      <c r="C293" s="81" t="str">
        <f t="array" ref="C293">XLOOKUP(B293,Reference!$A$2:$A$152,Reference!$B$2:$B$152)</f>
        <v>Lampung</v>
      </c>
      <c r="D293" s="82" t="s">
        <v>712</v>
      </c>
      <c r="E293" s="83">
        <v>45352.0</v>
      </c>
      <c r="F293" s="84" t="str">
        <f t="array" ref="F293">XLOOKUP(G293,Reference!$F:$F,Reference!$D:$D,"null")</f>
        <v>Makanan dan Pakaian </v>
      </c>
      <c r="G293" s="85" t="s">
        <v>56</v>
      </c>
      <c r="H293" s="86">
        <v>115.54</v>
      </c>
      <c r="I293" s="86">
        <v>108.97</v>
      </c>
      <c r="J293" s="87">
        <f t="shared" si="2"/>
        <v>6.029182344</v>
      </c>
      <c r="K293" s="84" t="str">
        <f t="shared" si="3"/>
        <v>Inflasi Tinggi</v>
      </c>
      <c r="L293" s="84">
        <f t="shared" si="4"/>
        <v>6.57</v>
      </c>
      <c r="M293" s="88" t="str">
        <f t="shared" si="5"/>
        <v>Akselerasi Kuat</v>
      </c>
    </row>
    <row r="294" ht="18.75" customHeight="1">
      <c r="A294" s="80" t="s">
        <v>304</v>
      </c>
      <c r="B294" s="81" t="str">
        <f t="shared" si="1"/>
        <v>Kota Kediri</v>
      </c>
      <c r="C294" s="81" t="str">
        <f t="array" ref="C294">XLOOKUP(B294,Reference!$A$2:$A$152,Reference!$B$2:$B$152)</f>
        <v>Jawa Timur</v>
      </c>
      <c r="D294" s="82" t="s">
        <v>713</v>
      </c>
      <c r="E294" s="83">
        <v>45352.0</v>
      </c>
      <c r="F294" s="84" t="str">
        <f t="array" ref="F294">XLOOKUP(G294,Reference!$F:$F,Reference!$D:$D,"null")</f>
        <v>Pendidikan dan Kesehatan</v>
      </c>
      <c r="G294" s="85" t="s">
        <v>95</v>
      </c>
      <c r="H294" s="86">
        <v>103.23</v>
      </c>
      <c r="I294" s="86">
        <v>103.23</v>
      </c>
      <c r="J294" s="87">
        <f t="shared" si="2"/>
        <v>0</v>
      </c>
      <c r="K294" s="84" t="str">
        <f t="shared" si="3"/>
        <v>Stabil</v>
      </c>
      <c r="L294" s="84">
        <f t="shared" si="4"/>
        <v>0</v>
      </c>
      <c r="M294" s="88" t="str">
        <f t="shared" si="5"/>
        <v>Perubahan Normal</v>
      </c>
    </row>
    <row r="295" ht="18.75" customHeight="1">
      <c r="A295" s="80" t="s">
        <v>471</v>
      </c>
      <c r="B295" s="81" t="str">
        <f t="shared" si="1"/>
        <v>Kab Gunungkidul</v>
      </c>
      <c r="C295" s="81" t="str">
        <f t="array" ref="C295">XLOOKUP(B295,Reference!$A$2:$A$152,Reference!$B$2:$B$152)</f>
        <v>D.I. Yogyakarta</v>
      </c>
      <c r="D295" s="82" t="s">
        <v>714</v>
      </c>
      <c r="E295" s="83">
        <v>45352.0</v>
      </c>
      <c r="F295" s="84" t="str">
        <f t="array" ref="F295">XLOOKUP(G295,Reference!$F:$F,Reference!$D:$D,"null")</f>
        <v>Pendidikan dan Kesehatan</v>
      </c>
      <c r="G295" s="85" t="s">
        <v>98</v>
      </c>
      <c r="H295" s="86">
        <v>102.5</v>
      </c>
      <c r="I295" s="86">
        <v>102.43</v>
      </c>
      <c r="J295" s="87">
        <f t="shared" si="2"/>
        <v>0.0683393537</v>
      </c>
      <c r="K295" s="84" t="str">
        <f t="shared" si="3"/>
        <v>Inflasi Normal</v>
      </c>
      <c r="L295" s="84">
        <f t="shared" si="4"/>
        <v>0.07</v>
      </c>
      <c r="M295" s="88" t="str">
        <f t="shared" si="5"/>
        <v>Perubahan Normal</v>
      </c>
    </row>
    <row r="296" ht="18.75" customHeight="1">
      <c r="A296" s="80" t="s">
        <v>715</v>
      </c>
      <c r="B296" s="81" t="str">
        <f t="shared" si="1"/>
        <v>Kab Bojonegoro</v>
      </c>
      <c r="C296" s="81" t="str">
        <f t="array" ref="C296">XLOOKUP(B296,Reference!$A$2:$A$152,Reference!$B$2:$B$152)</f>
        <v>Jawa Timur</v>
      </c>
      <c r="D296" s="82" t="s">
        <v>716</v>
      </c>
      <c r="E296" s="83">
        <v>45323.0</v>
      </c>
      <c r="F296" s="84" t="str">
        <f t="array" ref="F296">XLOOKUP(G296,Reference!$F:$F,Reference!$D:$D,"null")</f>
        <v>Rekreasi dan Kendaraan</v>
      </c>
      <c r="G296" s="85" t="s">
        <v>105</v>
      </c>
      <c r="H296" s="86">
        <v>101.76</v>
      </c>
      <c r="I296" s="86">
        <v>102.16</v>
      </c>
      <c r="J296" s="87">
        <f t="shared" si="2"/>
        <v>-0.3915426782</v>
      </c>
      <c r="K296" s="84" t="str">
        <f t="shared" si="3"/>
        <v>Deflasi</v>
      </c>
      <c r="L296" s="84">
        <f t="shared" si="4"/>
        <v>-0.4</v>
      </c>
      <c r="M296" s="88" t="str">
        <f t="shared" si="5"/>
        <v>Perubahan Normal</v>
      </c>
    </row>
    <row r="297" ht="18.75" customHeight="1">
      <c r="A297" s="80" t="s">
        <v>634</v>
      </c>
      <c r="B297" s="81" t="str">
        <f t="shared" si="1"/>
        <v>Kota Depok</v>
      </c>
      <c r="C297" s="81" t="str">
        <f t="array" ref="C297">XLOOKUP(B297,Reference!$A$2:$A$152,Reference!$B$2:$B$152)</f>
        <v>Jawa Barat</v>
      </c>
      <c r="D297" s="82" t="s">
        <v>717</v>
      </c>
      <c r="E297" s="83">
        <v>45352.0</v>
      </c>
      <c r="F297" s="84" t="str">
        <f t="array" ref="F297">XLOOKUP(G297,Reference!$F:$F,Reference!$D:$D,"null")</f>
        <v>Makanan dan Pakaian </v>
      </c>
      <c r="G297" s="85" t="s">
        <v>72</v>
      </c>
      <c r="H297" s="86">
        <v>100.05</v>
      </c>
      <c r="I297" s="86">
        <v>100.05</v>
      </c>
      <c r="J297" s="87">
        <f t="shared" si="2"/>
        <v>0</v>
      </c>
      <c r="K297" s="84" t="str">
        <f t="shared" si="3"/>
        <v>Stabil</v>
      </c>
      <c r="L297" s="84">
        <f t="shared" si="4"/>
        <v>0</v>
      </c>
      <c r="M297" s="88" t="str">
        <f t="shared" si="5"/>
        <v>Perubahan Normal</v>
      </c>
    </row>
    <row r="298" ht="18.75" customHeight="1">
      <c r="A298" s="80" t="s">
        <v>316</v>
      </c>
      <c r="B298" s="81" t="str">
        <f t="shared" si="1"/>
        <v>Singaraja</v>
      </c>
      <c r="C298" s="81" t="str">
        <f t="array" ref="C298">XLOOKUP(B298,Reference!$A$2:$A$152,Reference!$B$2:$B$152)</f>
        <v>Bali</v>
      </c>
      <c r="D298" s="82" t="s">
        <v>718</v>
      </c>
      <c r="E298" s="83">
        <v>45352.0</v>
      </c>
      <c r="F298" s="84" t="str">
        <f t="array" ref="F298">XLOOKUP(G298,Reference!$F:$F,Reference!$D:$D,"null")</f>
        <v>Rekreasi dan Kendaraan</v>
      </c>
      <c r="G298" s="85" t="s">
        <v>102</v>
      </c>
      <c r="H298" s="86">
        <v>108.12</v>
      </c>
      <c r="I298" s="86">
        <v>108.11</v>
      </c>
      <c r="J298" s="87">
        <f t="shared" si="2"/>
        <v>0.009249838128</v>
      </c>
      <c r="K298" s="84" t="str">
        <f t="shared" si="3"/>
        <v>Inflasi Normal</v>
      </c>
      <c r="L298" s="84">
        <f t="shared" si="4"/>
        <v>0.01</v>
      </c>
      <c r="M298" s="88" t="str">
        <f t="shared" si="5"/>
        <v>Perubahan Normal</v>
      </c>
    </row>
    <row r="299" ht="18.75" customHeight="1">
      <c r="A299" s="80" t="s">
        <v>438</v>
      </c>
      <c r="B299" s="81" t="str">
        <f t="shared" si="1"/>
        <v>Kab Muara Enim</v>
      </c>
      <c r="C299" s="81" t="str">
        <f t="array" ref="C299">XLOOKUP(B299,Reference!$A$2:$A$152,Reference!$B$2:$B$152)</f>
        <v>Sumatera Selatan</v>
      </c>
      <c r="D299" s="82" t="s">
        <v>719</v>
      </c>
      <c r="E299" s="83">
        <v>45352.0</v>
      </c>
      <c r="F299" s="84" t="str">
        <f t="array" ref="F299">XLOOKUP(G299,Reference!$F:$F,Reference!$D:$D,"null")</f>
        <v>Makanan dan Pakaian </v>
      </c>
      <c r="G299" s="89" t="s">
        <v>72</v>
      </c>
      <c r="H299" s="90">
        <v>103.33</v>
      </c>
      <c r="I299" s="90">
        <v>103.33</v>
      </c>
      <c r="J299" s="87">
        <f t="shared" si="2"/>
        <v>0</v>
      </c>
      <c r="K299" s="84" t="str">
        <f t="shared" si="3"/>
        <v>Stabil</v>
      </c>
      <c r="L299" s="91">
        <f t="shared" si="4"/>
        <v>0</v>
      </c>
      <c r="M299" s="88" t="str">
        <f t="shared" si="5"/>
        <v>Perubahan Normal</v>
      </c>
    </row>
    <row r="300" ht="18.75" customHeight="1">
      <c r="A300" s="80" t="s">
        <v>393</v>
      </c>
      <c r="B300" s="81" t="str">
        <f t="shared" si="1"/>
        <v>Kab Sumbawa</v>
      </c>
      <c r="C300" s="81" t="str">
        <f t="array" ref="C300">XLOOKUP(B300,Reference!$A$2:$A$152,Reference!$B$2:$B$152)</f>
        <v>Nusa Tenggara Barat (NTB)</v>
      </c>
      <c r="D300" s="82" t="s">
        <v>720</v>
      </c>
      <c r="E300" s="83">
        <v>45352.0</v>
      </c>
      <c r="F300" s="84" t="str">
        <f t="array" ref="F300">XLOOKUP(G300,Reference!$F:$F,Reference!$D:$D,"null")</f>
        <v>Makanan dan Pakaian </v>
      </c>
      <c r="G300" s="85" t="s">
        <v>72</v>
      </c>
      <c r="H300" s="86">
        <v>100.41</v>
      </c>
      <c r="I300" s="86">
        <v>100.41</v>
      </c>
      <c r="J300" s="87">
        <f t="shared" si="2"/>
        <v>0</v>
      </c>
      <c r="K300" s="84" t="str">
        <f t="shared" si="3"/>
        <v>Stabil</v>
      </c>
      <c r="L300" s="84">
        <f t="shared" si="4"/>
        <v>0</v>
      </c>
      <c r="M300" s="88" t="str">
        <f t="shared" si="5"/>
        <v>Perubahan Normal</v>
      </c>
    </row>
    <row r="301" ht="18.75" customHeight="1">
      <c r="A301" s="80" t="s">
        <v>680</v>
      </c>
      <c r="B301" s="81" t="str">
        <f t="shared" si="1"/>
        <v>Kota Pekanbaru</v>
      </c>
      <c r="C301" s="81" t="str">
        <f t="array" ref="C301">XLOOKUP(B301,Reference!$A$2:$A$152,Reference!$B$2:$B$152)</f>
        <v>Riau</v>
      </c>
      <c r="D301" s="82" t="s">
        <v>721</v>
      </c>
      <c r="E301" s="83">
        <v>45352.0</v>
      </c>
      <c r="F301" s="84" t="str">
        <f t="array" ref="F301">XLOOKUP(G301,Reference!$F:$F,Reference!$D:$D,"null")</f>
        <v>Pendidikan dan Kesehatan</v>
      </c>
      <c r="G301" s="85" t="s">
        <v>98</v>
      </c>
      <c r="H301" s="86">
        <v>102.57</v>
      </c>
      <c r="I301" s="86">
        <v>102.59</v>
      </c>
      <c r="J301" s="87">
        <f t="shared" si="2"/>
        <v>-0.01949507749</v>
      </c>
      <c r="K301" s="84" t="str">
        <f t="shared" si="3"/>
        <v>Deflasi</v>
      </c>
      <c r="L301" s="84">
        <f t="shared" si="4"/>
        <v>-0.02</v>
      </c>
      <c r="M301" s="88" t="str">
        <f t="shared" si="5"/>
        <v>Perubahan Normal</v>
      </c>
    </row>
    <row r="302" ht="18.75" customHeight="1">
      <c r="A302" s="80" t="s">
        <v>337</v>
      </c>
      <c r="B302" s="81" t="str">
        <f t="shared" si="1"/>
        <v>Merauke</v>
      </c>
      <c r="C302" s="81" t="str">
        <f t="array" ref="C302">XLOOKUP(B302,Reference!$A$2:$A$152,Reference!$B$2:$B$152)</f>
        <v>Papua</v>
      </c>
      <c r="D302" s="82" t="s">
        <v>722</v>
      </c>
      <c r="E302" s="83">
        <v>45323.0</v>
      </c>
      <c r="F302" s="84" t="str">
        <f t="array" ref="F302">XLOOKUP(G302,Reference!$F:$F,Reference!$D:$D,"null")</f>
        <v>Rumah Tangga</v>
      </c>
      <c r="G302" s="85" t="s">
        <v>89</v>
      </c>
      <c r="H302" s="86">
        <v>108.57</v>
      </c>
      <c r="I302" s="86">
        <v>108.57</v>
      </c>
      <c r="J302" s="87">
        <f t="shared" si="2"/>
        <v>0</v>
      </c>
      <c r="K302" s="84" t="str">
        <f t="shared" si="3"/>
        <v>Stabil</v>
      </c>
      <c r="L302" s="84">
        <f t="shared" si="4"/>
        <v>0</v>
      </c>
      <c r="M302" s="88" t="str">
        <f t="shared" si="5"/>
        <v>Perubahan Normal</v>
      </c>
    </row>
    <row r="303" ht="18.75" customHeight="1">
      <c r="A303" s="80" t="s">
        <v>401</v>
      </c>
      <c r="B303" s="81" t="str">
        <f t="shared" si="1"/>
        <v>Kota Tual</v>
      </c>
      <c r="C303" s="81" t="str">
        <f t="array" ref="C303">XLOOKUP(B303,Reference!$A$2:$A$152,Reference!$B$2:$B$152)</f>
        <v>Maluku</v>
      </c>
      <c r="D303" s="82" t="s">
        <v>723</v>
      </c>
      <c r="E303" s="83">
        <v>45323.0</v>
      </c>
      <c r="F303" s="84" t="str">
        <f t="array" ref="F303">XLOOKUP(G303,Reference!$F:$F,Reference!$D:$D,"null")</f>
        <v>Rumah Tangga</v>
      </c>
      <c r="G303" s="89" t="s">
        <v>84</v>
      </c>
      <c r="H303" s="90">
        <v>104.42</v>
      </c>
      <c r="I303" s="90">
        <v>106.7</v>
      </c>
      <c r="J303" s="87">
        <f t="shared" si="2"/>
        <v>-2.13683224</v>
      </c>
      <c r="K303" s="84" t="str">
        <f t="shared" si="3"/>
        <v>Deflasi</v>
      </c>
      <c r="L303" s="91">
        <f t="shared" si="4"/>
        <v>-2.28</v>
      </c>
      <c r="M303" s="88" t="str">
        <f t="shared" si="5"/>
        <v>Perubahan Normal</v>
      </c>
    </row>
    <row r="304" ht="18.75" customHeight="1">
      <c r="A304" s="80" t="s">
        <v>594</v>
      </c>
      <c r="B304" s="81" t="str">
        <f t="shared" si="1"/>
        <v>Kota Kendari</v>
      </c>
      <c r="C304" s="81" t="str">
        <f t="array" ref="C304">XLOOKUP(B304,Reference!$A$2:$A$152,Reference!$B$2:$B$152)</f>
        <v>Sulawesi Tenggara</v>
      </c>
      <c r="D304" s="82" t="s">
        <v>724</v>
      </c>
      <c r="E304" s="83">
        <v>45352.0</v>
      </c>
      <c r="F304" s="84" t="str">
        <f t="array" ref="F304">XLOOKUP(G304,Reference!$F:$F,Reference!$D:$D,"null")</f>
        <v>Rekreasi dan Kendaraan</v>
      </c>
      <c r="G304" s="85" t="s">
        <v>105</v>
      </c>
      <c r="H304" s="86">
        <v>107.19</v>
      </c>
      <c r="I304" s="86">
        <v>106.73</v>
      </c>
      <c r="J304" s="87">
        <f t="shared" si="2"/>
        <v>0.4309940973</v>
      </c>
      <c r="K304" s="84" t="str">
        <f t="shared" si="3"/>
        <v>Inflasi Normal</v>
      </c>
      <c r="L304" s="84">
        <f t="shared" si="4"/>
        <v>0.46</v>
      </c>
      <c r="M304" s="88" t="str">
        <f t="shared" si="5"/>
        <v>Perubahan Normal</v>
      </c>
    </row>
    <row r="305" ht="18.75" customHeight="1">
      <c r="A305" s="80" t="s">
        <v>495</v>
      </c>
      <c r="B305" s="81" t="str">
        <f t="shared" si="1"/>
        <v>Kota Medan</v>
      </c>
      <c r="C305" s="81" t="str">
        <f t="array" ref="C305">XLOOKUP(B305,Reference!$A$2:$A$152,Reference!$B$2:$B$152)</f>
        <v>Sumatera Utara</v>
      </c>
      <c r="D305" s="82" t="s">
        <v>725</v>
      </c>
      <c r="E305" s="83">
        <v>45352.0</v>
      </c>
      <c r="F305" s="84" t="str">
        <f t="array" ref="F305">XLOOKUP(G305,Reference!$F:$F,Reference!$D:$D,"null")</f>
        <v>Makanan dan Pakaian </v>
      </c>
      <c r="G305" s="89" t="s">
        <v>48</v>
      </c>
      <c r="H305" s="90">
        <v>111.77</v>
      </c>
      <c r="I305" s="90">
        <v>109.26</v>
      </c>
      <c r="J305" s="87">
        <f t="shared" si="2"/>
        <v>2.297272561</v>
      </c>
      <c r="K305" s="84" t="str">
        <f t="shared" si="3"/>
        <v>Inflasi Tinggi</v>
      </c>
      <c r="L305" s="91">
        <f t="shared" si="4"/>
        <v>2.51</v>
      </c>
      <c r="M305" s="88" t="str">
        <f t="shared" si="5"/>
        <v>Akselerasi Kuat</v>
      </c>
    </row>
    <row r="306" ht="18.75" customHeight="1">
      <c r="A306" s="80" t="s">
        <v>532</v>
      </c>
      <c r="B306" s="81" t="str">
        <f t="shared" si="1"/>
        <v>Kota Palembang</v>
      </c>
      <c r="C306" s="81" t="str">
        <f t="array" ref="C306">XLOOKUP(B306,Reference!$A$2:$A$152,Reference!$B$2:$B$152)</f>
        <v>Sumatera Selatan</v>
      </c>
      <c r="D306" s="82" t="s">
        <v>726</v>
      </c>
      <c r="E306" s="83">
        <v>45323.0</v>
      </c>
      <c r="F306" s="84" t="str">
        <f t="array" ref="F306">XLOOKUP(G306,Reference!$F:$F,Reference!$D:$D,"null")</f>
        <v>Rumah Tangga</v>
      </c>
      <c r="G306" s="85" t="s">
        <v>84</v>
      </c>
      <c r="H306" s="86">
        <v>99.74</v>
      </c>
      <c r="I306" s="86">
        <v>99.77</v>
      </c>
      <c r="J306" s="87">
        <f t="shared" si="2"/>
        <v>-0.03006915907</v>
      </c>
      <c r="K306" s="84" t="str">
        <f t="shared" si="3"/>
        <v>Deflasi</v>
      </c>
      <c r="L306" s="84">
        <f t="shared" si="4"/>
        <v>-0.03</v>
      </c>
      <c r="M306" s="88" t="str">
        <f t="shared" si="5"/>
        <v>Perubahan Normal</v>
      </c>
    </row>
    <row r="307" ht="18.75" customHeight="1">
      <c r="A307" s="80" t="s">
        <v>727</v>
      </c>
      <c r="B307" s="81" t="str">
        <f t="shared" si="1"/>
        <v>Kab Badung</v>
      </c>
      <c r="C307" s="81" t="str">
        <f t="array" ref="C307">XLOOKUP(B307,Reference!$A$2:$A$152,Reference!$B$2:$B$152)</f>
        <v>Bali</v>
      </c>
      <c r="D307" s="82" t="s">
        <v>728</v>
      </c>
      <c r="E307" s="83">
        <v>45323.0</v>
      </c>
      <c r="F307" s="84" t="str">
        <f t="array" ref="F307">XLOOKUP(G307,Reference!$F:$F,Reference!$D:$D,"null")</f>
        <v>Pendidikan dan Kesehatan</v>
      </c>
      <c r="G307" s="85" t="s">
        <v>95</v>
      </c>
      <c r="H307" s="86">
        <v>100.8</v>
      </c>
      <c r="I307" s="86">
        <v>100.8</v>
      </c>
      <c r="J307" s="87">
        <f t="shared" si="2"/>
        <v>0</v>
      </c>
      <c r="K307" s="84" t="str">
        <f t="shared" si="3"/>
        <v>Stabil</v>
      </c>
      <c r="L307" s="84">
        <f t="shared" si="4"/>
        <v>0</v>
      </c>
      <c r="M307" s="88" t="str">
        <f t="shared" si="5"/>
        <v>Perubahan Normal</v>
      </c>
    </row>
    <row r="308" ht="18.75" customHeight="1">
      <c r="A308" s="80" t="s">
        <v>326</v>
      </c>
      <c r="B308" s="81" t="str">
        <f t="shared" si="1"/>
        <v>Luwuk</v>
      </c>
      <c r="C308" s="81" t="str">
        <f t="array" ref="C308">XLOOKUP(B308,Reference!$A$2:$A$152,Reference!$B$2:$B$152)</f>
        <v>Sulawesi Tengah</v>
      </c>
      <c r="D308" s="82" t="s">
        <v>729</v>
      </c>
      <c r="E308" s="83">
        <v>45323.0</v>
      </c>
      <c r="F308" s="84" t="str">
        <f t="array" ref="F308">XLOOKUP(G308,Reference!$F:$F,Reference!$D:$D,"null")</f>
        <v>Makanan dan Pakaian </v>
      </c>
      <c r="G308" s="85" t="s">
        <v>72</v>
      </c>
      <c r="H308" s="86">
        <v>94.84</v>
      </c>
      <c r="I308" s="86">
        <v>94.52</v>
      </c>
      <c r="J308" s="87">
        <f t="shared" si="2"/>
        <v>0.3385526873</v>
      </c>
      <c r="K308" s="84" t="str">
        <f t="shared" si="3"/>
        <v>Inflasi Normal</v>
      </c>
      <c r="L308" s="84">
        <f t="shared" si="4"/>
        <v>0.32</v>
      </c>
      <c r="M308" s="88" t="str">
        <f t="shared" si="5"/>
        <v>Perubahan Normal</v>
      </c>
    </row>
    <row r="309" ht="18.75" customHeight="1">
      <c r="A309" s="80" t="s">
        <v>450</v>
      </c>
      <c r="B309" s="81" t="str">
        <f t="shared" si="1"/>
        <v>Waingapu</v>
      </c>
      <c r="C309" s="81" t="str">
        <f t="array" ref="C309">XLOOKUP(B309,Reference!$A$2:$A$152,Reference!$B$2:$B$152)</f>
        <v>Nusa Tenggara Timur (NTT)</v>
      </c>
      <c r="D309" s="82" t="s">
        <v>730</v>
      </c>
      <c r="E309" s="83">
        <v>45323.0</v>
      </c>
      <c r="F309" s="84" t="str">
        <f t="array" ref="F309">XLOOKUP(G309,Reference!$F:$F,Reference!$D:$D,"null")</f>
        <v>Pendidikan dan Kesehatan</v>
      </c>
      <c r="G309" s="85" t="s">
        <v>95</v>
      </c>
      <c r="H309" s="86">
        <v>100.12</v>
      </c>
      <c r="I309" s="86">
        <v>100.12</v>
      </c>
      <c r="J309" s="87">
        <f t="shared" si="2"/>
        <v>0</v>
      </c>
      <c r="K309" s="84" t="str">
        <f t="shared" si="3"/>
        <v>Stabil</v>
      </c>
      <c r="L309" s="84">
        <f t="shared" si="4"/>
        <v>0</v>
      </c>
      <c r="M309" s="88" t="str">
        <f t="shared" si="5"/>
        <v>Perubahan Normal</v>
      </c>
    </row>
    <row r="310" ht="18.75" customHeight="1">
      <c r="A310" s="80" t="s">
        <v>731</v>
      </c>
      <c r="B310" s="81" t="str">
        <f t="shared" si="1"/>
        <v>Kab Hulu Sungai Tengah</v>
      </c>
      <c r="C310" s="81" t="str">
        <f t="array" ref="C310">XLOOKUP(B310,Reference!$A$2:$A$152,Reference!$B$2:$B$152)</f>
        <v>Kalimantan Selatan</v>
      </c>
      <c r="D310" s="82" t="s">
        <v>732</v>
      </c>
      <c r="E310" s="83">
        <v>45323.0</v>
      </c>
      <c r="F310" s="84" t="str">
        <f t="array" ref="F310">XLOOKUP(G310,Reference!$F:$F,Reference!$D:$D,"null")</f>
        <v>Makanan dan Pakaian </v>
      </c>
      <c r="G310" s="85" t="s">
        <v>72</v>
      </c>
      <c r="H310" s="86">
        <v>102.43</v>
      </c>
      <c r="I310" s="86">
        <v>104.61</v>
      </c>
      <c r="J310" s="87">
        <f t="shared" si="2"/>
        <v>-2.083930791</v>
      </c>
      <c r="K310" s="84" t="str">
        <f t="shared" si="3"/>
        <v>Deflasi</v>
      </c>
      <c r="L310" s="84">
        <f t="shared" si="4"/>
        <v>-2.18</v>
      </c>
      <c r="M310" s="88" t="str">
        <f t="shared" si="5"/>
        <v>Perubahan Normal</v>
      </c>
    </row>
    <row r="311" ht="18.75" customHeight="1">
      <c r="A311" s="80" t="s">
        <v>419</v>
      </c>
      <c r="B311" s="81" t="str">
        <f t="shared" si="1"/>
        <v>Kota Singkawang</v>
      </c>
      <c r="C311" s="81" t="str">
        <f t="array" ref="C311">XLOOKUP(B311,Reference!$A$2:$A$152,Reference!$B$2:$B$152)</f>
        <v>Kalimantan Barat</v>
      </c>
      <c r="D311" s="82" t="s">
        <v>733</v>
      </c>
      <c r="E311" s="83">
        <v>45352.0</v>
      </c>
      <c r="F311" s="84" t="str">
        <f t="array" ref="F311">XLOOKUP(G311,Reference!$F:$F,Reference!$D:$D,"null")</f>
        <v>Rumah Tangga</v>
      </c>
      <c r="G311" s="85" t="s">
        <v>80</v>
      </c>
      <c r="H311" s="86">
        <v>101.73</v>
      </c>
      <c r="I311" s="86">
        <v>101.73</v>
      </c>
      <c r="J311" s="87">
        <f t="shared" si="2"/>
        <v>0</v>
      </c>
      <c r="K311" s="84" t="str">
        <f t="shared" si="3"/>
        <v>Stabil</v>
      </c>
      <c r="L311" s="84">
        <f t="shared" si="4"/>
        <v>0</v>
      </c>
      <c r="M311" s="88" t="str">
        <f t="shared" si="5"/>
        <v>Perubahan Normal</v>
      </c>
    </row>
    <row r="312" ht="18.75" customHeight="1">
      <c r="A312" s="80" t="s">
        <v>734</v>
      </c>
      <c r="B312" s="81" t="str">
        <f t="shared" si="1"/>
        <v>Kota Tegal</v>
      </c>
      <c r="C312" s="81" t="str">
        <f t="array" ref="C312">XLOOKUP(B312,Reference!$A$2:$A$152,Reference!$B$2:$B$152)</f>
        <v>Jawa Tengah</v>
      </c>
      <c r="D312" s="82" t="s">
        <v>735</v>
      </c>
      <c r="E312" s="83">
        <v>45323.0</v>
      </c>
      <c r="F312" s="84" t="str">
        <f t="array" ref="F312">XLOOKUP(G312,Reference!$F:$F,Reference!$D:$D,"null")</f>
        <v>Makanan dan Pakaian </v>
      </c>
      <c r="G312" s="85" t="s">
        <v>64</v>
      </c>
      <c r="H312" s="86">
        <v>102.14</v>
      </c>
      <c r="I312" s="86">
        <v>102.07</v>
      </c>
      <c r="J312" s="87">
        <f t="shared" si="2"/>
        <v>0.06858038601</v>
      </c>
      <c r="K312" s="84" t="str">
        <f t="shared" si="3"/>
        <v>Inflasi Normal</v>
      </c>
      <c r="L312" s="84">
        <f t="shared" si="4"/>
        <v>0.07</v>
      </c>
      <c r="M312" s="88" t="str">
        <f t="shared" si="5"/>
        <v>Perubahan Normal</v>
      </c>
    </row>
    <row r="313" ht="18.75" customHeight="1">
      <c r="A313" s="80" t="s">
        <v>558</v>
      </c>
      <c r="B313" s="81" t="str">
        <f t="shared" si="1"/>
        <v>Kab Kapuas</v>
      </c>
      <c r="C313" s="81" t="str">
        <f t="array" ref="C313">XLOOKUP(B313,Reference!$A$2:$A$152,Reference!$B$2:$B$152)</f>
        <v>Kalimantan Tengah</v>
      </c>
      <c r="D313" s="82" t="s">
        <v>736</v>
      </c>
      <c r="E313" s="83">
        <v>45323.0</v>
      </c>
      <c r="F313" s="84" t="str">
        <f t="array" ref="F313">XLOOKUP(G313,Reference!$F:$F,Reference!$D:$D,"null")</f>
        <v>Makanan dan Pakaian </v>
      </c>
      <c r="G313" s="89" t="s">
        <v>72</v>
      </c>
      <c r="H313" s="90">
        <v>104.93</v>
      </c>
      <c r="I313" s="90">
        <v>104.93</v>
      </c>
      <c r="J313" s="87">
        <f t="shared" si="2"/>
        <v>0</v>
      </c>
      <c r="K313" s="84" t="str">
        <f t="shared" si="3"/>
        <v>Stabil</v>
      </c>
      <c r="L313" s="91">
        <f t="shared" si="4"/>
        <v>0</v>
      </c>
      <c r="M313" s="88" t="str">
        <f t="shared" si="5"/>
        <v>Perubahan Normal</v>
      </c>
    </row>
    <row r="314" ht="18.75" customHeight="1">
      <c r="A314" s="80" t="s">
        <v>594</v>
      </c>
      <c r="B314" s="81" t="str">
        <f t="shared" si="1"/>
        <v>Kota Kendari</v>
      </c>
      <c r="C314" s="81" t="str">
        <f t="array" ref="C314">XLOOKUP(B314,Reference!$A$2:$A$152,Reference!$B$2:$B$152)</f>
        <v>Sulawesi Tenggara</v>
      </c>
      <c r="D314" s="82" t="s">
        <v>737</v>
      </c>
      <c r="E314" s="83">
        <v>45352.0</v>
      </c>
      <c r="F314" s="84" t="str">
        <f t="array" ref="F314">XLOOKUP(G314,Reference!$F:$F,Reference!$D:$D,"null")</f>
        <v>Makanan dan Pakaian </v>
      </c>
      <c r="G314" s="85" t="s">
        <v>72</v>
      </c>
      <c r="H314" s="86">
        <v>94.8</v>
      </c>
      <c r="I314" s="86">
        <v>101.46</v>
      </c>
      <c r="J314" s="87">
        <f t="shared" si="2"/>
        <v>-6.564163217</v>
      </c>
      <c r="K314" s="84" t="str">
        <f t="shared" si="3"/>
        <v>Deflasi</v>
      </c>
      <c r="L314" s="84">
        <f t="shared" si="4"/>
        <v>-6.66</v>
      </c>
      <c r="M314" s="88" t="str">
        <f t="shared" si="5"/>
        <v>Perubahan Normal</v>
      </c>
    </row>
    <row r="315" ht="18.75" customHeight="1">
      <c r="A315" s="80" t="s">
        <v>310</v>
      </c>
      <c r="B315" s="81" t="str">
        <f t="shared" si="1"/>
        <v>Kab Kampar</v>
      </c>
      <c r="C315" s="81" t="str">
        <f t="array" ref="C315">XLOOKUP(B315,Reference!$A$2:$A$152,Reference!$B$2:$B$152)</f>
        <v>Riau</v>
      </c>
      <c r="D315" s="82" t="s">
        <v>738</v>
      </c>
      <c r="E315" s="83">
        <v>45352.0</v>
      </c>
      <c r="F315" s="84" t="str">
        <f t="array" ref="F315">XLOOKUP(G315,Reference!$F:$F,Reference!$D:$D,"null")</f>
        <v>Rekreasi dan Kendaraan</v>
      </c>
      <c r="G315" s="85" t="s">
        <v>102</v>
      </c>
      <c r="H315" s="86">
        <v>107.15</v>
      </c>
      <c r="I315" s="86">
        <v>106.28</v>
      </c>
      <c r="J315" s="87">
        <f t="shared" si="2"/>
        <v>0.8185923974</v>
      </c>
      <c r="K315" s="84" t="str">
        <f t="shared" si="3"/>
        <v>Inflasi Tinggi</v>
      </c>
      <c r="L315" s="84">
        <f t="shared" si="4"/>
        <v>0.87</v>
      </c>
      <c r="M315" s="88" t="str">
        <f t="shared" si="5"/>
        <v>Akselerasi Persentase</v>
      </c>
    </row>
    <row r="316" ht="18.75" customHeight="1">
      <c r="A316" s="80" t="s">
        <v>529</v>
      </c>
      <c r="B316" s="81" t="str">
        <f t="shared" si="1"/>
        <v>Kota Yogyakarta</v>
      </c>
      <c r="C316" s="81" t="str">
        <f t="array" ref="C316">XLOOKUP(B316,Reference!$A$2:$A$152,Reference!$B$2:$B$152)</f>
        <v>D.I. Yogyakarta</v>
      </c>
      <c r="D316" s="82" t="s">
        <v>739</v>
      </c>
      <c r="E316" s="83">
        <v>45323.0</v>
      </c>
      <c r="F316" s="84" t="str">
        <f t="array" ref="F316">XLOOKUP(G316,Reference!$F:$F,Reference!$D:$D,"null")</f>
        <v>Makanan dan Pakaian </v>
      </c>
      <c r="G316" s="89" t="s">
        <v>64</v>
      </c>
      <c r="H316" s="90">
        <v>102.49</v>
      </c>
      <c r="I316" s="90">
        <v>102.32</v>
      </c>
      <c r="J316" s="87">
        <f t="shared" si="2"/>
        <v>0.1661454261</v>
      </c>
      <c r="K316" s="84" t="str">
        <f t="shared" si="3"/>
        <v>Inflasi Normal</v>
      </c>
      <c r="L316" s="91">
        <f t="shared" si="4"/>
        <v>0.17</v>
      </c>
      <c r="M316" s="88" t="str">
        <f t="shared" si="5"/>
        <v>Perubahan Normal</v>
      </c>
    </row>
    <row r="317" ht="18.75" customHeight="1">
      <c r="A317" s="80" t="s">
        <v>740</v>
      </c>
      <c r="B317" s="81" t="str">
        <f t="shared" si="1"/>
        <v>Kota Gunungsitoli</v>
      </c>
      <c r="C317" s="81" t="str">
        <f t="array" ref="C317">XLOOKUP(B317,Reference!$A$2:$A$152,Reference!$B$2:$B$152)</f>
        <v>Sumatera Utara</v>
      </c>
      <c r="D317" s="82" t="s">
        <v>741</v>
      </c>
      <c r="E317" s="83">
        <v>45352.0</v>
      </c>
      <c r="F317" s="84" t="str">
        <f t="array" ref="F317">XLOOKUP(G317,Reference!$F:$F,Reference!$D:$D,"null")</f>
        <v>Makanan dan Pakaian </v>
      </c>
      <c r="G317" s="85" t="s">
        <v>56</v>
      </c>
      <c r="H317" s="86">
        <v>105.43</v>
      </c>
      <c r="I317" s="86">
        <v>105.43</v>
      </c>
      <c r="J317" s="87">
        <f t="shared" si="2"/>
        <v>0</v>
      </c>
      <c r="K317" s="84" t="str">
        <f t="shared" si="3"/>
        <v>Stabil</v>
      </c>
      <c r="L317" s="84">
        <f t="shared" si="4"/>
        <v>0</v>
      </c>
      <c r="M317" s="88" t="str">
        <f t="shared" si="5"/>
        <v>Perubahan Normal</v>
      </c>
    </row>
    <row r="318" ht="18.75" customHeight="1">
      <c r="A318" s="80" t="s">
        <v>408</v>
      </c>
      <c r="B318" s="81" t="str">
        <f t="shared" si="1"/>
        <v>Manokwari</v>
      </c>
      <c r="C318" s="81" t="str">
        <f t="array" ref="C318">XLOOKUP(B318,Reference!$A$2:$A$152,Reference!$B$2:$B$152)</f>
        <v>Papua Barat Daya</v>
      </c>
      <c r="D318" s="82" t="s">
        <v>742</v>
      </c>
      <c r="E318" s="83">
        <v>45352.0</v>
      </c>
      <c r="F318" s="84" t="str">
        <f t="array" ref="F318">XLOOKUP(G318,Reference!$F:$F,Reference!$D:$D,"null")</f>
        <v>Pendidikan dan Kesehatan</v>
      </c>
      <c r="G318" s="85" t="s">
        <v>95</v>
      </c>
      <c r="H318" s="86">
        <v>102.39</v>
      </c>
      <c r="I318" s="86">
        <v>102.39</v>
      </c>
      <c r="J318" s="87">
        <f t="shared" si="2"/>
        <v>0</v>
      </c>
      <c r="K318" s="84" t="str">
        <f t="shared" si="3"/>
        <v>Stabil</v>
      </c>
      <c r="L318" s="84">
        <f t="shared" si="4"/>
        <v>0</v>
      </c>
      <c r="M318" s="88" t="str">
        <f t="shared" si="5"/>
        <v>Perubahan Normal</v>
      </c>
    </row>
    <row r="319" ht="18.75" customHeight="1">
      <c r="A319" s="80" t="s">
        <v>680</v>
      </c>
      <c r="B319" s="81" t="str">
        <f t="shared" si="1"/>
        <v>Kota Pekanbaru</v>
      </c>
      <c r="C319" s="81" t="str">
        <f t="array" ref="C319">XLOOKUP(B319,Reference!$A$2:$A$152,Reference!$B$2:$B$152)</f>
        <v>Riau</v>
      </c>
      <c r="D319" s="82" t="s">
        <v>743</v>
      </c>
      <c r="E319" s="83">
        <v>45352.0</v>
      </c>
      <c r="F319" s="84" t="str">
        <f t="array" ref="F319">XLOOKUP(G319,Reference!$F:$F,Reference!$D:$D,"null")</f>
        <v>Rekreasi dan Kendaraan</v>
      </c>
      <c r="G319" s="85" t="s">
        <v>102</v>
      </c>
      <c r="H319" s="86">
        <v>102.6</v>
      </c>
      <c r="I319" s="86">
        <v>102.6</v>
      </c>
      <c r="J319" s="87">
        <f t="shared" si="2"/>
        <v>0</v>
      </c>
      <c r="K319" s="84" t="str">
        <f t="shared" si="3"/>
        <v>Stabil</v>
      </c>
      <c r="L319" s="84">
        <f t="shared" si="4"/>
        <v>0</v>
      </c>
      <c r="M319" s="88" t="str">
        <f t="shared" si="5"/>
        <v>Perubahan Normal</v>
      </c>
    </row>
    <row r="320" ht="18.75" customHeight="1">
      <c r="A320" s="80" t="s">
        <v>600</v>
      </c>
      <c r="B320" s="81" t="str">
        <f t="shared" si="1"/>
        <v>Kota Banda Aceh</v>
      </c>
      <c r="C320" s="81" t="str">
        <f t="array" ref="C320">XLOOKUP(B320,Reference!$A$2:$A$152,Reference!$B$2:$B$152)</f>
        <v>Aceh</v>
      </c>
      <c r="D320" s="82" t="s">
        <v>744</v>
      </c>
      <c r="E320" s="83">
        <v>45352.0</v>
      </c>
      <c r="F320" s="84" t="str">
        <f t="array" ref="F320">XLOOKUP(G320,Reference!$F:$F,Reference!$D:$D,"null")</f>
        <v>Pendidikan dan Kesehatan</v>
      </c>
      <c r="G320" s="85" t="s">
        <v>95</v>
      </c>
      <c r="H320" s="86">
        <v>100.39</v>
      </c>
      <c r="I320" s="86">
        <v>100.39</v>
      </c>
      <c r="J320" s="87">
        <f t="shared" si="2"/>
        <v>0</v>
      </c>
      <c r="K320" s="84" t="str">
        <f t="shared" si="3"/>
        <v>Stabil</v>
      </c>
      <c r="L320" s="84">
        <f t="shared" si="4"/>
        <v>0</v>
      </c>
      <c r="M320" s="88" t="str">
        <f t="shared" si="5"/>
        <v>Perubahan Normal</v>
      </c>
    </row>
    <row r="321" ht="18.75" customHeight="1">
      <c r="A321" s="80" t="s">
        <v>706</v>
      </c>
      <c r="B321" s="81" t="str">
        <f t="shared" si="1"/>
        <v>Kota Makassar</v>
      </c>
      <c r="C321" s="81" t="str">
        <f t="array" ref="C321">XLOOKUP(B321,Reference!$A$2:$A$152,Reference!$B$2:$B$152)</f>
        <v>Sulawesi Selatan</v>
      </c>
      <c r="D321" s="82" t="s">
        <v>745</v>
      </c>
      <c r="E321" s="83">
        <v>45323.0</v>
      </c>
      <c r="F321" s="84" t="str">
        <f t="array" ref="F321">XLOOKUP(G321,Reference!$F:$F,Reference!$D:$D,"null")</f>
        <v>Pendidikan dan Kesehatan</v>
      </c>
      <c r="G321" s="85" t="s">
        <v>95</v>
      </c>
      <c r="H321" s="86">
        <v>103.61</v>
      </c>
      <c r="I321" s="86">
        <v>103.47</v>
      </c>
      <c r="J321" s="87">
        <f t="shared" si="2"/>
        <v>0.1353049193</v>
      </c>
      <c r="K321" s="84" t="str">
        <f t="shared" si="3"/>
        <v>Inflasi Normal</v>
      </c>
      <c r="L321" s="84">
        <f t="shared" si="4"/>
        <v>0.14</v>
      </c>
      <c r="M321" s="88" t="str">
        <f t="shared" si="5"/>
        <v>Perubahan Normal</v>
      </c>
    </row>
    <row r="322" ht="18.75" customHeight="1">
      <c r="A322" s="80" t="s">
        <v>628</v>
      </c>
      <c r="B322" s="81" t="str">
        <f t="shared" si="1"/>
        <v>Watampone</v>
      </c>
      <c r="C322" s="81" t="str">
        <f t="array" ref="C322">XLOOKUP(B322,Reference!$A$2:$A$152,Reference!$B$2:$B$152)</f>
        <v>Sulawesi Selatan</v>
      </c>
      <c r="D322" s="82" t="s">
        <v>746</v>
      </c>
      <c r="E322" s="83">
        <v>45323.0</v>
      </c>
      <c r="F322" s="84" t="str">
        <f t="array" ref="F322">XLOOKUP(G322,Reference!$F:$F,Reference!$D:$D,"null")</f>
        <v>Rumah Tangga</v>
      </c>
      <c r="G322" s="85" t="s">
        <v>89</v>
      </c>
      <c r="H322" s="86">
        <v>102.73</v>
      </c>
      <c r="I322" s="86">
        <v>102.73</v>
      </c>
      <c r="J322" s="87">
        <f t="shared" si="2"/>
        <v>0</v>
      </c>
      <c r="K322" s="84" t="str">
        <f t="shared" si="3"/>
        <v>Stabil</v>
      </c>
      <c r="L322" s="84">
        <f t="shared" si="4"/>
        <v>0</v>
      </c>
      <c r="M322" s="88" t="str">
        <f t="shared" si="5"/>
        <v>Perubahan Normal</v>
      </c>
    </row>
    <row r="323" ht="18.75" customHeight="1">
      <c r="A323" s="80" t="s">
        <v>680</v>
      </c>
      <c r="B323" s="81" t="str">
        <f t="shared" si="1"/>
        <v>Kota Pekanbaru</v>
      </c>
      <c r="C323" s="81" t="str">
        <f t="array" ref="C323">XLOOKUP(B323,Reference!$A$2:$A$152,Reference!$B$2:$B$152)</f>
        <v>Riau</v>
      </c>
      <c r="D323" s="82" t="s">
        <v>747</v>
      </c>
      <c r="E323" s="83">
        <v>45323.0</v>
      </c>
      <c r="F323" s="84" t="str">
        <f t="array" ref="F323">XLOOKUP(G323,Reference!$F:$F,Reference!$D:$D,"null")</f>
        <v>Rekreasi dan Kendaraan</v>
      </c>
      <c r="G323" s="85" t="s">
        <v>105</v>
      </c>
      <c r="H323" s="86">
        <v>108.33</v>
      </c>
      <c r="I323" s="86">
        <v>108.33</v>
      </c>
      <c r="J323" s="87">
        <f t="shared" si="2"/>
        <v>0</v>
      </c>
      <c r="K323" s="84" t="str">
        <f t="shared" si="3"/>
        <v>Stabil</v>
      </c>
      <c r="L323" s="84">
        <f t="shared" si="4"/>
        <v>0</v>
      </c>
      <c r="M323" s="88" t="str">
        <f t="shared" si="5"/>
        <v>Perubahan Normal</v>
      </c>
    </row>
    <row r="324" ht="18.75" customHeight="1">
      <c r="A324" s="92" t="s">
        <v>333</v>
      </c>
      <c r="B324" s="81" t="str">
        <f t="shared" si="1"/>
        <v>Kab Pasaman Barat</v>
      </c>
      <c r="C324" s="81" t="str">
        <f t="array" ref="C324">XLOOKUP(B324,Reference!$A$2:$A$152,Reference!$B$2:$B$152)</f>
        <v>Sumatera Barat</v>
      </c>
      <c r="D324" s="82" t="s">
        <v>748</v>
      </c>
      <c r="E324" s="83">
        <v>45352.0</v>
      </c>
      <c r="F324" s="84" t="str">
        <f t="array" ref="F324">XLOOKUP(G324,Reference!$F:$F,Reference!$D:$D,"null")</f>
        <v>Rekreasi dan Kendaraan</v>
      </c>
      <c r="G324" s="93" t="s">
        <v>105</v>
      </c>
      <c r="H324" s="86">
        <v>101.47</v>
      </c>
      <c r="I324" s="86">
        <v>101.43</v>
      </c>
      <c r="J324" s="87">
        <f t="shared" si="2"/>
        <v>0.03943606428</v>
      </c>
      <c r="K324" s="84" t="str">
        <f t="shared" si="3"/>
        <v>Inflasi Normal</v>
      </c>
      <c r="L324" s="84">
        <f t="shared" si="4"/>
        <v>0.04</v>
      </c>
      <c r="M324" s="88" t="str">
        <f t="shared" si="5"/>
        <v>Perubahan Normal</v>
      </c>
    </row>
    <row r="325" ht="18.75" customHeight="1">
      <c r="A325" s="80" t="s">
        <v>598</v>
      </c>
      <c r="B325" s="81" t="str">
        <f t="shared" si="1"/>
        <v>Kota Surakarta</v>
      </c>
      <c r="C325" s="81" t="str">
        <f t="array" ref="C325">XLOOKUP(B325,Reference!$A$2:$A$152,Reference!$B$2:$B$152)</f>
        <v>Jawa Tengah</v>
      </c>
      <c r="D325" s="82" t="s">
        <v>749</v>
      </c>
      <c r="E325" s="83">
        <v>45352.0</v>
      </c>
      <c r="F325" s="84" t="str">
        <f t="array" ref="F325">XLOOKUP(G325,Reference!$F:$F,Reference!$D:$D,"null")</f>
        <v>Pendidikan dan Kesehatan</v>
      </c>
      <c r="G325" s="85" t="s">
        <v>95</v>
      </c>
      <c r="H325" s="86">
        <v>103.07</v>
      </c>
      <c r="I325" s="86">
        <v>103.07</v>
      </c>
      <c r="J325" s="87">
        <f t="shared" si="2"/>
        <v>0</v>
      </c>
      <c r="K325" s="84" t="str">
        <f t="shared" si="3"/>
        <v>Stabil</v>
      </c>
      <c r="L325" s="84">
        <f t="shared" si="4"/>
        <v>0</v>
      </c>
      <c r="M325" s="88" t="str">
        <f t="shared" si="5"/>
        <v>Perubahan Normal</v>
      </c>
    </row>
    <row r="326" ht="18.75" customHeight="1">
      <c r="A326" s="80" t="s">
        <v>425</v>
      </c>
      <c r="B326" s="81" t="str">
        <f t="shared" si="1"/>
        <v>Kab Gorontalo</v>
      </c>
      <c r="C326" s="81" t="str">
        <f t="array" ref="C326">XLOOKUP(B326,Reference!$A$2:$A$152,Reference!$B$2:$B$152)</f>
        <v>Gorontalo</v>
      </c>
      <c r="D326" s="82" t="s">
        <v>750</v>
      </c>
      <c r="E326" s="83">
        <v>45352.0</v>
      </c>
      <c r="F326" s="84" t="str">
        <f t="array" ref="F326">XLOOKUP(G326,Reference!$F:$F,Reference!$D:$D,"null")</f>
        <v>Pendidikan dan Kesehatan</v>
      </c>
      <c r="G326" s="85" t="s">
        <v>95</v>
      </c>
      <c r="H326" s="86">
        <v>100.08</v>
      </c>
      <c r="I326" s="86">
        <v>100.08</v>
      </c>
      <c r="J326" s="87">
        <f t="shared" si="2"/>
        <v>0</v>
      </c>
      <c r="K326" s="84" t="str">
        <f t="shared" si="3"/>
        <v>Stabil</v>
      </c>
      <c r="L326" s="84">
        <f t="shared" si="4"/>
        <v>0</v>
      </c>
      <c r="M326" s="88" t="str">
        <f t="shared" si="5"/>
        <v>Perubahan Normal</v>
      </c>
    </row>
    <row r="327" ht="18.75" customHeight="1">
      <c r="A327" s="80" t="s">
        <v>471</v>
      </c>
      <c r="B327" s="81" t="str">
        <f t="shared" si="1"/>
        <v>Kab Gunungkidul</v>
      </c>
      <c r="C327" s="81" t="str">
        <f t="array" ref="C327">XLOOKUP(B327,Reference!$A$2:$A$152,Reference!$B$2:$B$152)</f>
        <v>D.I. Yogyakarta</v>
      </c>
      <c r="D327" s="82" t="s">
        <v>751</v>
      </c>
      <c r="E327" s="83">
        <v>45352.0</v>
      </c>
      <c r="F327" s="84" t="str">
        <f t="array" ref="F327">XLOOKUP(G327,Reference!$F:$F,Reference!$D:$D,"null")</f>
        <v>Rumah Tangga</v>
      </c>
      <c r="G327" s="85" t="s">
        <v>89</v>
      </c>
      <c r="H327" s="86">
        <v>101.98</v>
      </c>
      <c r="I327" s="86">
        <v>101.98</v>
      </c>
      <c r="J327" s="87">
        <f t="shared" si="2"/>
        <v>0</v>
      </c>
      <c r="K327" s="84" t="str">
        <f t="shared" si="3"/>
        <v>Stabil</v>
      </c>
      <c r="L327" s="84">
        <f t="shared" si="4"/>
        <v>0</v>
      </c>
      <c r="M327" s="88" t="str">
        <f t="shared" si="5"/>
        <v>Perubahan Normal</v>
      </c>
    </row>
    <row r="328" ht="18.75" customHeight="1">
      <c r="A328" s="80" t="s">
        <v>419</v>
      </c>
      <c r="B328" s="81" t="str">
        <f t="shared" si="1"/>
        <v>Kota Singkawang</v>
      </c>
      <c r="C328" s="81" t="str">
        <f t="array" ref="C328">XLOOKUP(B328,Reference!$A$2:$A$152,Reference!$B$2:$B$152)</f>
        <v>Kalimantan Barat</v>
      </c>
      <c r="D328" s="82" t="s">
        <v>752</v>
      </c>
      <c r="E328" s="83">
        <v>45352.0</v>
      </c>
      <c r="F328" s="84" t="str">
        <f t="array" ref="F328">XLOOKUP(G328,Reference!$F:$F,Reference!$D:$D,"null")</f>
        <v>Rekreasi dan Kendaraan</v>
      </c>
      <c r="G328" s="85" t="s">
        <v>105</v>
      </c>
      <c r="H328" s="86">
        <v>102.88</v>
      </c>
      <c r="I328" s="86">
        <v>103.5</v>
      </c>
      <c r="J328" s="87">
        <f t="shared" si="2"/>
        <v>-0.5990338164</v>
      </c>
      <c r="K328" s="84" t="str">
        <f t="shared" si="3"/>
        <v>Deflasi</v>
      </c>
      <c r="L328" s="84">
        <f t="shared" si="4"/>
        <v>-0.62</v>
      </c>
      <c r="M328" s="88" t="str">
        <f t="shared" si="5"/>
        <v>Perubahan Normal</v>
      </c>
    </row>
    <row r="329" ht="18.75" customHeight="1">
      <c r="A329" s="80" t="s">
        <v>333</v>
      </c>
      <c r="B329" s="81" t="str">
        <f t="shared" si="1"/>
        <v>Kab Pasaman Barat</v>
      </c>
      <c r="C329" s="81" t="str">
        <f t="array" ref="C329">XLOOKUP(B329,Reference!$A$2:$A$152,Reference!$B$2:$B$152)</f>
        <v>Sumatera Barat</v>
      </c>
      <c r="D329" s="82" t="s">
        <v>753</v>
      </c>
      <c r="E329" s="83">
        <v>45323.0</v>
      </c>
      <c r="F329" s="84" t="str">
        <f t="array" ref="F329">XLOOKUP(G329,Reference!$F:$F,Reference!$D:$D,"null")</f>
        <v>Pendidikan dan Kesehatan</v>
      </c>
      <c r="G329" s="85" t="s">
        <v>95</v>
      </c>
      <c r="H329" s="86">
        <v>100.19</v>
      </c>
      <c r="I329" s="86">
        <v>100.19</v>
      </c>
      <c r="J329" s="87">
        <f t="shared" si="2"/>
        <v>0</v>
      </c>
      <c r="K329" s="84" t="str">
        <f t="shared" si="3"/>
        <v>Stabil</v>
      </c>
      <c r="L329" s="84">
        <f t="shared" si="4"/>
        <v>0</v>
      </c>
      <c r="M329" s="88" t="str">
        <f t="shared" si="5"/>
        <v>Perubahan Normal</v>
      </c>
    </row>
    <row r="330" ht="18.75" customHeight="1">
      <c r="A330" s="80" t="s">
        <v>508</v>
      </c>
      <c r="B330" s="81" t="str">
        <f t="shared" si="1"/>
        <v>Kab Minahasa Selatan</v>
      </c>
      <c r="C330" s="81" t="str">
        <f t="array" ref="C330">XLOOKUP(B330,Reference!$A$2:$A$152,Reference!$B$2:$B$152)</f>
        <v>Sulawesi Utara</v>
      </c>
      <c r="D330" s="82" t="s">
        <v>754</v>
      </c>
      <c r="E330" s="83">
        <v>45352.0</v>
      </c>
      <c r="F330" s="84" t="str">
        <f t="array" ref="F330">XLOOKUP(G330,Reference!$F:$F,Reference!$D:$D,"null")</f>
        <v>Rekreasi dan Kendaraan</v>
      </c>
      <c r="G330" s="85" t="s">
        <v>102</v>
      </c>
      <c r="H330" s="86">
        <v>119.69</v>
      </c>
      <c r="I330" s="86">
        <v>113.51</v>
      </c>
      <c r="J330" s="87">
        <f t="shared" si="2"/>
        <v>5.444454233</v>
      </c>
      <c r="K330" s="84" t="str">
        <f t="shared" si="3"/>
        <v>Inflasi Tinggi</v>
      </c>
      <c r="L330" s="84">
        <f t="shared" si="4"/>
        <v>6.18</v>
      </c>
      <c r="M330" s="88" t="str">
        <f t="shared" si="5"/>
        <v>Akselerasi Kuat</v>
      </c>
    </row>
    <row r="331" ht="18.75" customHeight="1">
      <c r="A331" s="80" t="s">
        <v>462</v>
      </c>
      <c r="B331" s="81" t="str">
        <f t="shared" si="1"/>
        <v>Kota Probolinggo</v>
      </c>
      <c r="C331" s="81" t="str">
        <f t="array" ref="C331">XLOOKUP(B331,Reference!$A$2:$A$152,Reference!$B$2:$B$152)</f>
        <v>Jawa Timur</v>
      </c>
      <c r="D331" s="82" t="s">
        <v>755</v>
      </c>
      <c r="E331" s="83">
        <v>45352.0</v>
      </c>
      <c r="F331" s="84" t="str">
        <f t="array" ref="F331">XLOOKUP(G331,Reference!$F:$F,Reference!$D:$D,"null")</f>
        <v>Rumah Tangga</v>
      </c>
      <c r="G331" s="85" t="s">
        <v>80</v>
      </c>
      <c r="H331" s="86">
        <v>101.68</v>
      </c>
      <c r="I331" s="86">
        <v>101.68</v>
      </c>
      <c r="J331" s="87">
        <f t="shared" si="2"/>
        <v>0</v>
      </c>
      <c r="K331" s="84" t="str">
        <f t="shared" si="3"/>
        <v>Stabil</v>
      </c>
      <c r="L331" s="84">
        <f t="shared" si="4"/>
        <v>0</v>
      </c>
      <c r="M331" s="88" t="str">
        <f t="shared" si="5"/>
        <v>Perubahan Normal</v>
      </c>
    </row>
    <row r="332" ht="18.75" customHeight="1">
      <c r="A332" s="80" t="s">
        <v>427</v>
      </c>
      <c r="B332" s="81" t="str">
        <f t="shared" si="1"/>
        <v>Kota Malang</v>
      </c>
      <c r="C332" s="81" t="str">
        <f t="array" ref="C332">XLOOKUP(B332,Reference!$A$2:$A$152,Reference!$B$2:$B$152)</f>
        <v>Jawa Timur</v>
      </c>
      <c r="D332" s="82" t="s">
        <v>756</v>
      </c>
      <c r="E332" s="83">
        <v>45323.0</v>
      </c>
      <c r="F332" s="84" t="str">
        <f t="array" ref="F332">XLOOKUP(G332,Reference!$F:$F,Reference!$D:$D,"null")</f>
        <v>Pendidikan dan Kesehatan</v>
      </c>
      <c r="G332" s="85" t="s">
        <v>98</v>
      </c>
      <c r="H332" s="86">
        <v>102.93</v>
      </c>
      <c r="I332" s="86">
        <v>102.44</v>
      </c>
      <c r="J332" s="87">
        <f t="shared" si="2"/>
        <v>0.4783287778</v>
      </c>
      <c r="K332" s="84" t="str">
        <f t="shared" si="3"/>
        <v>Inflasi Normal</v>
      </c>
      <c r="L332" s="84">
        <f t="shared" si="4"/>
        <v>0.49</v>
      </c>
      <c r="M332" s="88" t="str">
        <f t="shared" si="5"/>
        <v>Perubahan Normal</v>
      </c>
    </row>
    <row r="333" ht="18.75" customHeight="1">
      <c r="A333" s="80" t="s">
        <v>669</v>
      </c>
      <c r="B333" s="81" t="str">
        <f t="shared" si="1"/>
        <v>Kab Sidenreng Rappang</v>
      </c>
      <c r="C333" s="81" t="str">
        <f t="array" ref="C333">XLOOKUP(B333,Reference!$A$2:$A$152,Reference!$B$2:$B$152)</f>
        <v>Sulawesi Selatan</v>
      </c>
      <c r="D333" s="82" t="s">
        <v>757</v>
      </c>
      <c r="E333" s="83">
        <v>45352.0</v>
      </c>
      <c r="F333" s="84" t="str">
        <f t="array" ref="F333">XLOOKUP(G333,Reference!$F:$F,Reference!$D:$D,"null")</f>
        <v>Rumah Tangga</v>
      </c>
      <c r="G333" s="85" t="s">
        <v>89</v>
      </c>
      <c r="H333" s="86">
        <v>100.51</v>
      </c>
      <c r="I333" s="86">
        <v>100.51</v>
      </c>
      <c r="J333" s="87">
        <f t="shared" si="2"/>
        <v>0</v>
      </c>
      <c r="K333" s="84" t="str">
        <f t="shared" si="3"/>
        <v>Stabil</v>
      </c>
      <c r="L333" s="84">
        <f t="shared" si="4"/>
        <v>0</v>
      </c>
      <c r="M333" s="88" t="str">
        <f t="shared" si="5"/>
        <v>Perubahan Normal</v>
      </c>
    </row>
    <row r="334" ht="18.75" customHeight="1">
      <c r="A334" s="80" t="s">
        <v>606</v>
      </c>
      <c r="B334" s="81" t="str">
        <f t="shared" si="1"/>
        <v>Kota Pare Pare</v>
      </c>
      <c r="C334" s="81" t="str">
        <f t="array" ref="C334">XLOOKUP(B334,Reference!$A$2:$A$152,Reference!$B$2:$B$152)</f>
        <v>Sulawesi Selatan</v>
      </c>
      <c r="D334" s="82" t="s">
        <v>758</v>
      </c>
      <c r="E334" s="83">
        <v>45323.0</v>
      </c>
      <c r="F334" s="84" t="str">
        <f t="array" ref="F334">XLOOKUP(G334,Reference!$F:$F,Reference!$D:$D,"null")</f>
        <v>Rumah Tangga</v>
      </c>
      <c r="G334" s="89" t="s">
        <v>84</v>
      </c>
      <c r="H334" s="90">
        <v>100.72</v>
      </c>
      <c r="I334" s="90">
        <v>100.72</v>
      </c>
      <c r="J334" s="87">
        <f t="shared" si="2"/>
        <v>0</v>
      </c>
      <c r="K334" s="84" t="str">
        <f t="shared" si="3"/>
        <v>Stabil</v>
      </c>
      <c r="L334" s="91">
        <f t="shared" si="4"/>
        <v>0</v>
      </c>
      <c r="M334" s="88" t="str">
        <f t="shared" si="5"/>
        <v>Perubahan Normal</v>
      </c>
    </row>
    <row r="335" ht="18.75" customHeight="1">
      <c r="A335" s="80" t="s">
        <v>490</v>
      </c>
      <c r="B335" s="81" t="str">
        <f t="shared" si="1"/>
        <v>Kab Kerinci</v>
      </c>
      <c r="C335" s="81" t="str">
        <f t="array" ref="C335">XLOOKUP(B335,Reference!$A$2:$A$152,Reference!$B$2:$B$152)</f>
        <v>Jambi</v>
      </c>
      <c r="D335" s="82" t="s">
        <v>759</v>
      </c>
      <c r="E335" s="83">
        <v>45352.0</v>
      </c>
      <c r="F335" s="84" t="str">
        <f t="array" ref="F335">XLOOKUP(G335,Reference!$F:$F,Reference!$D:$D,"null")</f>
        <v>Makanan dan Pakaian </v>
      </c>
      <c r="G335" s="85" t="s">
        <v>72</v>
      </c>
      <c r="H335" s="86">
        <v>103.57</v>
      </c>
      <c r="I335" s="86">
        <v>103.57</v>
      </c>
      <c r="J335" s="87">
        <f t="shared" si="2"/>
        <v>0</v>
      </c>
      <c r="K335" s="84" t="str">
        <f t="shared" si="3"/>
        <v>Stabil</v>
      </c>
      <c r="L335" s="84">
        <f t="shared" si="4"/>
        <v>0</v>
      </c>
      <c r="M335" s="88" t="str">
        <f t="shared" si="5"/>
        <v>Perubahan Normal</v>
      </c>
    </row>
    <row r="336" ht="18.75" customHeight="1">
      <c r="A336" s="80" t="s">
        <v>320</v>
      </c>
      <c r="B336" s="81" t="str">
        <f t="shared" si="1"/>
        <v>Kota Manado</v>
      </c>
      <c r="C336" s="81" t="str">
        <f t="array" ref="C336">XLOOKUP(B336,Reference!$A$2:$A$152,Reference!$B$2:$B$152)</f>
        <v>Sulawesi Utara</v>
      </c>
      <c r="D336" s="82" t="s">
        <v>760</v>
      </c>
      <c r="E336" s="83">
        <v>45352.0</v>
      </c>
      <c r="F336" s="84" t="str">
        <f t="array" ref="F336">XLOOKUP(G336,Reference!$F:$F,Reference!$D:$D,"null")</f>
        <v>Makanan dan Pakaian </v>
      </c>
      <c r="G336" s="85" t="s">
        <v>72</v>
      </c>
      <c r="H336" s="86">
        <v>100.35</v>
      </c>
      <c r="I336" s="86">
        <v>99.48</v>
      </c>
      <c r="J336" s="87">
        <f t="shared" si="2"/>
        <v>0.8745476478</v>
      </c>
      <c r="K336" s="84" t="str">
        <f t="shared" si="3"/>
        <v>Inflasi Tinggi</v>
      </c>
      <c r="L336" s="84">
        <f t="shared" si="4"/>
        <v>0.87</v>
      </c>
      <c r="M336" s="88" t="str">
        <f t="shared" si="5"/>
        <v>Akselerasi Persentase</v>
      </c>
    </row>
    <row r="337" ht="18.75" customHeight="1">
      <c r="A337" s="80" t="s">
        <v>558</v>
      </c>
      <c r="B337" s="81" t="str">
        <f t="shared" si="1"/>
        <v>Kab Kapuas</v>
      </c>
      <c r="C337" s="81" t="str">
        <f t="array" ref="C337">XLOOKUP(B337,Reference!$A$2:$A$152,Reference!$B$2:$B$152)</f>
        <v>Kalimantan Tengah</v>
      </c>
      <c r="D337" s="82" t="s">
        <v>761</v>
      </c>
      <c r="E337" s="83">
        <v>45352.0</v>
      </c>
      <c r="F337" s="84" t="str">
        <f t="array" ref="F337">XLOOKUP(G337,Reference!$F:$F,Reference!$D:$D,"null")</f>
        <v>Rekreasi dan Kendaraan</v>
      </c>
      <c r="G337" s="85" t="s">
        <v>102</v>
      </c>
      <c r="H337" s="86">
        <v>105.75</v>
      </c>
      <c r="I337" s="86">
        <v>105.75</v>
      </c>
      <c r="J337" s="87">
        <f t="shared" si="2"/>
        <v>0</v>
      </c>
      <c r="K337" s="84" t="str">
        <f t="shared" si="3"/>
        <v>Stabil</v>
      </c>
      <c r="L337" s="84">
        <f t="shared" si="4"/>
        <v>0</v>
      </c>
      <c r="M337" s="88" t="str">
        <f t="shared" si="5"/>
        <v>Perubahan Normal</v>
      </c>
    </row>
    <row r="338" ht="18.75" customHeight="1">
      <c r="A338" s="80" t="s">
        <v>762</v>
      </c>
      <c r="B338" s="81" t="str">
        <f t="shared" si="1"/>
        <v>Kota Pangkal Pinang</v>
      </c>
      <c r="C338" s="81" t="str">
        <f t="array" ref="C338">XLOOKUP(B338,Reference!$A$2:$A$152,Reference!$B$2:$B$152)</f>
        <v>Kepulauan Bangka Belitung</v>
      </c>
      <c r="D338" s="82" t="s">
        <v>763</v>
      </c>
      <c r="E338" s="83">
        <v>45352.0</v>
      </c>
      <c r="F338" s="84" t="str">
        <f t="array" ref="F338">XLOOKUP(G338,Reference!$F:$F,Reference!$D:$D,"null")</f>
        <v>Rumah Tangga</v>
      </c>
      <c r="G338" s="89" t="s">
        <v>89</v>
      </c>
      <c r="H338" s="90">
        <v>101.18</v>
      </c>
      <c r="I338" s="90">
        <v>101.18</v>
      </c>
      <c r="J338" s="87">
        <f t="shared" si="2"/>
        <v>0</v>
      </c>
      <c r="K338" s="84" t="str">
        <f t="shared" si="3"/>
        <v>Stabil</v>
      </c>
      <c r="L338" s="91">
        <f t="shared" si="4"/>
        <v>0</v>
      </c>
      <c r="M338" s="88" t="str">
        <f t="shared" si="5"/>
        <v>Perubahan Normal</v>
      </c>
    </row>
    <row r="339" ht="18.75" customHeight="1">
      <c r="A339" s="80" t="s">
        <v>764</v>
      </c>
      <c r="B339" s="81" t="str">
        <f t="shared" si="1"/>
        <v>Kota Madiun</v>
      </c>
      <c r="C339" s="81" t="str">
        <f t="array" ref="C339">XLOOKUP(B339,Reference!$A$2:$A$152,Reference!$B$2:$B$152)</f>
        <v>Jawa Timur</v>
      </c>
      <c r="D339" s="82" t="s">
        <v>765</v>
      </c>
      <c r="E339" s="83">
        <v>45323.0</v>
      </c>
      <c r="F339" s="84" t="str">
        <f t="array" ref="F339">XLOOKUP(G339,Reference!$F:$F,Reference!$D:$D,"null")</f>
        <v>Pendidikan dan Kesehatan</v>
      </c>
      <c r="G339" s="89" t="s">
        <v>98</v>
      </c>
      <c r="H339" s="90">
        <v>103.15</v>
      </c>
      <c r="I339" s="90">
        <v>102.93</v>
      </c>
      <c r="J339" s="87">
        <f t="shared" si="2"/>
        <v>0.2137374915</v>
      </c>
      <c r="K339" s="84" t="str">
        <f t="shared" si="3"/>
        <v>Inflasi Normal</v>
      </c>
      <c r="L339" s="91">
        <f t="shared" si="4"/>
        <v>0.22</v>
      </c>
      <c r="M339" s="88" t="str">
        <f t="shared" si="5"/>
        <v>Perubahan Normal</v>
      </c>
    </row>
    <row r="340" ht="18.75" customHeight="1">
      <c r="A340" s="80" t="s">
        <v>458</v>
      </c>
      <c r="B340" s="81" t="str">
        <f t="shared" si="1"/>
        <v>Kota Dumai</v>
      </c>
      <c r="C340" s="81" t="str">
        <f t="array" ref="C340">XLOOKUP(B340,Reference!$A$2:$A$152,Reference!$B$2:$B$152)</f>
        <v>Riau</v>
      </c>
      <c r="D340" s="82" t="s">
        <v>766</v>
      </c>
      <c r="E340" s="83">
        <v>45323.0</v>
      </c>
      <c r="F340" s="84" t="str">
        <f t="array" ref="F340">XLOOKUP(G340,Reference!$F:$F,Reference!$D:$D,"null")</f>
        <v>Makanan dan Pakaian </v>
      </c>
      <c r="G340" s="85" t="s">
        <v>64</v>
      </c>
      <c r="H340" s="86">
        <v>104.46</v>
      </c>
      <c r="I340" s="86">
        <v>104.28</v>
      </c>
      <c r="J340" s="87">
        <f t="shared" si="2"/>
        <v>0.1726121979</v>
      </c>
      <c r="K340" s="84" t="str">
        <f t="shared" si="3"/>
        <v>Inflasi Normal</v>
      </c>
      <c r="L340" s="84">
        <f t="shared" si="4"/>
        <v>0.18</v>
      </c>
      <c r="M340" s="88" t="str">
        <f t="shared" si="5"/>
        <v>Perubahan Normal</v>
      </c>
    </row>
    <row r="341" ht="18.75" customHeight="1">
      <c r="A341" s="80" t="s">
        <v>429</v>
      </c>
      <c r="B341" s="81" t="str">
        <f t="shared" si="1"/>
        <v>Kab Nabire</v>
      </c>
      <c r="C341" s="81" t="str">
        <f t="array" ref="C341">XLOOKUP(B341,Reference!$A$2:$A$152,Reference!$B$2:$B$152)</f>
        <v>Papua</v>
      </c>
      <c r="D341" s="82" t="s">
        <v>767</v>
      </c>
      <c r="E341" s="83">
        <v>45323.0</v>
      </c>
      <c r="F341" s="84" t="str">
        <f t="array" ref="F341">XLOOKUP(G341,Reference!$F:$F,Reference!$D:$D,"null")</f>
        <v>Rumah Tangga</v>
      </c>
      <c r="G341" s="85" t="s">
        <v>84</v>
      </c>
      <c r="H341" s="86">
        <v>107.48</v>
      </c>
      <c r="I341" s="86">
        <v>107.49</v>
      </c>
      <c r="J341" s="87">
        <f t="shared" si="2"/>
        <v>-0.009303190995</v>
      </c>
      <c r="K341" s="84" t="str">
        <f t="shared" si="3"/>
        <v>Deflasi</v>
      </c>
      <c r="L341" s="84">
        <f t="shared" si="4"/>
        <v>-0.01</v>
      </c>
      <c r="M341" s="88" t="str">
        <f t="shared" si="5"/>
        <v>Perubahan Normal</v>
      </c>
    </row>
    <row r="342" ht="18.75" customHeight="1">
      <c r="A342" s="80" t="s">
        <v>462</v>
      </c>
      <c r="B342" s="81" t="str">
        <f t="shared" si="1"/>
        <v>Kota Probolinggo</v>
      </c>
      <c r="C342" s="81" t="str">
        <f t="array" ref="C342">XLOOKUP(B342,Reference!$A$2:$A$152,Reference!$B$2:$B$152)</f>
        <v>Jawa Timur</v>
      </c>
      <c r="D342" s="82" t="s">
        <v>768</v>
      </c>
      <c r="E342" s="83">
        <v>45352.0</v>
      </c>
      <c r="F342" s="84" t="str">
        <f t="array" ref="F342">XLOOKUP(G342,Reference!$F:$F,Reference!$D:$D,"null")</f>
        <v>Makanan dan Pakaian </v>
      </c>
      <c r="G342" s="85" t="s">
        <v>72</v>
      </c>
      <c r="H342" s="86">
        <v>105.34</v>
      </c>
      <c r="I342" s="86">
        <v>105.34</v>
      </c>
      <c r="J342" s="87">
        <f t="shared" si="2"/>
        <v>0</v>
      </c>
      <c r="K342" s="84" t="str">
        <f t="shared" si="3"/>
        <v>Stabil</v>
      </c>
      <c r="L342" s="84">
        <f t="shared" si="4"/>
        <v>0</v>
      </c>
      <c r="M342" s="88" t="str">
        <f t="shared" si="5"/>
        <v>Perubahan Normal</v>
      </c>
    </row>
    <row r="343" ht="18.75" customHeight="1">
      <c r="A343" s="80" t="s">
        <v>485</v>
      </c>
      <c r="B343" s="81" t="str">
        <f t="shared" si="1"/>
        <v>Banyuwangi</v>
      </c>
      <c r="C343" s="81" t="str">
        <f t="array" ref="C343">XLOOKUP(B343,Reference!$A$2:$A$152,Reference!$B$2:$B$152)</f>
        <v>Jawa Timur</v>
      </c>
      <c r="D343" s="82" t="s">
        <v>769</v>
      </c>
      <c r="E343" s="83">
        <v>45323.0</v>
      </c>
      <c r="F343" s="84" t="str">
        <f t="array" ref="F343">XLOOKUP(G343,Reference!$F:$F,Reference!$D:$D,"null")</f>
        <v>Makanan dan Pakaian </v>
      </c>
      <c r="G343" s="85" t="s">
        <v>72</v>
      </c>
      <c r="H343" s="86">
        <v>100.45</v>
      </c>
      <c r="I343" s="86">
        <v>100.45</v>
      </c>
      <c r="J343" s="87">
        <f t="shared" si="2"/>
        <v>0</v>
      </c>
      <c r="K343" s="84" t="str">
        <f t="shared" si="3"/>
        <v>Stabil</v>
      </c>
      <c r="L343" s="84">
        <f t="shared" si="4"/>
        <v>0</v>
      </c>
      <c r="M343" s="88" t="str">
        <f t="shared" si="5"/>
        <v>Perubahan Normal</v>
      </c>
    </row>
    <row r="344" ht="18.75" customHeight="1">
      <c r="A344" s="80" t="s">
        <v>364</v>
      </c>
      <c r="B344" s="81" t="str">
        <f t="shared" si="1"/>
        <v>Kab Tanah Laut</v>
      </c>
      <c r="C344" s="81" t="str">
        <f t="array" ref="C344">XLOOKUP(B344,Reference!$A$2:$A$152,Reference!$B$2:$B$152)</f>
        <v>Kalimantan Selatan</v>
      </c>
      <c r="D344" s="82" t="s">
        <v>770</v>
      </c>
      <c r="E344" s="83">
        <v>45323.0</v>
      </c>
      <c r="F344" s="84" t="str">
        <f t="array" ref="F344">XLOOKUP(G344,Reference!$F:$F,Reference!$D:$D,"null")</f>
        <v>Rumah Tangga</v>
      </c>
      <c r="G344" s="85" t="s">
        <v>84</v>
      </c>
      <c r="H344" s="86">
        <v>102.62</v>
      </c>
      <c r="I344" s="86">
        <v>102.7</v>
      </c>
      <c r="J344" s="87">
        <f t="shared" si="2"/>
        <v>-0.07789678676</v>
      </c>
      <c r="K344" s="84" t="str">
        <f t="shared" si="3"/>
        <v>Deflasi</v>
      </c>
      <c r="L344" s="84">
        <f t="shared" si="4"/>
        <v>-0.08</v>
      </c>
      <c r="M344" s="88" t="str">
        <f t="shared" si="5"/>
        <v>Perubahan Normal</v>
      </c>
    </row>
    <row r="345" ht="18.75" customHeight="1">
      <c r="A345" s="80" t="s">
        <v>502</v>
      </c>
      <c r="B345" s="81" t="str">
        <f t="shared" si="1"/>
        <v>Muara Bungo</v>
      </c>
      <c r="C345" s="81" t="str">
        <f t="array" ref="C345">XLOOKUP(B345,Reference!$A$2:$A$152,Reference!$B$2:$B$152)</f>
        <v>Jambi</v>
      </c>
      <c r="D345" s="82" t="s">
        <v>771</v>
      </c>
      <c r="E345" s="83">
        <v>45323.0</v>
      </c>
      <c r="F345" s="84" t="str">
        <f t="array" ref="F345">XLOOKUP(G345,Reference!$F:$F,Reference!$D:$D,"null")</f>
        <v>Rekreasi dan Kendaraan</v>
      </c>
      <c r="G345" s="85" t="s">
        <v>105</v>
      </c>
      <c r="H345" s="86">
        <v>100.75</v>
      </c>
      <c r="I345" s="86">
        <v>100.75</v>
      </c>
      <c r="J345" s="87">
        <f t="shared" si="2"/>
        <v>0</v>
      </c>
      <c r="K345" s="84" t="str">
        <f t="shared" si="3"/>
        <v>Stabil</v>
      </c>
      <c r="L345" s="84">
        <f t="shared" si="4"/>
        <v>0</v>
      </c>
      <c r="M345" s="88" t="str">
        <f t="shared" si="5"/>
        <v>Perubahan Normal</v>
      </c>
    </row>
    <row r="346" ht="18.75" customHeight="1">
      <c r="A346" s="80" t="s">
        <v>727</v>
      </c>
      <c r="B346" s="81" t="str">
        <f t="shared" si="1"/>
        <v>Kab Badung</v>
      </c>
      <c r="C346" s="81" t="str">
        <f t="array" ref="C346">XLOOKUP(B346,Reference!$A$2:$A$152,Reference!$B$2:$B$152)</f>
        <v>Bali</v>
      </c>
      <c r="D346" s="82" t="s">
        <v>772</v>
      </c>
      <c r="E346" s="83">
        <v>45352.0</v>
      </c>
      <c r="F346" s="84" t="str">
        <f t="array" ref="F346">XLOOKUP(G346,Reference!$F:$F,Reference!$D:$D,"null")</f>
        <v>Makanan dan Pakaian </v>
      </c>
      <c r="G346" s="89" t="s">
        <v>64</v>
      </c>
      <c r="H346" s="90">
        <v>102.64</v>
      </c>
      <c r="I346" s="90">
        <v>102.51</v>
      </c>
      <c r="J346" s="87">
        <f t="shared" si="2"/>
        <v>0.1268168959</v>
      </c>
      <c r="K346" s="84" t="str">
        <f t="shared" si="3"/>
        <v>Inflasi Normal</v>
      </c>
      <c r="L346" s="91">
        <f t="shared" si="4"/>
        <v>0.13</v>
      </c>
      <c r="M346" s="88" t="str">
        <f t="shared" si="5"/>
        <v>Perubahan Normal</v>
      </c>
    </row>
    <row r="347" ht="18.75" customHeight="1">
      <c r="A347" s="80" t="s">
        <v>628</v>
      </c>
      <c r="B347" s="81" t="str">
        <f t="shared" si="1"/>
        <v>Watampone</v>
      </c>
      <c r="C347" s="81" t="str">
        <f t="array" ref="C347">XLOOKUP(B347,Reference!$A$2:$A$152,Reference!$B$2:$B$152)</f>
        <v>Sulawesi Selatan</v>
      </c>
      <c r="D347" s="82" t="s">
        <v>773</v>
      </c>
      <c r="E347" s="83">
        <v>45352.0</v>
      </c>
      <c r="F347" s="84" t="str">
        <f t="array" ref="F347">XLOOKUP(G347,Reference!$F:$F,Reference!$D:$D,"null")</f>
        <v>Rumah Tangga</v>
      </c>
      <c r="G347" s="85" t="s">
        <v>84</v>
      </c>
      <c r="H347" s="86">
        <v>101.63</v>
      </c>
      <c r="I347" s="86">
        <v>101.63</v>
      </c>
      <c r="J347" s="87">
        <f t="shared" si="2"/>
        <v>0</v>
      </c>
      <c r="K347" s="84" t="str">
        <f t="shared" si="3"/>
        <v>Stabil</v>
      </c>
      <c r="L347" s="84">
        <f t="shared" si="4"/>
        <v>0</v>
      </c>
      <c r="M347" s="88" t="str">
        <f t="shared" si="5"/>
        <v>Perubahan Normal</v>
      </c>
    </row>
    <row r="348" ht="18.75" customHeight="1">
      <c r="A348" s="80" t="s">
        <v>740</v>
      </c>
      <c r="B348" s="81" t="str">
        <f t="shared" si="1"/>
        <v>Kota Gunungsitoli</v>
      </c>
      <c r="C348" s="81" t="str">
        <f t="array" ref="C348">XLOOKUP(B348,Reference!$A$2:$A$152,Reference!$B$2:$B$152)</f>
        <v>Sumatera Utara</v>
      </c>
      <c r="D348" s="82" t="s">
        <v>774</v>
      </c>
      <c r="E348" s="83">
        <v>45323.0</v>
      </c>
      <c r="F348" s="84" t="str">
        <f t="array" ref="F348">XLOOKUP(G348,Reference!$F:$F,Reference!$D:$D,"null")</f>
        <v>Pendidikan dan Kesehatan</v>
      </c>
      <c r="G348" s="89" t="s">
        <v>98</v>
      </c>
      <c r="H348" s="90">
        <v>102.28</v>
      </c>
      <c r="I348" s="90">
        <v>102.28</v>
      </c>
      <c r="J348" s="87">
        <f t="shared" si="2"/>
        <v>0</v>
      </c>
      <c r="K348" s="84" t="str">
        <f t="shared" si="3"/>
        <v>Stabil</v>
      </c>
      <c r="L348" s="91">
        <f t="shared" si="4"/>
        <v>0</v>
      </c>
      <c r="M348" s="88" t="str">
        <f t="shared" si="5"/>
        <v>Perubahan Normal</v>
      </c>
    </row>
    <row r="349" ht="18.75" customHeight="1">
      <c r="A349" s="80" t="s">
        <v>578</v>
      </c>
      <c r="B349" s="81" t="str">
        <f t="shared" si="1"/>
        <v>Kab Belitung Timur</v>
      </c>
      <c r="C349" s="81" t="str">
        <f t="array" ref="C349">XLOOKUP(B349,Reference!$A$2:$A$152,Reference!$B$2:$B$152)</f>
        <v>Kepulauan Bangka Belitung</v>
      </c>
      <c r="D349" s="82" t="s">
        <v>775</v>
      </c>
      <c r="E349" s="83">
        <v>45352.0</v>
      </c>
      <c r="F349" s="84" t="str">
        <f t="array" ref="F349">XLOOKUP(G349,Reference!$F:$F,Reference!$D:$D,"null")</f>
        <v>Rekreasi dan Kendaraan</v>
      </c>
      <c r="G349" s="85" t="s">
        <v>102</v>
      </c>
      <c r="H349" s="86">
        <v>106.87</v>
      </c>
      <c r="I349" s="86">
        <v>106.87</v>
      </c>
      <c r="J349" s="87">
        <f t="shared" si="2"/>
        <v>0</v>
      </c>
      <c r="K349" s="84" t="str">
        <f t="shared" si="3"/>
        <v>Stabil</v>
      </c>
      <c r="L349" s="84">
        <f t="shared" si="4"/>
        <v>0</v>
      </c>
      <c r="M349" s="88" t="str">
        <f t="shared" si="5"/>
        <v>Perubahan Normal</v>
      </c>
    </row>
    <row r="350" ht="18.75" customHeight="1">
      <c r="A350" s="80" t="s">
        <v>715</v>
      </c>
      <c r="B350" s="81" t="str">
        <f t="shared" si="1"/>
        <v>Kab Bojonegoro</v>
      </c>
      <c r="C350" s="81" t="str">
        <f t="array" ref="C350">XLOOKUP(B350,Reference!$A$2:$A$152,Reference!$B$2:$B$152)</f>
        <v>Jawa Timur</v>
      </c>
      <c r="D350" s="82" t="s">
        <v>776</v>
      </c>
      <c r="E350" s="83">
        <v>45352.0</v>
      </c>
      <c r="F350" s="84" t="str">
        <f t="array" ref="F350">XLOOKUP(G350,Reference!$F:$F,Reference!$D:$D,"null")</f>
        <v>Rumah Tangga</v>
      </c>
      <c r="G350" s="85" t="s">
        <v>84</v>
      </c>
      <c r="H350" s="86">
        <v>100.79</v>
      </c>
      <c r="I350" s="86">
        <v>100.79</v>
      </c>
      <c r="J350" s="87">
        <f t="shared" si="2"/>
        <v>0</v>
      </c>
      <c r="K350" s="84" t="str">
        <f t="shared" si="3"/>
        <v>Stabil</v>
      </c>
      <c r="L350" s="84">
        <f t="shared" si="4"/>
        <v>0</v>
      </c>
      <c r="M350" s="88" t="str">
        <f t="shared" si="5"/>
        <v>Perubahan Normal</v>
      </c>
    </row>
    <row r="351" ht="18.75" customHeight="1">
      <c r="A351" s="80" t="s">
        <v>727</v>
      </c>
      <c r="B351" s="81" t="str">
        <f t="shared" si="1"/>
        <v>Kab Badung</v>
      </c>
      <c r="C351" s="81" t="str">
        <f t="array" ref="C351">XLOOKUP(B351,Reference!$A$2:$A$152,Reference!$B$2:$B$152)</f>
        <v>Bali</v>
      </c>
      <c r="D351" s="82" t="s">
        <v>777</v>
      </c>
      <c r="E351" s="83">
        <v>45352.0</v>
      </c>
      <c r="F351" s="84" t="str">
        <f t="array" ref="F351">XLOOKUP(G351,Reference!$F:$F,Reference!$D:$D,"null")</f>
        <v>Rekreasi dan Kendaraan</v>
      </c>
      <c r="G351" s="85" t="s">
        <v>102</v>
      </c>
      <c r="H351" s="86">
        <v>105.54</v>
      </c>
      <c r="I351" s="86">
        <v>105.54</v>
      </c>
      <c r="J351" s="87">
        <f t="shared" si="2"/>
        <v>0</v>
      </c>
      <c r="K351" s="84" t="str">
        <f t="shared" si="3"/>
        <v>Stabil</v>
      </c>
      <c r="L351" s="84">
        <f t="shared" si="4"/>
        <v>0</v>
      </c>
      <c r="M351" s="88" t="str">
        <f t="shared" si="5"/>
        <v>Perubahan Normal</v>
      </c>
    </row>
    <row r="352" ht="18.75" customHeight="1">
      <c r="A352" s="80" t="s">
        <v>594</v>
      </c>
      <c r="B352" s="81" t="str">
        <f t="shared" si="1"/>
        <v>Kota Kendari</v>
      </c>
      <c r="C352" s="81" t="str">
        <f t="array" ref="C352">XLOOKUP(B352,Reference!$A$2:$A$152,Reference!$B$2:$B$152)</f>
        <v>Sulawesi Tenggara</v>
      </c>
      <c r="D352" s="82" t="s">
        <v>778</v>
      </c>
      <c r="E352" s="83">
        <v>45323.0</v>
      </c>
      <c r="F352" s="84" t="str">
        <f t="array" ref="F352">XLOOKUP(G352,Reference!$F:$F,Reference!$D:$D,"null")</f>
        <v>Makanan dan Pakaian </v>
      </c>
      <c r="G352" s="85" t="s">
        <v>48</v>
      </c>
      <c r="H352" s="86">
        <v>103.5</v>
      </c>
      <c r="I352" s="86">
        <v>103.71</v>
      </c>
      <c r="J352" s="87">
        <f t="shared" si="2"/>
        <v>-0.2024877061</v>
      </c>
      <c r="K352" s="84" t="str">
        <f t="shared" si="3"/>
        <v>Deflasi</v>
      </c>
      <c r="L352" s="84">
        <f t="shared" si="4"/>
        <v>-0.21</v>
      </c>
      <c r="M352" s="88" t="str">
        <f t="shared" si="5"/>
        <v>Perubahan Normal</v>
      </c>
    </row>
    <row r="353" ht="18.75" customHeight="1">
      <c r="A353" s="80" t="s">
        <v>526</v>
      </c>
      <c r="B353" s="81" t="str">
        <f t="shared" si="1"/>
        <v>Maumere</v>
      </c>
      <c r="C353" s="81" t="str">
        <f t="array" ref="C353">XLOOKUP(B353,Reference!$A$2:$A$152,Reference!$B$2:$B$152)</f>
        <v>Nusa Tenggara Timur (NTT)</v>
      </c>
      <c r="D353" s="82" t="s">
        <v>779</v>
      </c>
      <c r="E353" s="83">
        <v>45352.0</v>
      </c>
      <c r="F353" s="84" t="str">
        <f t="array" ref="F353">XLOOKUP(G353,Reference!$F:$F,Reference!$D:$D,"null")</f>
        <v>Makanan dan Pakaian </v>
      </c>
      <c r="G353" s="85" t="s">
        <v>56</v>
      </c>
      <c r="H353" s="86">
        <v>107.08</v>
      </c>
      <c r="I353" s="86">
        <v>106.61</v>
      </c>
      <c r="J353" s="87">
        <f t="shared" si="2"/>
        <v>0.4408592065</v>
      </c>
      <c r="K353" s="84" t="str">
        <f t="shared" si="3"/>
        <v>Inflasi Normal</v>
      </c>
      <c r="L353" s="84">
        <f t="shared" si="4"/>
        <v>0.47</v>
      </c>
      <c r="M353" s="88" t="str">
        <f t="shared" si="5"/>
        <v>Perubahan Normal</v>
      </c>
    </row>
    <row r="354" ht="18.75" customHeight="1">
      <c r="A354" s="80" t="s">
        <v>715</v>
      </c>
      <c r="B354" s="81" t="str">
        <f t="shared" si="1"/>
        <v>Kab Bojonegoro</v>
      </c>
      <c r="C354" s="81" t="str">
        <f t="array" ref="C354">XLOOKUP(B354,Reference!$A$2:$A$152,Reference!$B$2:$B$152)</f>
        <v>Jawa Timur</v>
      </c>
      <c r="D354" s="82" t="s">
        <v>780</v>
      </c>
      <c r="E354" s="83">
        <v>45352.0</v>
      </c>
      <c r="F354" s="84" t="str">
        <f t="array" ref="F354">XLOOKUP(G354,Reference!$F:$F,Reference!$D:$D,"null")</f>
        <v>Pendidikan dan Kesehatan</v>
      </c>
      <c r="G354" s="89" t="s">
        <v>95</v>
      </c>
      <c r="H354" s="90">
        <v>101.55</v>
      </c>
      <c r="I354" s="90">
        <v>101.55</v>
      </c>
      <c r="J354" s="87">
        <f t="shared" si="2"/>
        <v>0</v>
      </c>
      <c r="K354" s="84" t="str">
        <f t="shared" si="3"/>
        <v>Stabil</v>
      </c>
      <c r="L354" s="91">
        <f t="shared" si="4"/>
        <v>0</v>
      </c>
      <c r="M354" s="88" t="str">
        <f t="shared" si="5"/>
        <v>Perubahan Normal</v>
      </c>
    </row>
    <row r="355" ht="18.75" customHeight="1">
      <c r="A355" s="80" t="s">
        <v>606</v>
      </c>
      <c r="B355" s="81" t="str">
        <f t="shared" si="1"/>
        <v>Kota Pare Pare</v>
      </c>
      <c r="C355" s="81" t="str">
        <f t="array" ref="C355">XLOOKUP(B355,Reference!$A$2:$A$152,Reference!$B$2:$B$152)</f>
        <v>Sulawesi Selatan</v>
      </c>
      <c r="D355" s="82" t="s">
        <v>781</v>
      </c>
      <c r="E355" s="83">
        <v>45352.0</v>
      </c>
      <c r="F355" s="84" t="str">
        <f t="array" ref="F355">XLOOKUP(G355,Reference!$F:$F,Reference!$D:$D,"null")</f>
        <v>Rumah Tangga</v>
      </c>
      <c r="G355" s="85" t="s">
        <v>89</v>
      </c>
      <c r="H355" s="86">
        <v>102.94</v>
      </c>
      <c r="I355" s="86">
        <v>102.94</v>
      </c>
      <c r="J355" s="87">
        <f t="shared" si="2"/>
        <v>0</v>
      </c>
      <c r="K355" s="84" t="str">
        <f t="shared" si="3"/>
        <v>Stabil</v>
      </c>
      <c r="L355" s="84">
        <f t="shared" si="4"/>
        <v>0</v>
      </c>
      <c r="M355" s="88" t="str">
        <f t="shared" si="5"/>
        <v>Perubahan Normal</v>
      </c>
    </row>
    <row r="356" ht="18.75" customHeight="1">
      <c r="A356" s="80" t="s">
        <v>312</v>
      </c>
      <c r="B356" s="81" t="str">
        <f t="shared" si="1"/>
        <v>Kab Jayawijaya</v>
      </c>
      <c r="C356" s="81" t="str">
        <f t="array" ref="C356">XLOOKUP(B356,Reference!$A$2:$A$152,Reference!$B$2:$B$152)</f>
        <v>Papua</v>
      </c>
      <c r="D356" s="82" t="s">
        <v>782</v>
      </c>
      <c r="E356" s="83">
        <v>45323.0</v>
      </c>
      <c r="F356" s="84" t="str">
        <f t="array" ref="F356">XLOOKUP(G356,Reference!$F:$F,Reference!$D:$D,"null")</f>
        <v>Rekreasi dan Kendaraan</v>
      </c>
      <c r="G356" s="85" t="s">
        <v>105</v>
      </c>
      <c r="H356" s="86">
        <v>99.77</v>
      </c>
      <c r="I356" s="86">
        <v>99.74</v>
      </c>
      <c r="J356" s="87">
        <f t="shared" si="2"/>
        <v>0.03007820333</v>
      </c>
      <c r="K356" s="84" t="str">
        <f t="shared" si="3"/>
        <v>Inflasi Normal</v>
      </c>
      <c r="L356" s="84">
        <f t="shared" si="4"/>
        <v>0.03</v>
      </c>
      <c r="M356" s="88" t="str">
        <f t="shared" si="5"/>
        <v>Perubahan Normal</v>
      </c>
    </row>
    <row r="357" ht="18.75" customHeight="1">
      <c r="A357" s="80" t="s">
        <v>618</v>
      </c>
      <c r="B357" s="81" t="str">
        <f t="shared" si="1"/>
        <v>Kota Tangerang</v>
      </c>
      <c r="C357" s="81" t="str">
        <f t="array" ref="C357">XLOOKUP(B357,Reference!$A$2:$A$152,Reference!$B$2:$B$152)</f>
        <v>Banten</v>
      </c>
      <c r="D357" s="82" t="s">
        <v>783</v>
      </c>
      <c r="E357" s="83">
        <v>45323.0</v>
      </c>
      <c r="F357" s="84" t="str">
        <f t="array" ref="F357">XLOOKUP(G357,Reference!$F:$F,Reference!$D:$D,"null")</f>
        <v>Makanan dan Pakaian </v>
      </c>
      <c r="G357" s="85" t="s">
        <v>64</v>
      </c>
      <c r="H357" s="86">
        <v>103.25</v>
      </c>
      <c r="I357" s="86">
        <v>102.9</v>
      </c>
      <c r="J357" s="87">
        <f t="shared" si="2"/>
        <v>0.3401360544</v>
      </c>
      <c r="K357" s="84" t="str">
        <f t="shared" si="3"/>
        <v>Inflasi Normal</v>
      </c>
      <c r="L357" s="84">
        <f t="shared" si="4"/>
        <v>0.35</v>
      </c>
      <c r="M357" s="88" t="str">
        <f t="shared" si="5"/>
        <v>Perubahan Normal</v>
      </c>
    </row>
    <row r="358" ht="18.75" customHeight="1">
      <c r="A358" s="80" t="s">
        <v>517</v>
      </c>
      <c r="B358" s="81" t="str">
        <f t="shared" si="1"/>
        <v>Kota Kupang</v>
      </c>
      <c r="C358" s="81" t="str">
        <f t="array" ref="C358">XLOOKUP(B358,Reference!$A$2:$A$152,Reference!$B$2:$B$152)</f>
        <v>Nusa Tenggara Timur (NTT)</v>
      </c>
      <c r="D358" s="82" t="s">
        <v>784</v>
      </c>
      <c r="E358" s="83">
        <v>45323.0</v>
      </c>
      <c r="F358" s="84" t="str">
        <f t="array" ref="F358">XLOOKUP(G358,Reference!$F:$F,Reference!$D:$D,"null")</f>
        <v>Rumah Tangga</v>
      </c>
      <c r="G358" s="85" t="s">
        <v>80</v>
      </c>
      <c r="H358" s="86">
        <v>108.79</v>
      </c>
      <c r="I358" s="86">
        <v>108.79</v>
      </c>
      <c r="J358" s="87">
        <f t="shared" si="2"/>
        <v>0</v>
      </c>
      <c r="K358" s="84" t="str">
        <f t="shared" si="3"/>
        <v>Stabil</v>
      </c>
      <c r="L358" s="84">
        <f t="shared" si="4"/>
        <v>0</v>
      </c>
      <c r="M358" s="88" t="str">
        <f t="shared" si="5"/>
        <v>Perubahan Normal</v>
      </c>
    </row>
    <row r="359" ht="18.75" customHeight="1">
      <c r="A359" s="80" t="s">
        <v>478</v>
      </c>
      <c r="B359" s="81" t="str">
        <f t="shared" si="1"/>
        <v>Kab Maluku Tengah</v>
      </c>
      <c r="C359" s="81" t="str">
        <f t="array" ref="C359">XLOOKUP(B359,Reference!$A$2:$A$152,Reference!$B$2:$B$152)</f>
        <v>Maluku</v>
      </c>
      <c r="D359" s="82" t="s">
        <v>785</v>
      </c>
      <c r="E359" s="83">
        <v>45352.0</v>
      </c>
      <c r="F359" s="84" t="str">
        <f t="array" ref="F359">XLOOKUP(G359,Reference!$F:$F,Reference!$D:$D,"null")</f>
        <v>Rumah Tangga</v>
      </c>
      <c r="G359" s="89" t="s">
        <v>80</v>
      </c>
      <c r="H359" s="90">
        <v>100.03</v>
      </c>
      <c r="I359" s="90">
        <v>100.03</v>
      </c>
      <c r="J359" s="87">
        <f t="shared" si="2"/>
        <v>0</v>
      </c>
      <c r="K359" s="84" t="str">
        <f t="shared" si="3"/>
        <v>Stabil</v>
      </c>
      <c r="L359" s="91">
        <f t="shared" si="4"/>
        <v>0</v>
      </c>
      <c r="M359" s="88" t="str">
        <f t="shared" si="5"/>
        <v>Perubahan Normal</v>
      </c>
    </row>
    <row r="360" ht="18.75" customHeight="1">
      <c r="A360" s="80" t="s">
        <v>326</v>
      </c>
      <c r="B360" s="81" t="str">
        <f t="shared" si="1"/>
        <v>Luwuk</v>
      </c>
      <c r="C360" s="81" t="str">
        <f t="array" ref="C360">XLOOKUP(B360,Reference!$A$2:$A$152,Reference!$B$2:$B$152)</f>
        <v>Sulawesi Tengah</v>
      </c>
      <c r="D360" s="82" t="s">
        <v>786</v>
      </c>
      <c r="E360" s="83">
        <v>45323.0</v>
      </c>
      <c r="F360" s="84" t="str">
        <f t="array" ref="F360">XLOOKUP(G360,Reference!$F:$F,Reference!$D:$D,"null")</f>
        <v>Rumah Tangga</v>
      </c>
      <c r="G360" s="85" t="s">
        <v>89</v>
      </c>
      <c r="H360" s="86">
        <v>100.17</v>
      </c>
      <c r="I360" s="86">
        <v>99.9</v>
      </c>
      <c r="J360" s="87">
        <f t="shared" si="2"/>
        <v>0.2702702703</v>
      </c>
      <c r="K360" s="84" t="str">
        <f t="shared" si="3"/>
        <v>Inflasi Normal</v>
      </c>
      <c r="L360" s="84">
        <f t="shared" si="4"/>
        <v>0.27</v>
      </c>
      <c r="M360" s="88" t="str">
        <f t="shared" si="5"/>
        <v>Perubahan Normal</v>
      </c>
    </row>
    <row r="361" ht="18.75" customHeight="1">
      <c r="A361" s="80" t="s">
        <v>497</v>
      </c>
      <c r="B361" s="81" t="str">
        <f t="shared" si="1"/>
        <v>Tanjung Pandan</v>
      </c>
      <c r="C361" s="81" t="str">
        <f t="array" ref="C361">XLOOKUP(B361,Reference!$A$2:$A$152,Reference!$B$2:$B$152)</f>
        <v>Kepulauan Bangka Belitung</v>
      </c>
      <c r="D361" s="82" t="s">
        <v>787</v>
      </c>
      <c r="E361" s="83">
        <v>45323.0</v>
      </c>
      <c r="F361" s="84" t="str">
        <f t="array" ref="F361">XLOOKUP(G361,Reference!$F:$F,Reference!$D:$D,"null")</f>
        <v>Rumah Tangga</v>
      </c>
      <c r="G361" s="85" t="s">
        <v>80</v>
      </c>
      <c r="H361" s="86">
        <v>100.14</v>
      </c>
      <c r="I361" s="86">
        <v>100.14</v>
      </c>
      <c r="J361" s="87">
        <f t="shared" si="2"/>
        <v>0</v>
      </c>
      <c r="K361" s="84" t="str">
        <f t="shared" si="3"/>
        <v>Stabil</v>
      </c>
      <c r="L361" s="84">
        <f t="shared" si="4"/>
        <v>0</v>
      </c>
      <c r="M361" s="88" t="str">
        <f t="shared" si="5"/>
        <v>Perubahan Normal</v>
      </c>
    </row>
    <row r="362" ht="18.75" customHeight="1">
      <c r="A362" s="80" t="s">
        <v>324</v>
      </c>
      <c r="B362" s="81" t="str">
        <f t="shared" si="1"/>
        <v>Kab Nunukan</v>
      </c>
      <c r="C362" s="81" t="str">
        <f t="array" ref="C362">XLOOKUP(B362,Reference!$A$2:$A$152,Reference!$B$2:$B$152)</f>
        <v>Kalimantan Utara</v>
      </c>
      <c r="D362" s="82" t="s">
        <v>788</v>
      </c>
      <c r="E362" s="83">
        <v>45323.0</v>
      </c>
      <c r="F362" s="84" t="str">
        <f t="array" ref="F362">XLOOKUP(G362,Reference!$F:$F,Reference!$D:$D,"null")</f>
        <v>Rekreasi dan Kendaraan</v>
      </c>
      <c r="G362" s="85" t="s">
        <v>105</v>
      </c>
      <c r="H362" s="86">
        <v>104.59</v>
      </c>
      <c r="I362" s="86">
        <v>104.59</v>
      </c>
      <c r="J362" s="87">
        <f t="shared" si="2"/>
        <v>0</v>
      </c>
      <c r="K362" s="84" t="str">
        <f t="shared" si="3"/>
        <v>Stabil</v>
      </c>
      <c r="L362" s="84">
        <f t="shared" si="4"/>
        <v>0</v>
      </c>
      <c r="M362" s="88" t="str">
        <f t="shared" si="5"/>
        <v>Perubahan Normal</v>
      </c>
    </row>
    <row r="363" ht="18.75" customHeight="1">
      <c r="A363" s="80" t="s">
        <v>306</v>
      </c>
      <c r="B363" s="81" t="str">
        <f t="shared" si="1"/>
        <v>Kota Padang</v>
      </c>
      <c r="C363" s="81" t="str">
        <f t="array" ref="C363">XLOOKUP(B363,Reference!$A$2:$A$152,Reference!$B$2:$B$152)</f>
        <v>Sumatera Barat</v>
      </c>
      <c r="D363" s="82" t="s">
        <v>789</v>
      </c>
      <c r="E363" s="83">
        <v>45323.0</v>
      </c>
      <c r="F363" s="84" t="str">
        <f t="array" ref="F363">XLOOKUP(G363,Reference!$F:$F,Reference!$D:$D,"null")</f>
        <v>Makanan dan Pakaian </v>
      </c>
      <c r="G363" s="85" t="s">
        <v>48</v>
      </c>
      <c r="H363" s="86">
        <v>112.36</v>
      </c>
      <c r="I363" s="86">
        <v>108.95</v>
      </c>
      <c r="J363" s="87">
        <f t="shared" si="2"/>
        <v>3.12987609</v>
      </c>
      <c r="K363" s="84" t="str">
        <f t="shared" si="3"/>
        <v>Inflasi Tinggi</v>
      </c>
      <c r="L363" s="84">
        <f t="shared" si="4"/>
        <v>3.41</v>
      </c>
      <c r="M363" s="88" t="str">
        <f t="shared" si="5"/>
        <v>Akselerasi Kuat</v>
      </c>
    </row>
    <row r="364" ht="18.75" customHeight="1">
      <c r="A364" s="80" t="s">
        <v>764</v>
      </c>
      <c r="B364" s="81" t="str">
        <f t="shared" si="1"/>
        <v>Kota Madiun</v>
      </c>
      <c r="C364" s="81" t="str">
        <f t="array" ref="C364">XLOOKUP(B364,Reference!$A$2:$A$152,Reference!$B$2:$B$152)</f>
        <v>Jawa Timur</v>
      </c>
      <c r="D364" s="82" t="s">
        <v>790</v>
      </c>
      <c r="E364" s="83">
        <v>45352.0</v>
      </c>
      <c r="F364" s="84" t="str">
        <f t="array" ref="F364">XLOOKUP(G364,Reference!$F:$F,Reference!$D:$D,"null")</f>
        <v>Pendidikan dan Kesehatan</v>
      </c>
      <c r="G364" s="85" t="s">
        <v>98</v>
      </c>
      <c r="H364" s="86">
        <v>103.22</v>
      </c>
      <c r="I364" s="86">
        <v>103.15</v>
      </c>
      <c r="J364" s="87">
        <f t="shared" si="2"/>
        <v>0.0678623364</v>
      </c>
      <c r="K364" s="84" t="str">
        <f t="shared" si="3"/>
        <v>Inflasi Normal</v>
      </c>
      <c r="L364" s="84">
        <f t="shared" si="4"/>
        <v>0.07</v>
      </c>
      <c r="M364" s="88" t="str">
        <f t="shared" si="5"/>
        <v>Perubahan Normal</v>
      </c>
    </row>
    <row r="365" ht="18.75" customHeight="1">
      <c r="A365" s="80" t="s">
        <v>642</v>
      </c>
      <c r="B365" s="81" t="str">
        <f t="shared" si="1"/>
        <v>Kota Bandar Lampung</v>
      </c>
      <c r="C365" s="81" t="str">
        <f t="array" ref="C365">XLOOKUP(B365,Reference!$A$2:$A$152,Reference!$B$2:$B$152)</f>
        <v>Lampung</v>
      </c>
      <c r="D365" s="82" t="s">
        <v>791</v>
      </c>
      <c r="E365" s="83">
        <v>45323.0</v>
      </c>
      <c r="F365" s="84" t="str">
        <f t="array" ref="F365">XLOOKUP(G365,Reference!$F:$F,Reference!$D:$D,"null")</f>
        <v>Rumah Tangga</v>
      </c>
      <c r="G365" s="85" t="s">
        <v>84</v>
      </c>
      <c r="H365" s="86">
        <v>100.23</v>
      </c>
      <c r="I365" s="86">
        <v>100.23</v>
      </c>
      <c r="J365" s="87">
        <f t="shared" si="2"/>
        <v>0</v>
      </c>
      <c r="K365" s="84" t="str">
        <f t="shared" si="3"/>
        <v>Stabil</v>
      </c>
      <c r="L365" s="84">
        <f t="shared" si="4"/>
        <v>0</v>
      </c>
      <c r="M365" s="88" t="str">
        <f t="shared" si="5"/>
        <v>Perubahan Normal</v>
      </c>
    </row>
    <row r="366" ht="18.75" customHeight="1">
      <c r="A366" s="80" t="s">
        <v>512</v>
      </c>
      <c r="B366" s="81" t="str">
        <f t="shared" si="1"/>
        <v>Kota Palu</v>
      </c>
      <c r="C366" s="81" t="str">
        <f t="array" ref="C366">XLOOKUP(B366,Reference!$A$2:$A$152,Reference!$B$2:$B$152)</f>
        <v>Sulawesi Tengah</v>
      </c>
      <c r="D366" s="82" t="s">
        <v>792</v>
      </c>
      <c r="E366" s="83">
        <v>45352.0</v>
      </c>
      <c r="F366" s="84" t="str">
        <f t="array" ref="F366">XLOOKUP(G366,Reference!$F:$F,Reference!$D:$D,"null")</f>
        <v>Rekreasi dan Kendaraan</v>
      </c>
      <c r="G366" s="85" t="s">
        <v>102</v>
      </c>
      <c r="H366" s="86">
        <v>103.86</v>
      </c>
      <c r="I366" s="86">
        <v>103.85</v>
      </c>
      <c r="J366" s="87">
        <f t="shared" si="2"/>
        <v>0.00962927299</v>
      </c>
      <c r="K366" s="84" t="str">
        <f t="shared" si="3"/>
        <v>Inflasi Normal</v>
      </c>
      <c r="L366" s="84">
        <f t="shared" si="4"/>
        <v>0.01</v>
      </c>
      <c r="M366" s="88" t="str">
        <f t="shared" si="5"/>
        <v>Perubahan Normal</v>
      </c>
    </row>
    <row r="367" ht="18.75" customHeight="1">
      <c r="A367" s="80" t="s">
        <v>642</v>
      </c>
      <c r="B367" s="81" t="str">
        <f t="shared" si="1"/>
        <v>Kota Bandar Lampung</v>
      </c>
      <c r="C367" s="81" t="str">
        <f t="array" ref="C367">XLOOKUP(B367,Reference!$A$2:$A$152,Reference!$B$2:$B$152)</f>
        <v>Lampung</v>
      </c>
      <c r="D367" s="82" t="s">
        <v>793</v>
      </c>
      <c r="E367" s="83">
        <v>45323.0</v>
      </c>
      <c r="F367" s="84" t="str">
        <f t="array" ref="F367">XLOOKUP(G367,Reference!$F:$F,Reference!$D:$D,"null")</f>
        <v>Rekreasi dan Kendaraan</v>
      </c>
      <c r="G367" s="85" t="s">
        <v>102</v>
      </c>
      <c r="H367" s="86">
        <v>101.33</v>
      </c>
      <c r="I367" s="86">
        <v>100.29</v>
      </c>
      <c r="J367" s="87">
        <f t="shared" si="2"/>
        <v>1.036992721</v>
      </c>
      <c r="K367" s="84" t="str">
        <f t="shared" si="3"/>
        <v>Inflasi Tinggi</v>
      </c>
      <c r="L367" s="84">
        <f t="shared" si="4"/>
        <v>1.04</v>
      </c>
      <c r="M367" s="88" t="str">
        <f t="shared" si="5"/>
        <v>Akselerasi Persentase</v>
      </c>
    </row>
    <row r="368" ht="18.75" customHeight="1">
      <c r="A368" s="80" t="s">
        <v>431</v>
      </c>
      <c r="B368" s="81" t="str">
        <f t="shared" si="1"/>
        <v>Kota Ternate</v>
      </c>
      <c r="C368" s="81" t="str">
        <f t="array" ref="C368">XLOOKUP(B368,Reference!$A$2:$A$152,Reference!$B$2:$B$152)</f>
        <v>Maluku Utara</v>
      </c>
      <c r="D368" s="82" t="s">
        <v>794</v>
      </c>
      <c r="E368" s="83">
        <v>45352.0</v>
      </c>
      <c r="F368" s="84" t="str">
        <f t="array" ref="F368">XLOOKUP(G368,Reference!$F:$F,Reference!$D:$D,"null")</f>
        <v>Makanan dan Pakaian </v>
      </c>
      <c r="G368" s="85" t="s">
        <v>56</v>
      </c>
      <c r="H368" s="86">
        <v>106.99</v>
      </c>
      <c r="I368" s="86">
        <v>107.97</v>
      </c>
      <c r="J368" s="87">
        <f t="shared" si="2"/>
        <v>-0.9076595351</v>
      </c>
      <c r="K368" s="84" t="str">
        <f t="shared" si="3"/>
        <v>Deflasi</v>
      </c>
      <c r="L368" s="84">
        <f t="shared" si="4"/>
        <v>-0.98</v>
      </c>
      <c r="M368" s="88" t="str">
        <f t="shared" si="5"/>
        <v>Perubahan Normal</v>
      </c>
    </row>
    <row r="369" ht="18.75" customHeight="1">
      <c r="A369" s="80" t="s">
        <v>764</v>
      </c>
      <c r="B369" s="81" t="str">
        <f t="shared" si="1"/>
        <v>Kota Madiun</v>
      </c>
      <c r="C369" s="81" t="str">
        <f t="array" ref="C369">XLOOKUP(B369,Reference!$A$2:$A$152,Reference!$B$2:$B$152)</f>
        <v>Jawa Timur</v>
      </c>
      <c r="D369" s="82" t="s">
        <v>795</v>
      </c>
      <c r="E369" s="83">
        <v>45323.0</v>
      </c>
      <c r="F369" s="84" t="str">
        <f t="array" ref="F369">XLOOKUP(G369,Reference!$F:$F,Reference!$D:$D,"null")</f>
        <v>Pendidikan dan Kesehatan</v>
      </c>
      <c r="G369" s="85" t="s">
        <v>95</v>
      </c>
      <c r="H369" s="86">
        <v>102.22</v>
      </c>
      <c r="I369" s="86">
        <v>102.22</v>
      </c>
      <c r="J369" s="87">
        <f t="shared" si="2"/>
        <v>0</v>
      </c>
      <c r="K369" s="84" t="str">
        <f t="shared" si="3"/>
        <v>Stabil</v>
      </c>
      <c r="L369" s="84">
        <f t="shared" si="4"/>
        <v>0</v>
      </c>
      <c r="M369" s="88" t="str">
        <f t="shared" si="5"/>
        <v>Perubahan Normal</v>
      </c>
    </row>
    <row r="370" ht="18.75" customHeight="1">
      <c r="A370" s="80" t="s">
        <v>404</v>
      </c>
      <c r="B370" s="81" t="str">
        <f t="shared" si="1"/>
        <v>Kab Mesuji</v>
      </c>
      <c r="C370" s="81" t="str">
        <f t="array" ref="C370">XLOOKUP(B370,Reference!$A$2:$A$152,Reference!$B$2:$B$152)</f>
        <v>Lampung</v>
      </c>
      <c r="D370" s="82" t="s">
        <v>796</v>
      </c>
      <c r="E370" s="83">
        <v>45323.0</v>
      </c>
      <c r="F370" s="84" t="str">
        <f t="array" ref="F370">XLOOKUP(G370,Reference!$F:$F,Reference!$D:$D,"null")</f>
        <v>Rekreasi dan Kendaraan</v>
      </c>
      <c r="G370" s="85" t="s">
        <v>105</v>
      </c>
      <c r="H370" s="86">
        <v>97.9</v>
      </c>
      <c r="I370" s="86">
        <v>97.9</v>
      </c>
      <c r="J370" s="87">
        <f t="shared" si="2"/>
        <v>0</v>
      </c>
      <c r="K370" s="84" t="str">
        <f t="shared" si="3"/>
        <v>Stabil</v>
      </c>
      <c r="L370" s="84">
        <f t="shared" si="4"/>
        <v>0</v>
      </c>
      <c r="M370" s="88" t="str">
        <f t="shared" si="5"/>
        <v>Perubahan Normal</v>
      </c>
    </row>
    <row r="371" ht="18.75" customHeight="1">
      <c r="A371" s="80" t="s">
        <v>584</v>
      </c>
      <c r="B371" s="81" t="str">
        <f t="shared" si="1"/>
        <v>Kota Sibolga</v>
      </c>
      <c r="C371" s="81" t="str">
        <f t="array" ref="C371">XLOOKUP(B371,Reference!$A$2:$A$152,Reference!$B$2:$B$152)</f>
        <v>Sumatera Utara</v>
      </c>
      <c r="D371" s="82" t="s">
        <v>797</v>
      </c>
      <c r="E371" s="83">
        <v>45352.0</v>
      </c>
      <c r="F371" s="84" t="str">
        <f t="array" ref="F371">XLOOKUP(G371,Reference!$F:$F,Reference!$D:$D,"null")</f>
        <v>Makanan dan Pakaian </v>
      </c>
      <c r="G371" s="85" t="s">
        <v>72</v>
      </c>
      <c r="H371" s="86">
        <v>105.5</v>
      </c>
      <c r="I371" s="86">
        <v>104.35</v>
      </c>
      <c r="J371" s="87">
        <f t="shared" si="2"/>
        <v>1.102060374</v>
      </c>
      <c r="K371" s="84" t="str">
        <f t="shared" si="3"/>
        <v>Inflasi Tinggi</v>
      </c>
      <c r="L371" s="84">
        <f t="shared" si="4"/>
        <v>1.15</v>
      </c>
      <c r="M371" s="88" t="str">
        <f t="shared" si="5"/>
        <v>Akselerasi Persentase</v>
      </c>
    </row>
    <row r="372" ht="18.75" customHeight="1">
      <c r="A372" s="80" t="s">
        <v>326</v>
      </c>
      <c r="B372" s="81" t="str">
        <f t="shared" si="1"/>
        <v>Luwuk</v>
      </c>
      <c r="C372" s="81" t="str">
        <f t="array" ref="C372">XLOOKUP(B372,Reference!$A$2:$A$152,Reference!$B$2:$B$152)</f>
        <v>Sulawesi Tengah</v>
      </c>
      <c r="D372" s="82" t="s">
        <v>798</v>
      </c>
      <c r="E372" s="83">
        <v>45323.0</v>
      </c>
      <c r="F372" s="84" t="str">
        <f t="array" ref="F372">XLOOKUP(G372,Reference!$F:$F,Reference!$D:$D,"null")</f>
        <v>Makanan dan Pakaian </v>
      </c>
      <c r="G372" s="85" t="s">
        <v>64</v>
      </c>
      <c r="H372" s="86">
        <v>100.28</v>
      </c>
      <c r="I372" s="86">
        <v>98.69</v>
      </c>
      <c r="J372" s="87">
        <f t="shared" si="2"/>
        <v>1.611105482</v>
      </c>
      <c r="K372" s="84" t="str">
        <f t="shared" si="3"/>
        <v>Inflasi Tinggi</v>
      </c>
      <c r="L372" s="84">
        <f t="shared" si="4"/>
        <v>1.59</v>
      </c>
      <c r="M372" s="88" t="str">
        <f t="shared" si="5"/>
        <v>Akselerasi Persentase</v>
      </c>
    </row>
    <row r="373" ht="18.75" customHeight="1">
      <c r="A373" s="80" t="s">
        <v>680</v>
      </c>
      <c r="B373" s="81" t="str">
        <f t="shared" si="1"/>
        <v>Kota Pekanbaru</v>
      </c>
      <c r="C373" s="81" t="str">
        <f t="array" ref="C373">XLOOKUP(B373,Reference!$A$2:$A$152,Reference!$B$2:$B$152)</f>
        <v>Riau</v>
      </c>
      <c r="D373" s="82" t="s">
        <v>799</v>
      </c>
      <c r="E373" s="83">
        <v>45352.0</v>
      </c>
      <c r="F373" s="84" t="str">
        <f t="array" ref="F373">XLOOKUP(G373,Reference!$F:$F,Reference!$D:$D,"null")</f>
        <v>Pendidikan dan Kesehatan</v>
      </c>
      <c r="G373" s="89" t="s">
        <v>95</v>
      </c>
      <c r="H373" s="90">
        <v>102.38</v>
      </c>
      <c r="I373" s="90">
        <v>101.59</v>
      </c>
      <c r="J373" s="87">
        <f t="shared" si="2"/>
        <v>0.7776355941</v>
      </c>
      <c r="K373" s="84" t="str">
        <f t="shared" si="3"/>
        <v>Inflasi Tinggi</v>
      </c>
      <c r="L373" s="91">
        <f t="shared" si="4"/>
        <v>0.79</v>
      </c>
      <c r="M373" s="88" t="str">
        <f t="shared" si="5"/>
        <v>Akselerasi Persentase</v>
      </c>
    </row>
    <row r="374" ht="18.75" customHeight="1">
      <c r="A374" s="80" t="s">
        <v>631</v>
      </c>
      <c r="B374" s="81" t="str">
        <f t="shared" si="1"/>
        <v>Kab Toli Toli</v>
      </c>
      <c r="C374" s="81" t="str">
        <f t="array" ref="C374">XLOOKUP(B374,Reference!$A$2:$A$152,Reference!$B$2:$B$152)</f>
        <v>Sulawesi Tengah</v>
      </c>
      <c r="D374" s="82" t="s">
        <v>800</v>
      </c>
      <c r="E374" s="83">
        <v>45323.0</v>
      </c>
      <c r="F374" s="84" t="str">
        <f t="array" ref="F374">XLOOKUP(G374,Reference!$F:$F,Reference!$D:$D,"null")</f>
        <v>Rumah Tangga</v>
      </c>
      <c r="G374" s="85" t="s">
        <v>89</v>
      </c>
      <c r="H374" s="86">
        <v>85.45</v>
      </c>
      <c r="I374" s="86">
        <v>85.45</v>
      </c>
      <c r="J374" s="87">
        <f t="shared" si="2"/>
        <v>0</v>
      </c>
      <c r="K374" s="84" t="str">
        <f t="shared" si="3"/>
        <v>Stabil</v>
      </c>
      <c r="L374" s="84">
        <f t="shared" si="4"/>
        <v>0</v>
      </c>
      <c r="M374" s="88" t="str">
        <f t="shared" si="5"/>
        <v>Perubahan Normal</v>
      </c>
    </row>
    <row r="375" ht="18.75" customHeight="1">
      <c r="A375" s="80" t="s">
        <v>573</v>
      </c>
      <c r="B375" s="81" t="str">
        <f t="shared" si="1"/>
        <v>Kota Palangkaraya</v>
      </c>
      <c r="C375" s="81" t="str">
        <f t="array" ref="C375">XLOOKUP(B375,Reference!$A$2:$A$152,Reference!$B$2:$B$152)</f>
        <v>Kalimantan Tengah</v>
      </c>
      <c r="D375" s="82" t="s">
        <v>801</v>
      </c>
      <c r="E375" s="83">
        <v>45352.0</v>
      </c>
      <c r="F375" s="84" t="str">
        <f t="array" ref="F375">XLOOKUP(G375,Reference!$F:$F,Reference!$D:$D,"null")</f>
        <v>Rumah Tangga</v>
      </c>
      <c r="G375" s="85" t="s">
        <v>84</v>
      </c>
      <c r="H375" s="86">
        <v>98.98</v>
      </c>
      <c r="I375" s="86">
        <v>99.08</v>
      </c>
      <c r="J375" s="87">
        <f t="shared" si="2"/>
        <v>-0.1009285426</v>
      </c>
      <c r="K375" s="84" t="str">
        <f t="shared" si="3"/>
        <v>Deflasi</v>
      </c>
      <c r="L375" s="84">
        <f t="shared" si="4"/>
        <v>-0.1</v>
      </c>
      <c r="M375" s="88" t="str">
        <f t="shared" si="5"/>
        <v>Perubahan Normal</v>
      </c>
    </row>
    <row r="376" ht="18.75" customHeight="1">
      <c r="A376" s="80" t="s">
        <v>320</v>
      </c>
      <c r="B376" s="81" t="str">
        <f t="shared" si="1"/>
        <v>Kota Manado</v>
      </c>
      <c r="C376" s="81" t="str">
        <f t="array" ref="C376">XLOOKUP(B376,Reference!$A$2:$A$152,Reference!$B$2:$B$152)</f>
        <v>Sulawesi Utara</v>
      </c>
      <c r="D376" s="82" t="s">
        <v>802</v>
      </c>
      <c r="E376" s="83">
        <v>45323.0</v>
      </c>
      <c r="F376" s="84" t="str">
        <f t="array" ref="F376">XLOOKUP(G376,Reference!$F:$F,Reference!$D:$D,"null")</f>
        <v>Makanan dan Pakaian </v>
      </c>
      <c r="G376" s="89" t="s">
        <v>64</v>
      </c>
      <c r="H376" s="90">
        <v>102.96</v>
      </c>
      <c r="I376" s="90">
        <v>102.82</v>
      </c>
      <c r="J376" s="87">
        <f t="shared" si="2"/>
        <v>0.1361602801</v>
      </c>
      <c r="K376" s="84" t="str">
        <f t="shared" si="3"/>
        <v>Inflasi Normal</v>
      </c>
      <c r="L376" s="91">
        <f t="shared" si="4"/>
        <v>0.14</v>
      </c>
      <c r="M376" s="88" t="str">
        <f t="shared" si="5"/>
        <v>Perubahan Normal</v>
      </c>
    </row>
    <row r="377" ht="18.75" customHeight="1">
      <c r="A377" s="80" t="s">
        <v>505</v>
      </c>
      <c r="B377" s="81" t="str">
        <f t="shared" si="1"/>
        <v>Kota Denpasar</v>
      </c>
      <c r="C377" s="81" t="str">
        <f t="array" ref="C377">XLOOKUP(B377,Reference!$A$2:$A$152,Reference!$B$2:$B$152)</f>
        <v>Bali</v>
      </c>
      <c r="D377" s="82" t="s">
        <v>803</v>
      </c>
      <c r="E377" s="83">
        <v>45352.0</v>
      </c>
      <c r="F377" s="84" t="str">
        <f t="array" ref="F377">XLOOKUP(G377,Reference!$F:$F,Reference!$D:$D,"null")</f>
        <v>Pendidikan dan Kesehatan</v>
      </c>
      <c r="G377" s="85" t="s">
        <v>95</v>
      </c>
      <c r="H377" s="86">
        <v>107.63</v>
      </c>
      <c r="I377" s="86">
        <v>107.59</v>
      </c>
      <c r="J377" s="87">
        <f t="shared" si="2"/>
        <v>0.03717817641</v>
      </c>
      <c r="K377" s="84" t="str">
        <f t="shared" si="3"/>
        <v>Inflasi Normal</v>
      </c>
      <c r="L377" s="84">
        <f t="shared" si="4"/>
        <v>0.04</v>
      </c>
      <c r="M377" s="88" t="str">
        <f t="shared" si="5"/>
        <v>Perubahan Normal</v>
      </c>
    </row>
    <row r="378" ht="18.75" customHeight="1">
      <c r="A378" s="80" t="s">
        <v>634</v>
      </c>
      <c r="B378" s="81" t="str">
        <f t="shared" si="1"/>
        <v>Kota Depok</v>
      </c>
      <c r="C378" s="81" t="str">
        <f t="array" ref="C378">XLOOKUP(B378,Reference!$A$2:$A$152,Reference!$B$2:$B$152)</f>
        <v>Jawa Barat</v>
      </c>
      <c r="D378" s="82" t="s">
        <v>804</v>
      </c>
      <c r="E378" s="83">
        <v>45352.0</v>
      </c>
      <c r="F378" s="84" t="str">
        <f t="array" ref="F378">XLOOKUP(G378,Reference!$F:$F,Reference!$D:$D,"null")</f>
        <v>Pendidikan dan Kesehatan</v>
      </c>
      <c r="G378" s="85" t="s">
        <v>98</v>
      </c>
      <c r="H378" s="86">
        <v>102.98</v>
      </c>
      <c r="I378" s="86">
        <v>102.87</v>
      </c>
      <c r="J378" s="87">
        <f t="shared" si="2"/>
        <v>0.1069310781</v>
      </c>
      <c r="K378" s="84" t="str">
        <f t="shared" si="3"/>
        <v>Inflasi Normal</v>
      </c>
      <c r="L378" s="84">
        <f t="shared" si="4"/>
        <v>0.11</v>
      </c>
      <c r="M378" s="88" t="str">
        <f t="shared" si="5"/>
        <v>Perubahan Normal</v>
      </c>
    </row>
    <row r="379" ht="18.75" customHeight="1">
      <c r="A379" s="80" t="s">
        <v>425</v>
      </c>
      <c r="B379" s="81" t="str">
        <f t="shared" si="1"/>
        <v>Kab Gorontalo</v>
      </c>
      <c r="C379" s="81" t="str">
        <f t="array" ref="C379">XLOOKUP(B379,Reference!$A$2:$A$152,Reference!$B$2:$B$152)</f>
        <v>Gorontalo</v>
      </c>
      <c r="D379" s="82" t="s">
        <v>805</v>
      </c>
      <c r="E379" s="83">
        <v>45323.0</v>
      </c>
      <c r="F379" s="84" t="str">
        <f t="array" ref="F379">XLOOKUP(G379,Reference!$F:$F,Reference!$D:$D,"null")</f>
        <v>Rumah Tangga</v>
      </c>
      <c r="G379" s="85" t="s">
        <v>84</v>
      </c>
      <c r="H379" s="86">
        <v>104.72</v>
      </c>
      <c r="I379" s="86">
        <v>104.72</v>
      </c>
      <c r="J379" s="87">
        <f t="shared" si="2"/>
        <v>0</v>
      </c>
      <c r="K379" s="84" t="str">
        <f t="shared" si="3"/>
        <v>Stabil</v>
      </c>
      <c r="L379" s="84">
        <f t="shared" si="4"/>
        <v>0</v>
      </c>
      <c r="M379" s="88" t="str">
        <f t="shared" si="5"/>
        <v>Perubahan Normal</v>
      </c>
    </row>
    <row r="380" ht="18.75" customHeight="1">
      <c r="A380" s="80" t="s">
        <v>806</v>
      </c>
      <c r="B380" s="81" t="str">
        <f t="shared" si="1"/>
        <v>Kab Subang</v>
      </c>
      <c r="C380" s="81" t="str">
        <f t="array" ref="C380">XLOOKUP(B380,Reference!$A$2:$A$152,Reference!$B$2:$B$152)</f>
        <v>Jawa Barat</v>
      </c>
      <c r="D380" s="82" t="s">
        <v>807</v>
      </c>
      <c r="E380" s="83">
        <v>45352.0</v>
      </c>
      <c r="F380" s="84" t="str">
        <f t="array" ref="F380">XLOOKUP(G380,Reference!$F:$F,Reference!$D:$D,"null")</f>
        <v>Rumah Tangga</v>
      </c>
      <c r="G380" s="85" t="s">
        <v>89</v>
      </c>
      <c r="H380" s="86">
        <v>102.49</v>
      </c>
      <c r="I380" s="86">
        <v>102.49</v>
      </c>
      <c r="J380" s="87">
        <f t="shared" si="2"/>
        <v>0</v>
      </c>
      <c r="K380" s="84" t="str">
        <f t="shared" si="3"/>
        <v>Stabil</v>
      </c>
      <c r="L380" s="84">
        <f t="shared" si="4"/>
        <v>0</v>
      </c>
      <c r="M380" s="88" t="str">
        <f t="shared" si="5"/>
        <v>Perubahan Normal</v>
      </c>
    </row>
    <row r="381" ht="18.75" customHeight="1">
      <c r="A381" s="80" t="s">
        <v>360</v>
      </c>
      <c r="B381" s="81" t="str">
        <f t="shared" si="1"/>
        <v>Kab Wonosobo</v>
      </c>
      <c r="C381" s="81" t="str">
        <f t="array" ref="C381">XLOOKUP(B381,Reference!$A$2:$A$152,Reference!$B$2:$B$152)</f>
        <v>Jawa Tengah</v>
      </c>
      <c r="D381" s="82" t="s">
        <v>808</v>
      </c>
      <c r="E381" s="83">
        <v>45352.0</v>
      </c>
      <c r="F381" s="84" t="str">
        <f t="array" ref="F381">XLOOKUP(G381,Reference!$F:$F,Reference!$D:$D,"null")</f>
        <v>Makanan dan Pakaian </v>
      </c>
      <c r="G381" s="89" t="s">
        <v>48</v>
      </c>
      <c r="H381" s="90">
        <v>118.34</v>
      </c>
      <c r="I381" s="90">
        <v>115.17</v>
      </c>
      <c r="J381" s="87">
        <f t="shared" si="2"/>
        <v>2.752452896</v>
      </c>
      <c r="K381" s="84" t="str">
        <f t="shared" si="3"/>
        <v>Inflasi Tinggi</v>
      </c>
      <c r="L381" s="91">
        <f t="shared" si="4"/>
        <v>3.17</v>
      </c>
      <c r="M381" s="88" t="str">
        <f t="shared" si="5"/>
        <v>Akselerasi Kuat</v>
      </c>
    </row>
    <row r="382" ht="18.75" customHeight="1">
      <c r="A382" s="80" t="s">
        <v>312</v>
      </c>
      <c r="B382" s="81" t="str">
        <f t="shared" si="1"/>
        <v>Kab Jayawijaya</v>
      </c>
      <c r="C382" s="81" t="str">
        <f t="array" ref="C382">XLOOKUP(B382,Reference!$A$2:$A$152,Reference!$B$2:$B$152)</f>
        <v>Papua</v>
      </c>
      <c r="D382" s="82" t="s">
        <v>809</v>
      </c>
      <c r="E382" s="83">
        <v>45352.0</v>
      </c>
      <c r="F382" s="84" t="str">
        <f t="array" ref="F382">XLOOKUP(G382,Reference!$F:$F,Reference!$D:$D,"null")</f>
        <v>Makanan dan Pakaian </v>
      </c>
      <c r="G382" s="85" t="s">
        <v>56</v>
      </c>
      <c r="H382" s="86">
        <v>99.01</v>
      </c>
      <c r="I382" s="86">
        <v>99.02</v>
      </c>
      <c r="J382" s="87">
        <f t="shared" si="2"/>
        <v>-0.01009896991</v>
      </c>
      <c r="K382" s="84" t="str">
        <f t="shared" si="3"/>
        <v>Deflasi</v>
      </c>
      <c r="L382" s="84">
        <f t="shared" si="4"/>
        <v>-0.01</v>
      </c>
      <c r="M382" s="88" t="str">
        <f t="shared" si="5"/>
        <v>Perubahan Normal</v>
      </c>
    </row>
    <row r="383" ht="18.75" customHeight="1">
      <c r="A383" s="80" t="s">
        <v>358</v>
      </c>
      <c r="B383" s="81" t="str">
        <f t="shared" si="1"/>
        <v>Kab Minahasa Utara</v>
      </c>
      <c r="C383" s="81" t="str">
        <f t="array" ref="C383">XLOOKUP(B383,Reference!$A$2:$A$152,Reference!$B$2:$B$152)</f>
        <v>Sulawesi Utara</v>
      </c>
      <c r="D383" s="82" t="s">
        <v>810</v>
      </c>
      <c r="E383" s="83">
        <v>45352.0</v>
      </c>
      <c r="F383" s="84" t="str">
        <f t="array" ref="F383">XLOOKUP(G383,Reference!$F:$F,Reference!$D:$D,"null")</f>
        <v>Rumah Tangga</v>
      </c>
      <c r="G383" s="85" t="s">
        <v>89</v>
      </c>
      <c r="H383" s="86">
        <v>101.5</v>
      </c>
      <c r="I383" s="86">
        <v>101.38</v>
      </c>
      <c r="J383" s="87">
        <f t="shared" si="2"/>
        <v>0.1183665417</v>
      </c>
      <c r="K383" s="84" t="str">
        <f t="shared" si="3"/>
        <v>Inflasi Normal</v>
      </c>
      <c r="L383" s="84">
        <f t="shared" si="4"/>
        <v>0.12</v>
      </c>
      <c r="M383" s="88" t="str">
        <f t="shared" si="5"/>
        <v>Perubahan Normal</v>
      </c>
    </row>
    <row r="384" ht="18.75" customHeight="1">
      <c r="A384" s="80" t="s">
        <v>351</v>
      </c>
      <c r="B384" s="81" t="str">
        <f t="shared" si="1"/>
        <v>Kota Balikpapan</v>
      </c>
      <c r="C384" s="81" t="str">
        <f t="array" ref="C384">XLOOKUP(B384,Reference!$A$2:$A$152,Reference!$B$2:$B$152)</f>
        <v>Kalimantan Timur</v>
      </c>
      <c r="D384" s="82" t="s">
        <v>811</v>
      </c>
      <c r="E384" s="83">
        <v>45323.0</v>
      </c>
      <c r="F384" s="84" t="str">
        <f t="array" ref="F384">XLOOKUP(G384,Reference!$F:$F,Reference!$D:$D,"null")</f>
        <v>Pendidikan dan Kesehatan</v>
      </c>
      <c r="G384" s="85" t="s">
        <v>95</v>
      </c>
      <c r="H384" s="86">
        <v>104.4</v>
      </c>
      <c r="I384" s="86">
        <v>104.4</v>
      </c>
      <c r="J384" s="87">
        <f t="shared" si="2"/>
        <v>0</v>
      </c>
      <c r="K384" s="84" t="str">
        <f t="shared" si="3"/>
        <v>Stabil</v>
      </c>
      <c r="L384" s="84">
        <f t="shared" si="4"/>
        <v>0</v>
      </c>
      <c r="M384" s="88" t="str">
        <f t="shared" si="5"/>
        <v>Perubahan Normal</v>
      </c>
    </row>
    <row r="385" ht="18.75" customHeight="1">
      <c r="A385" s="80" t="s">
        <v>412</v>
      </c>
      <c r="B385" s="81" t="str">
        <f t="shared" si="1"/>
        <v>Cilacap</v>
      </c>
      <c r="C385" s="81" t="str">
        <f t="array" ref="C385">XLOOKUP(B385,Reference!$A$2:$A$152,Reference!$B$2:$B$152)</f>
        <v>Jawa Tengah</v>
      </c>
      <c r="D385" s="82" t="s">
        <v>812</v>
      </c>
      <c r="E385" s="83">
        <v>45352.0</v>
      </c>
      <c r="F385" s="84" t="str">
        <f t="array" ref="F385">XLOOKUP(G385,Reference!$F:$F,Reference!$D:$D,"null")</f>
        <v>Pendidikan dan Kesehatan</v>
      </c>
      <c r="G385" s="85" t="s">
        <v>98</v>
      </c>
      <c r="H385" s="86">
        <v>104.92</v>
      </c>
      <c r="I385" s="86">
        <v>104.82</v>
      </c>
      <c r="J385" s="87">
        <f t="shared" si="2"/>
        <v>0.09540164091</v>
      </c>
      <c r="K385" s="84" t="str">
        <f t="shared" si="3"/>
        <v>Inflasi Normal</v>
      </c>
      <c r="L385" s="84">
        <f t="shared" si="4"/>
        <v>0.1</v>
      </c>
      <c r="M385" s="88" t="str">
        <f t="shared" si="5"/>
        <v>Perubahan Normal</v>
      </c>
    </row>
    <row r="386" ht="18.75" customHeight="1">
      <c r="A386" s="80" t="s">
        <v>515</v>
      </c>
      <c r="B386" s="81" t="str">
        <f t="shared" si="1"/>
        <v>Kab Gresik</v>
      </c>
      <c r="C386" s="81" t="str">
        <f t="array" ref="C386">XLOOKUP(B386,Reference!$A$2:$A$152,Reference!$B$2:$B$152)</f>
        <v>Jawa Timur</v>
      </c>
      <c r="D386" s="82" t="s">
        <v>813</v>
      </c>
      <c r="E386" s="83">
        <v>45323.0</v>
      </c>
      <c r="F386" s="84" t="str">
        <f t="array" ref="F386">XLOOKUP(G386,Reference!$F:$F,Reference!$D:$D,"null")</f>
        <v>Makanan dan Pakaian </v>
      </c>
      <c r="G386" s="85" t="s">
        <v>56</v>
      </c>
      <c r="H386" s="86">
        <v>101.86</v>
      </c>
      <c r="I386" s="86">
        <v>101.53</v>
      </c>
      <c r="J386" s="87">
        <f t="shared" si="2"/>
        <v>0.3250270856</v>
      </c>
      <c r="K386" s="84" t="str">
        <f t="shared" si="3"/>
        <v>Inflasi Normal</v>
      </c>
      <c r="L386" s="84">
        <f t="shared" si="4"/>
        <v>0.33</v>
      </c>
      <c r="M386" s="88" t="str">
        <f t="shared" si="5"/>
        <v>Perubahan Normal</v>
      </c>
    </row>
    <row r="387" ht="18.75" customHeight="1">
      <c r="A387" s="80" t="s">
        <v>814</v>
      </c>
      <c r="B387" s="81" t="str">
        <f t="shared" si="1"/>
        <v>Kota Samarinda</v>
      </c>
      <c r="C387" s="81" t="str">
        <f t="array" ref="C387">XLOOKUP(B387,Reference!$A$2:$A$152,Reference!$B$2:$B$152)</f>
        <v>Kalimantan Timur</v>
      </c>
      <c r="D387" s="82" t="s">
        <v>815</v>
      </c>
      <c r="E387" s="83">
        <v>45323.0</v>
      </c>
      <c r="F387" s="84" t="str">
        <f t="array" ref="F387">XLOOKUP(G387,Reference!$F:$F,Reference!$D:$D,"null")</f>
        <v>Rekreasi dan Kendaraan</v>
      </c>
      <c r="G387" s="85" t="s">
        <v>102</v>
      </c>
      <c r="H387" s="86">
        <v>104.11</v>
      </c>
      <c r="I387" s="86">
        <v>103.63</v>
      </c>
      <c r="J387" s="87">
        <f t="shared" si="2"/>
        <v>0.463186336</v>
      </c>
      <c r="K387" s="84" t="str">
        <f t="shared" si="3"/>
        <v>Inflasi Normal</v>
      </c>
      <c r="L387" s="84">
        <f t="shared" si="4"/>
        <v>0.48</v>
      </c>
      <c r="M387" s="88" t="str">
        <f t="shared" si="5"/>
        <v>Perubahan Normal</v>
      </c>
    </row>
    <row r="388" ht="18.75" customHeight="1">
      <c r="A388" s="80" t="s">
        <v>806</v>
      </c>
      <c r="B388" s="81" t="str">
        <f t="shared" si="1"/>
        <v>Kab Subang</v>
      </c>
      <c r="C388" s="81" t="str">
        <f t="array" ref="C388">XLOOKUP(B388,Reference!$A$2:$A$152,Reference!$B$2:$B$152)</f>
        <v>Jawa Barat</v>
      </c>
      <c r="D388" s="82" t="s">
        <v>816</v>
      </c>
      <c r="E388" s="83">
        <v>45323.0</v>
      </c>
      <c r="F388" s="84" t="str">
        <f t="array" ref="F388">XLOOKUP(G388,Reference!$F:$F,Reference!$D:$D,"null")</f>
        <v>Pendidikan dan Kesehatan</v>
      </c>
      <c r="G388" s="85" t="s">
        <v>95</v>
      </c>
      <c r="H388" s="86">
        <v>100.83</v>
      </c>
      <c r="I388" s="86">
        <v>100.83</v>
      </c>
      <c r="J388" s="87">
        <f t="shared" si="2"/>
        <v>0</v>
      </c>
      <c r="K388" s="84" t="str">
        <f t="shared" si="3"/>
        <v>Stabil</v>
      </c>
      <c r="L388" s="84">
        <f t="shared" si="4"/>
        <v>0</v>
      </c>
      <c r="M388" s="88" t="str">
        <f t="shared" si="5"/>
        <v>Perubahan Normal</v>
      </c>
    </row>
    <row r="389" ht="18.75" customHeight="1">
      <c r="A389" s="80" t="s">
        <v>329</v>
      </c>
      <c r="B389" s="81" t="str">
        <f t="shared" si="1"/>
        <v>Kab Penajam Paser Utara</v>
      </c>
      <c r="C389" s="81" t="str">
        <f t="array" ref="C389">XLOOKUP(B389,Reference!$A$2:$A$152,Reference!$B$2:$B$152)</f>
        <v>Kalimantan Timur</v>
      </c>
      <c r="D389" s="82" t="s">
        <v>817</v>
      </c>
      <c r="E389" s="83">
        <v>45323.0</v>
      </c>
      <c r="F389" s="84" t="str">
        <f t="array" ref="F389">XLOOKUP(G389,Reference!$F:$F,Reference!$D:$D,"null")</f>
        <v>Rumah Tangga</v>
      </c>
      <c r="G389" s="85" t="s">
        <v>89</v>
      </c>
      <c r="H389" s="86">
        <v>99.52</v>
      </c>
      <c r="I389" s="86">
        <v>99.52</v>
      </c>
      <c r="J389" s="87">
        <f t="shared" si="2"/>
        <v>0</v>
      </c>
      <c r="K389" s="84" t="str">
        <f t="shared" si="3"/>
        <v>Stabil</v>
      </c>
      <c r="L389" s="84">
        <f t="shared" si="4"/>
        <v>0</v>
      </c>
      <c r="M389" s="88" t="str">
        <f t="shared" si="5"/>
        <v>Perubahan Normal</v>
      </c>
    </row>
    <row r="390" ht="18.75" customHeight="1">
      <c r="A390" s="80" t="s">
        <v>616</v>
      </c>
      <c r="B390" s="81" t="str">
        <f t="shared" si="1"/>
        <v>Kab Sorong</v>
      </c>
      <c r="C390" s="81" t="str">
        <f t="array" ref="C390">XLOOKUP(B390,Reference!$A$2:$A$152,Reference!$B$2:$B$152)</f>
        <v>Papua Barat Daya</v>
      </c>
      <c r="D390" s="82" t="s">
        <v>818</v>
      </c>
      <c r="E390" s="83">
        <v>45323.0</v>
      </c>
      <c r="F390" s="84" t="str">
        <f t="array" ref="F390">XLOOKUP(G390,Reference!$F:$F,Reference!$D:$D,"null")</f>
        <v>Rekreasi dan Kendaraan</v>
      </c>
      <c r="G390" s="85" t="s">
        <v>102</v>
      </c>
      <c r="H390" s="86">
        <v>108.07</v>
      </c>
      <c r="I390" s="86">
        <v>108.07</v>
      </c>
      <c r="J390" s="87">
        <f t="shared" si="2"/>
        <v>0</v>
      </c>
      <c r="K390" s="84" t="str">
        <f t="shared" si="3"/>
        <v>Stabil</v>
      </c>
      <c r="L390" s="84">
        <f t="shared" si="4"/>
        <v>0</v>
      </c>
      <c r="M390" s="88" t="str">
        <f t="shared" si="5"/>
        <v>Perubahan Normal</v>
      </c>
    </row>
    <row r="391" ht="18.75" customHeight="1">
      <c r="A391" s="80" t="s">
        <v>353</v>
      </c>
      <c r="B391" s="81" t="str">
        <f t="shared" si="1"/>
        <v>Kota Bau Bau</v>
      </c>
      <c r="C391" s="81" t="str">
        <f t="array" ref="C391">XLOOKUP(B391,Reference!$A$2:$A$152,Reference!$B$2:$B$152)</f>
        <v>Sulawesi Tenggara</v>
      </c>
      <c r="D391" s="82" t="s">
        <v>819</v>
      </c>
      <c r="E391" s="83">
        <v>45323.0</v>
      </c>
      <c r="F391" s="84" t="str">
        <f t="array" ref="F391">XLOOKUP(G391,Reference!$F:$F,Reference!$D:$D,"null")</f>
        <v>Makanan dan Pakaian </v>
      </c>
      <c r="G391" s="85" t="s">
        <v>64</v>
      </c>
      <c r="H391" s="86">
        <v>101.64</v>
      </c>
      <c r="I391" s="86">
        <v>101.54</v>
      </c>
      <c r="J391" s="87">
        <f t="shared" si="2"/>
        <v>0.09848335631</v>
      </c>
      <c r="K391" s="84" t="str">
        <f t="shared" si="3"/>
        <v>Inflasi Normal</v>
      </c>
      <c r="L391" s="84">
        <f t="shared" si="4"/>
        <v>0.1</v>
      </c>
      <c r="M391" s="88" t="str">
        <f t="shared" si="5"/>
        <v>Perubahan Normal</v>
      </c>
    </row>
    <row r="392" ht="18.75" customHeight="1">
      <c r="A392" s="80" t="s">
        <v>634</v>
      </c>
      <c r="B392" s="81" t="str">
        <f t="shared" si="1"/>
        <v>Kota Depok</v>
      </c>
      <c r="C392" s="81" t="str">
        <f t="array" ref="C392">XLOOKUP(B392,Reference!$A$2:$A$152,Reference!$B$2:$B$152)</f>
        <v>Jawa Barat</v>
      </c>
      <c r="D392" s="82" t="s">
        <v>820</v>
      </c>
      <c r="E392" s="83">
        <v>45352.0</v>
      </c>
      <c r="F392" s="84" t="str">
        <f t="array" ref="F392">XLOOKUP(G392,Reference!$F:$F,Reference!$D:$D,"null")</f>
        <v>Rumah Tangga</v>
      </c>
      <c r="G392" s="85" t="s">
        <v>89</v>
      </c>
      <c r="H392" s="86">
        <v>104.4</v>
      </c>
      <c r="I392" s="86">
        <v>104.4</v>
      </c>
      <c r="J392" s="87">
        <f t="shared" si="2"/>
        <v>0</v>
      </c>
      <c r="K392" s="84" t="str">
        <f t="shared" si="3"/>
        <v>Stabil</v>
      </c>
      <c r="L392" s="84">
        <f t="shared" si="4"/>
        <v>0</v>
      </c>
      <c r="M392" s="88" t="str">
        <f t="shared" si="5"/>
        <v>Perubahan Normal</v>
      </c>
    </row>
    <row r="393" ht="18.75" customHeight="1">
      <c r="A393" s="80" t="s">
        <v>353</v>
      </c>
      <c r="B393" s="81" t="str">
        <f t="shared" si="1"/>
        <v>Kota Bau Bau</v>
      </c>
      <c r="C393" s="81" t="str">
        <f t="array" ref="C393">XLOOKUP(B393,Reference!$A$2:$A$152,Reference!$B$2:$B$152)</f>
        <v>Sulawesi Tenggara</v>
      </c>
      <c r="D393" s="82" t="s">
        <v>821</v>
      </c>
      <c r="E393" s="83">
        <v>45323.0</v>
      </c>
      <c r="F393" s="84" t="str">
        <f t="array" ref="F393">XLOOKUP(G393,Reference!$F:$F,Reference!$D:$D,"null")</f>
        <v>Rumah Tangga</v>
      </c>
      <c r="G393" s="85" t="s">
        <v>89</v>
      </c>
      <c r="H393" s="86">
        <v>103.44</v>
      </c>
      <c r="I393" s="86">
        <v>103.56</v>
      </c>
      <c r="J393" s="87">
        <f t="shared" si="2"/>
        <v>-0.1158748552</v>
      </c>
      <c r="K393" s="84" t="str">
        <f t="shared" si="3"/>
        <v>Deflasi</v>
      </c>
      <c r="L393" s="84">
        <f t="shared" si="4"/>
        <v>-0.12</v>
      </c>
      <c r="M393" s="88" t="str">
        <f t="shared" si="5"/>
        <v>Perubahan Normal</v>
      </c>
    </row>
    <row r="394" ht="18.75" customHeight="1">
      <c r="A394" s="80" t="s">
        <v>822</v>
      </c>
      <c r="B394" s="81" t="str">
        <f t="shared" si="1"/>
        <v>Kota Pontianak</v>
      </c>
      <c r="C394" s="81" t="str">
        <f t="array" ref="C394">XLOOKUP(B394,Reference!$A$2:$A$152,Reference!$B$2:$B$152)</f>
        <v>Kalimantan Barat</v>
      </c>
      <c r="D394" s="82" t="s">
        <v>823</v>
      </c>
      <c r="E394" s="83">
        <v>45323.0</v>
      </c>
      <c r="F394" s="84" t="str">
        <f t="array" ref="F394">XLOOKUP(G394,Reference!$F:$F,Reference!$D:$D,"null")</f>
        <v>Makanan dan Pakaian </v>
      </c>
      <c r="G394" s="85" t="s">
        <v>56</v>
      </c>
      <c r="H394" s="86">
        <v>107.44</v>
      </c>
      <c r="I394" s="86">
        <v>106.55</v>
      </c>
      <c r="J394" s="87">
        <f t="shared" si="2"/>
        <v>0.8352885969</v>
      </c>
      <c r="K394" s="84" t="str">
        <f t="shared" si="3"/>
        <v>Inflasi Tinggi</v>
      </c>
      <c r="L394" s="84">
        <f t="shared" si="4"/>
        <v>0.89</v>
      </c>
      <c r="M394" s="88" t="str">
        <f t="shared" si="5"/>
        <v>Akselerasi Persentase</v>
      </c>
    </row>
    <row r="395" ht="18.75" customHeight="1">
      <c r="A395" s="80" t="s">
        <v>389</v>
      </c>
      <c r="B395" s="81" t="str">
        <f t="shared" si="1"/>
        <v>Tembilahan</v>
      </c>
      <c r="C395" s="81" t="str">
        <f t="array" ref="C395">XLOOKUP(B395,Reference!$A$2:$A$152,Reference!$B$2:$B$152)</f>
        <v>Riau</v>
      </c>
      <c r="D395" s="82" t="s">
        <v>824</v>
      </c>
      <c r="E395" s="83">
        <v>45323.0</v>
      </c>
      <c r="F395" s="84" t="str">
        <f t="array" ref="F395">XLOOKUP(G395,Reference!$F:$F,Reference!$D:$D,"null")</f>
        <v>Makanan dan Pakaian </v>
      </c>
      <c r="G395" s="85" t="s">
        <v>72</v>
      </c>
      <c r="H395" s="86">
        <v>100.23</v>
      </c>
      <c r="I395" s="86">
        <v>100.23</v>
      </c>
      <c r="J395" s="87">
        <f t="shared" si="2"/>
        <v>0</v>
      </c>
      <c r="K395" s="84" t="str">
        <f t="shared" si="3"/>
        <v>Stabil</v>
      </c>
      <c r="L395" s="84">
        <f t="shared" si="4"/>
        <v>0</v>
      </c>
      <c r="M395" s="88" t="str">
        <f t="shared" si="5"/>
        <v>Perubahan Normal</v>
      </c>
    </row>
    <row r="396" ht="18.75" customHeight="1">
      <c r="A396" s="80" t="s">
        <v>408</v>
      </c>
      <c r="B396" s="81" t="str">
        <f t="shared" si="1"/>
        <v>Manokwari</v>
      </c>
      <c r="C396" s="81" t="str">
        <f t="array" ref="C396">XLOOKUP(B396,Reference!$A$2:$A$152,Reference!$B$2:$B$152)</f>
        <v>Papua Barat Daya</v>
      </c>
      <c r="D396" s="82" t="s">
        <v>825</v>
      </c>
      <c r="E396" s="83">
        <v>45323.0</v>
      </c>
      <c r="F396" s="84" t="str">
        <f t="array" ref="F396">XLOOKUP(G396,Reference!$F:$F,Reference!$D:$D,"null")</f>
        <v>Rumah Tangga</v>
      </c>
      <c r="G396" s="85" t="s">
        <v>84</v>
      </c>
      <c r="H396" s="86">
        <v>101.12</v>
      </c>
      <c r="I396" s="86">
        <v>101.01</v>
      </c>
      <c r="J396" s="87">
        <f t="shared" si="2"/>
        <v>0.1089001089</v>
      </c>
      <c r="K396" s="84" t="str">
        <f t="shared" si="3"/>
        <v>Inflasi Normal</v>
      </c>
      <c r="L396" s="84">
        <f t="shared" si="4"/>
        <v>0.11</v>
      </c>
      <c r="M396" s="88" t="str">
        <f t="shared" si="5"/>
        <v>Perubahan Normal</v>
      </c>
    </row>
    <row r="397" ht="18.75" customHeight="1">
      <c r="A397" s="80" t="s">
        <v>335</v>
      </c>
      <c r="B397" s="81" t="str">
        <f t="shared" si="1"/>
        <v>Kab Wonogiri</v>
      </c>
      <c r="C397" s="81" t="str">
        <f t="array" ref="C397">XLOOKUP(B397,Reference!$A$2:$A$152,Reference!$B$2:$B$152)</f>
        <v>Jawa Tengah</v>
      </c>
      <c r="D397" s="82" t="s">
        <v>826</v>
      </c>
      <c r="E397" s="83">
        <v>45352.0</v>
      </c>
      <c r="F397" s="84" t="str">
        <f t="array" ref="F397">XLOOKUP(G397,Reference!$F:$F,Reference!$D:$D,"null")</f>
        <v>Rumah Tangga</v>
      </c>
      <c r="G397" s="85" t="s">
        <v>89</v>
      </c>
      <c r="H397" s="86">
        <v>107.14</v>
      </c>
      <c r="I397" s="86">
        <v>107.12</v>
      </c>
      <c r="J397" s="87">
        <f t="shared" si="2"/>
        <v>0.01867064974</v>
      </c>
      <c r="K397" s="84" t="str">
        <f t="shared" si="3"/>
        <v>Inflasi Normal</v>
      </c>
      <c r="L397" s="84">
        <f t="shared" si="4"/>
        <v>0.02</v>
      </c>
      <c r="M397" s="88" t="str">
        <f t="shared" si="5"/>
        <v>Perubahan Normal</v>
      </c>
    </row>
    <row r="398" ht="18.75" customHeight="1">
      <c r="A398" s="80" t="s">
        <v>492</v>
      </c>
      <c r="B398" s="81" t="str">
        <f t="shared" si="1"/>
        <v>Kota Cilegon</v>
      </c>
      <c r="C398" s="81" t="str">
        <f t="array" ref="C398">XLOOKUP(B398,Reference!$A$2:$A$152,Reference!$B$2:$B$152)</f>
        <v>Banten</v>
      </c>
      <c r="D398" s="82" t="s">
        <v>827</v>
      </c>
      <c r="E398" s="83">
        <v>45352.0</v>
      </c>
      <c r="F398" s="84" t="str">
        <f t="array" ref="F398">XLOOKUP(G398,Reference!$F:$F,Reference!$D:$D,"null")</f>
        <v>Pendidikan dan Kesehatan</v>
      </c>
      <c r="G398" s="85" t="s">
        <v>98</v>
      </c>
      <c r="H398" s="86">
        <v>106.47</v>
      </c>
      <c r="I398" s="86">
        <v>106.25</v>
      </c>
      <c r="J398" s="87">
        <f t="shared" si="2"/>
        <v>0.2070588235</v>
      </c>
      <c r="K398" s="84" t="str">
        <f t="shared" si="3"/>
        <v>Inflasi Normal</v>
      </c>
      <c r="L398" s="84">
        <f t="shared" si="4"/>
        <v>0.22</v>
      </c>
      <c r="M398" s="88" t="str">
        <f t="shared" si="5"/>
        <v>Perubahan Normal</v>
      </c>
    </row>
    <row r="399" ht="18.75" customHeight="1">
      <c r="A399" s="80" t="s">
        <v>450</v>
      </c>
      <c r="B399" s="81" t="str">
        <f t="shared" si="1"/>
        <v>Waingapu</v>
      </c>
      <c r="C399" s="81" t="str">
        <f t="array" ref="C399">XLOOKUP(B399,Reference!$A$2:$A$152,Reference!$B$2:$B$152)</f>
        <v>Nusa Tenggara Timur (NTT)</v>
      </c>
      <c r="D399" s="82" t="s">
        <v>828</v>
      </c>
      <c r="E399" s="83">
        <v>45352.0</v>
      </c>
      <c r="F399" s="84" t="str">
        <f t="array" ref="F399">XLOOKUP(G399,Reference!$F:$F,Reference!$D:$D,"null")</f>
        <v>Pendidikan dan Kesehatan</v>
      </c>
      <c r="G399" s="85" t="s">
        <v>98</v>
      </c>
      <c r="H399" s="86">
        <v>105.01</v>
      </c>
      <c r="I399" s="86">
        <v>104.51</v>
      </c>
      <c r="J399" s="87">
        <f t="shared" si="2"/>
        <v>0.4784231174</v>
      </c>
      <c r="K399" s="84" t="str">
        <f t="shared" si="3"/>
        <v>Inflasi Normal</v>
      </c>
      <c r="L399" s="84">
        <f t="shared" si="4"/>
        <v>0.5</v>
      </c>
      <c r="M399" s="88" t="str">
        <f t="shared" si="5"/>
        <v>Perubahan Normal</v>
      </c>
    </row>
    <row r="400" ht="18.75" customHeight="1">
      <c r="A400" s="80" t="s">
        <v>342</v>
      </c>
      <c r="B400" s="81" t="str">
        <f t="shared" si="1"/>
        <v>Kab Bandung</v>
      </c>
      <c r="C400" s="81" t="str">
        <f t="array" ref="C400">XLOOKUP(B400,Reference!$A$2:$A$152,Reference!$B$2:$B$152)</f>
        <v>Jawa Barat</v>
      </c>
      <c r="D400" s="82" t="s">
        <v>829</v>
      </c>
      <c r="E400" s="83">
        <v>45352.0</v>
      </c>
      <c r="F400" s="84" t="str">
        <f t="array" ref="F400">XLOOKUP(G400,Reference!$F:$F,Reference!$D:$D,"null")</f>
        <v>Makanan dan Pakaian </v>
      </c>
      <c r="G400" s="85" t="s">
        <v>48</v>
      </c>
      <c r="H400" s="86">
        <v>110.3</v>
      </c>
      <c r="I400" s="86">
        <v>109.13</v>
      </c>
      <c r="J400" s="87">
        <f t="shared" si="2"/>
        <v>1.072115825</v>
      </c>
      <c r="K400" s="84" t="str">
        <f t="shared" si="3"/>
        <v>Inflasi Tinggi</v>
      </c>
      <c r="L400" s="84">
        <f t="shared" si="4"/>
        <v>1.17</v>
      </c>
      <c r="M400" s="88" t="str">
        <f t="shared" si="5"/>
        <v>Akselerasi Persentase</v>
      </c>
    </row>
    <row r="401" ht="18.75" customHeight="1">
      <c r="A401" s="80" t="s">
        <v>462</v>
      </c>
      <c r="B401" s="81" t="str">
        <f t="shared" si="1"/>
        <v>Kota Probolinggo</v>
      </c>
      <c r="C401" s="81" t="str">
        <f t="array" ref="C401">XLOOKUP(B401,Reference!$A$2:$A$152,Reference!$B$2:$B$152)</f>
        <v>Jawa Timur</v>
      </c>
      <c r="D401" s="82" t="s">
        <v>830</v>
      </c>
      <c r="E401" s="83">
        <v>45352.0</v>
      </c>
      <c r="F401" s="84" t="str">
        <f t="array" ref="F401">XLOOKUP(G401,Reference!$F:$F,Reference!$D:$D,"null")</f>
        <v>Makanan dan Pakaian </v>
      </c>
      <c r="G401" s="85" t="s">
        <v>48</v>
      </c>
      <c r="H401" s="86">
        <v>110.74</v>
      </c>
      <c r="I401" s="86">
        <v>108.19</v>
      </c>
      <c r="J401" s="87">
        <f t="shared" si="2"/>
        <v>2.356964599</v>
      </c>
      <c r="K401" s="84" t="str">
        <f t="shared" si="3"/>
        <v>Inflasi Tinggi</v>
      </c>
      <c r="L401" s="84">
        <f t="shared" si="4"/>
        <v>2.55</v>
      </c>
      <c r="M401" s="88" t="str">
        <f t="shared" si="5"/>
        <v>Akselerasi Kuat</v>
      </c>
    </row>
    <row r="402" ht="18.75" customHeight="1">
      <c r="A402" s="80" t="s">
        <v>699</v>
      </c>
      <c r="B402" s="81" t="str">
        <f t="shared" si="1"/>
        <v>Mamuju</v>
      </c>
      <c r="C402" s="81" t="str">
        <f t="array" ref="C402">XLOOKUP(B402,Reference!$A$2:$A$152,Reference!$B$2:$B$152)</f>
        <v>Sulawesi Barat</v>
      </c>
      <c r="D402" s="82" t="s">
        <v>831</v>
      </c>
      <c r="E402" s="83">
        <v>45352.0</v>
      </c>
      <c r="F402" s="84" t="str">
        <f t="array" ref="F402">XLOOKUP(G402,Reference!$F:$F,Reference!$D:$D,"null")</f>
        <v>Pendidikan dan Kesehatan</v>
      </c>
      <c r="G402" s="85" t="s">
        <v>98</v>
      </c>
      <c r="H402" s="86">
        <v>100.58</v>
      </c>
      <c r="I402" s="86">
        <v>102.87</v>
      </c>
      <c r="J402" s="87">
        <f t="shared" si="2"/>
        <v>-2.226110625</v>
      </c>
      <c r="K402" s="84" t="str">
        <f t="shared" si="3"/>
        <v>Deflasi</v>
      </c>
      <c r="L402" s="84">
        <f t="shared" si="4"/>
        <v>-2.29</v>
      </c>
      <c r="M402" s="88" t="str">
        <f t="shared" si="5"/>
        <v>Perubahan Normal</v>
      </c>
    </row>
    <row r="403" ht="18.75" customHeight="1">
      <c r="A403" s="80" t="s">
        <v>488</v>
      </c>
      <c r="B403" s="81" t="str">
        <f t="shared" si="1"/>
        <v>Kab Muko Muko</v>
      </c>
      <c r="C403" s="81" t="str">
        <f t="array" ref="C403">XLOOKUP(B403,Reference!$A$2:$A$152,Reference!$B$2:$B$152)</f>
        <v>Bengkulu</v>
      </c>
      <c r="D403" s="82" t="s">
        <v>832</v>
      </c>
      <c r="E403" s="83">
        <v>45323.0</v>
      </c>
      <c r="F403" s="84" t="str">
        <f t="array" ref="F403">XLOOKUP(G403,Reference!$F:$F,Reference!$D:$D,"null")</f>
        <v>Makanan dan Pakaian </v>
      </c>
      <c r="G403" s="85" t="s">
        <v>72</v>
      </c>
      <c r="H403" s="86">
        <v>112.78</v>
      </c>
      <c r="I403" s="86">
        <v>112.87</v>
      </c>
      <c r="J403" s="87">
        <f t="shared" si="2"/>
        <v>-0.0797377514</v>
      </c>
      <c r="K403" s="84" t="str">
        <f t="shared" si="3"/>
        <v>Deflasi</v>
      </c>
      <c r="L403" s="84">
        <f t="shared" si="4"/>
        <v>-0.09</v>
      </c>
      <c r="M403" s="88" t="str">
        <f t="shared" si="5"/>
        <v>Perubahan Normal</v>
      </c>
    </row>
    <row r="404" ht="18.75" customHeight="1">
      <c r="A404" s="80" t="s">
        <v>814</v>
      </c>
      <c r="B404" s="81" t="str">
        <f t="shared" si="1"/>
        <v>Kota Samarinda</v>
      </c>
      <c r="C404" s="81" t="str">
        <f t="array" ref="C404">XLOOKUP(B404,Reference!$A$2:$A$152,Reference!$B$2:$B$152)</f>
        <v>Kalimantan Timur</v>
      </c>
      <c r="D404" s="82" t="s">
        <v>833</v>
      </c>
      <c r="E404" s="83">
        <v>45352.0</v>
      </c>
      <c r="F404" s="84" t="str">
        <f t="array" ref="F404">XLOOKUP(G404,Reference!$F:$F,Reference!$D:$D,"null")</f>
        <v>Rumah Tangga</v>
      </c>
      <c r="G404" s="85" t="s">
        <v>80</v>
      </c>
      <c r="H404" s="86">
        <v>102.29</v>
      </c>
      <c r="I404" s="86">
        <v>102.29</v>
      </c>
      <c r="J404" s="87">
        <f t="shared" si="2"/>
        <v>0</v>
      </c>
      <c r="K404" s="84" t="str">
        <f t="shared" si="3"/>
        <v>Stabil</v>
      </c>
      <c r="L404" s="84">
        <f t="shared" si="4"/>
        <v>0</v>
      </c>
      <c r="M404" s="88" t="str">
        <f t="shared" si="5"/>
        <v>Perubahan Normal</v>
      </c>
    </row>
    <row r="405" ht="18.75" customHeight="1">
      <c r="A405" s="80" t="s">
        <v>740</v>
      </c>
      <c r="B405" s="81" t="str">
        <f t="shared" si="1"/>
        <v>Kota Gunungsitoli</v>
      </c>
      <c r="C405" s="81" t="str">
        <f t="array" ref="C405">XLOOKUP(B405,Reference!$A$2:$A$152,Reference!$B$2:$B$152)</f>
        <v>Sumatera Utara</v>
      </c>
      <c r="D405" s="82" t="s">
        <v>834</v>
      </c>
      <c r="E405" s="83">
        <v>45352.0</v>
      </c>
      <c r="F405" s="84" t="str">
        <f t="array" ref="F405">XLOOKUP(G405,Reference!$F:$F,Reference!$D:$D,"null")</f>
        <v>Makanan dan Pakaian </v>
      </c>
      <c r="G405" s="85" t="s">
        <v>48</v>
      </c>
      <c r="H405" s="86">
        <v>107.82</v>
      </c>
      <c r="I405" s="86">
        <v>107.15</v>
      </c>
      <c r="J405" s="87">
        <f t="shared" si="2"/>
        <v>0.6252916472</v>
      </c>
      <c r="K405" s="84" t="str">
        <f t="shared" si="3"/>
        <v>Inflasi Tinggi</v>
      </c>
      <c r="L405" s="84">
        <f t="shared" si="4"/>
        <v>0.67</v>
      </c>
      <c r="M405" s="88" t="str">
        <f t="shared" si="5"/>
        <v>Akselerasi Persentase</v>
      </c>
    </row>
    <row r="406" ht="18.75" customHeight="1">
      <c r="A406" s="80" t="s">
        <v>408</v>
      </c>
      <c r="B406" s="81" t="str">
        <f t="shared" si="1"/>
        <v>Manokwari</v>
      </c>
      <c r="C406" s="81" t="str">
        <f t="array" ref="C406">XLOOKUP(B406,Reference!$A$2:$A$152,Reference!$B$2:$B$152)</f>
        <v>Papua Barat Daya</v>
      </c>
      <c r="D406" s="82" t="s">
        <v>835</v>
      </c>
      <c r="E406" s="83">
        <v>45352.0</v>
      </c>
      <c r="F406" s="84" t="str">
        <f t="array" ref="F406">XLOOKUP(G406,Reference!$F:$F,Reference!$D:$D,"null")</f>
        <v>Rumah Tangga</v>
      </c>
      <c r="G406" s="89" t="s">
        <v>80</v>
      </c>
      <c r="H406" s="90">
        <v>101.11</v>
      </c>
      <c r="I406" s="90">
        <v>101.11</v>
      </c>
      <c r="J406" s="87">
        <f t="shared" si="2"/>
        <v>0</v>
      </c>
      <c r="K406" s="84" t="str">
        <f t="shared" si="3"/>
        <v>Stabil</v>
      </c>
      <c r="L406" s="91">
        <f t="shared" si="4"/>
        <v>0</v>
      </c>
      <c r="M406" s="88" t="str">
        <f t="shared" si="5"/>
        <v>Perubahan Normal</v>
      </c>
    </row>
    <row r="407" ht="18.75" customHeight="1">
      <c r="A407" s="80" t="s">
        <v>364</v>
      </c>
      <c r="B407" s="81" t="str">
        <f t="shared" si="1"/>
        <v>Kab Tanah Laut</v>
      </c>
      <c r="C407" s="81" t="str">
        <f t="array" ref="C407">XLOOKUP(B407,Reference!$A$2:$A$152,Reference!$B$2:$B$152)</f>
        <v>Kalimantan Selatan</v>
      </c>
      <c r="D407" s="82" t="s">
        <v>836</v>
      </c>
      <c r="E407" s="83">
        <v>45323.0</v>
      </c>
      <c r="F407" s="84" t="str">
        <f t="array" ref="F407">XLOOKUP(G407,Reference!$F:$F,Reference!$D:$D,"null")</f>
        <v>Pendidikan dan Kesehatan</v>
      </c>
      <c r="G407" s="89" t="s">
        <v>98</v>
      </c>
      <c r="H407" s="90">
        <v>102.44</v>
      </c>
      <c r="I407" s="90">
        <v>102.44</v>
      </c>
      <c r="J407" s="87">
        <f t="shared" si="2"/>
        <v>0</v>
      </c>
      <c r="K407" s="84" t="str">
        <f t="shared" si="3"/>
        <v>Stabil</v>
      </c>
      <c r="L407" s="91">
        <f t="shared" si="4"/>
        <v>0</v>
      </c>
      <c r="M407" s="88" t="str">
        <f t="shared" si="5"/>
        <v>Perubahan Normal</v>
      </c>
    </row>
    <row r="408" ht="18.75" customHeight="1">
      <c r="A408" s="80" t="s">
        <v>837</v>
      </c>
      <c r="B408" s="81" t="str">
        <f t="shared" si="1"/>
        <v>Kab Luwu Timur</v>
      </c>
      <c r="C408" s="81" t="str">
        <f t="array" ref="C408">XLOOKUP(B408,Reference!$A$2:$A$152,Reference!$B$2:$B$152)</f>
        <v>Sulawesi Selatan</v>
      </c>
      <c r="D408" s="82" t="s">
        <v>838</v>
      </c>
      <c r="E408" s="83">
        <v>45323.0</v>
      </c>
      <c r="F408" s="84" t="str">
        <f t="array" ref="F408">XLOOKUP(G408,Reference!$F:$F,Reference!$D:$D,"null")</f>
        <v>Rumah Tangga</v>
      </c>
      <c r="G408" s="85" t="s">
        <v>80</v>
      </c>
      <c r="H408" s="86">
        <v>100.0</v>
      </c>
      <c r="I408" s="86">
        <v>100.0</v>
      </c>
      <c r="J408" s="87">
        <f t="shared" si="2"/>
        <v>0</v>
      </c>
      <c r="K408" s="84" t="str">
        <f t="shared" si="3"/>
        <v>Stabil</v>
      </c>
      <c r="L408" s="84">
        <f t="shared" si="4"/>
        <v>0</v>
      </c>
      <c r="M408" s="88" t="str">
        <f t="shared" si="5"/>
        <v>Perubahan Normal</v>
      </c>
    </row>
    <row r="409" ht="18.75" customHeight="1">
      <c r="A409" s="80" t="s">
        <v>473</v>
      </c>
      <c r="B409" s="81" t="str">
        <f t="shared" si="1"/>
        <v>Kab Wajo</v>
      </c>
      <c r="C409" s="81" t="str">
        <f t="array" ref="C409">XLOOKUP(B409,Reference!$A$2:$A$152,Reference!$B$2:$B$152)</f>
        <v>Sulawesi Selatan</v>
      </c>
      <c r="D409" s="82" t="s">
        <v>839</v>
      </c>
      <c r="E409" s="83">
        <v>45352.0</v>
      </c>
      <c r="F409" s="84" t="str">
        <f t="array" ref="F409">XLOOKUP(G409,Reference!$F:$F,Reference!$D:$D,"null")</f>
        <v>Makanan dan Pakaian </v>
      </c>
      <c r="G409" s="85" t="s">
        <v>56</v>
      </c>
      <c r="H409" s="86">
        <v>101.59</v>
      </c>
      <c r="I409" s="86">
        <v>101.0</v>
      </c>
      <c r="J409" s="87">
        <f t="shared" si="2"/>
        <v>0.5841584158</v>
      </c>
      <c r="K409" s="84" t="str">
        <f t="shared" si="3"/>
        <v>Inflasi Tinggi</v>
      </c>
      <c r="L409" s="84">
        <f t="shared" si="4"/>
        <v>0.59</v>
      </c>
      <c r="M409" s="88" t="str">
        <f t="shared" si="5"/>
        <v>Akselerasi Persentase</v>
      </c>
    </row>
    <row r="410" ht="18.75" customHeight="1">
      <c r="A410" s="80" t="s">
        <v>454</v>
      </c>
      <c r="B410" s="81" t="str">
        <f t="shared" si="1"/>
        <v>Kab Ketapang</v>
      </c>
      <c r="C410" s="81" t="str">
        <f t="array" ref="C410">XLOOKUP(B410,Reference!$A$2:$A$152,Reference!$B$2:$B$152)</f>
        <v>Kalimantan Barat</v>
      </c>
      <c r="D410" s="82" t="s">
        <v>840</v>
      </c>
      <c r="E410" s="83">
        <v>45323.0</v>
      </c>
      <c r="F410" s="84" t="str">
        <f t="array" ref="F410">XLOOKUP(G410,Reference!$F:$F,Reference!$D:$D,"null")</f>
        <v>Pendidikan dan Kesehatan</v>
      </c>
      <c r="G410" s="85" t="s">
        <v>95</v>
      </c>
      <c r="H410" s="86">
        <v>100.32</v>
      </c>
      <c r="I410" s="86">
        <v>100.32</v>
      </c>
      <c r="J410" s="87">
        <f t="shared" si="2"/>
        <v>0</v>
      </c>
      <c r="K410" s="84" t="str">
        <f t="shared" si="3"/>
        <v>Stabil</v>
      </c>
      <c r="L410" s="84">
        <f t="shared" si="4"/>
        <v>0</v>
      </c>
      <c r="M410" s="88" t="str">
        <f t="shared" si="5"/>
        <v>Perubahan Normal</v>
      </c>
    </row>
    <row r="411" ht="18.75" customHeight="1">
      <c r="A411" s="80" t="s">
        <v>841</v>
      </c>
      <c r="B411" s="81" t="str">
        <f t="shared" si="1"/>
        <v>Kab Morowali</v>
      </c>
      <c r="C411" s="81" t="str">
        <f t="array" ref="C411">XLOOKUP(B411,Reference!$A$2:$A$152,Reference!$B$2:$B$152)</f>
        <v>Sulawesi Tengah</v>
      </c>
      <c r="D411" s="82" t="s">
        <v>842</v>
      </c>
      <c r="E411" s="83">
        <v>45352.0</v>
      </c>
      <c r="F411" s="84" t="str">
        <f t="array" ref="F411">XLOOKUP(G411,Reference!$F:$F,Reference!$D:$D,"null")</f>
        <v>Rumah Tangga</v>
      </c>
      <c r="G411" s="85" t="s">
        <v>84</v>
      </c>
      <c r="H411" s="86">
        <v>102.74</v>
      </c>
      <c r="I411" s="86">
        <v>104.18</v>
      </c>
      <c r="J411" s="87">
        <f t="shared" si="2"/>
        <v>-1.382223075</v>
      </c>
      <c r="K411" s="84" t="str">
        <f t="shared" si="3"/>
        <v>Deflasi</v>
      </c>
      <c r="L411" s="84">
        <f t="shared" si="4"/>
        <v>-1.44</v>
      </c>
      <c r="M411" s="88" t="str">
        <f t="shared" si="5"/>
        <v>Perubahan Normal</v>
      </c>
    </row>
    <row r="412" ht="18.75" customHeight="1">
      <c r="A412" s="80" t="s">
        <v>462</v>
      </c>
      <c r="B412" s="81" t="str">
        <f t="shared" si="1"/>
        <v>Kota Probolinggo</v>
      </c>
      <c r="C412" s="81" t="str">
        <f t="array" ref="C412">XLOOKUP(B412,Reference!$A$2:$A$152,Reference!$B$2:$B$152)</f>
        <v>Jawa Timur</v>
      </c>
      <c r="D412" s="82" t="s">
        <v>843</v>
      </c>
      <c r="E412" s="83">
        <v>45323.0</v>
      </c>
      <c r="F412" s="84" t="str">
        <f t="array" ref="F412">XLOOKUP(G412,Reference!$F:$F,Reference!$D:$D,"null")</f>
        <v>Pendidikan dan Kesehatan</v>
      </c>
      <c r="G412" s="85" t="s">
        <v>98</v>
      </c>
      <c r="H412" s="86">
        <v>104.67</v>
      </c>
      <c r="I412" s="86">
        <v>104.58</v>
      </c>
      <c r="J412" s="87">
        <f t="shared" si="2"/>
        <v>0.08605851979</v>
      </c>
      <c r="K412" s="84" t="str">
        <f t="shared" si="3"/>
        <v>Inflasi Normal</v>
      </c>
      <c r="L412" s="84">
        <f t="shared" si="4"/>
        <v>0.09</v>
      </c>
      <c r="M412" s="88" t="str">
        <f t="shared" si="5"/>
        <v>Perubahan Normal</v>
      </c>
    </row>
    <row r="413" ht="18.75" customHeight="1">
      <c r="A413" s="80" t="s">
        <v>658</v>
      </c>
      <c r="B413" s="81" t="str">
        <f t="shared" si="1"/>
        <v>Kota Mataram</v>
      </c>
      <c r="C413" s="81" t="str">
        <f t="array" ref="C413">XLOOKUP(B413,Reference!$A$2:$A$152,Reference!$B$2:$B$152)</f>
        <v>Nusa Tenggara Barat (NTB)</v>
      </c>
      <c r="D413" s="82" t="s">
        <v>844</v>
      </c>
      <c r="E413" s="83">
        <v>45352.0</v>
      </c>
      <c r="F413" s="84" t="str">
        <f t="array" ref="F413">XLOOKUP(G413,Reference!$F:$F,Reference!$D:$D,"null")</f>
        <v>Makanan dan Pakaian </v>
      </c>
      <c r="G413" s="85" t="s">
        <v>72</v>
      </c>
      <c r="H413" s="86">
        <v>104.06</v>
      </c>
      <c r="I413" s="86">
        <v>103.07</v>
      </c>
      <c r="J413" s="87">
        <f t="shared" si="2"/>
        <v>0.9605122732</v>
      </c>
      <c r="K413" s="84" t="str">
        <f t="shared" si="3"/>
        <v>Inflasi Tinggi</v>
      </c>
      <c r="L413" s="84">
        <f t="shared" si="4"/>
        <v>0.99</v>
      </c>
      <c r="M413" s="88" t="str">
        <f t="shared" si="5"/>
        <v>Akselerasi Persentase</v>
      </c>
    </row>
    <row r="414" ht="18.75" customHeight="1">
      <c r="A414" s="80" t="s">
        <v>571</v>
      </c>
      <c r="B414" s="81" t="str">
        <f t="shared" si="1"/>
        <v>Kota Sorong</v>
      </c>
      <c r="C414" s="81" t="str">
        <f t="array" ref="C414">XLOOKUP(B414,Reference!$A$2:$A$152,Reference!$B$2:$B$152)</f>
        <v>Papua Barat Daya</v>
      </c>
      <c r="D414" s="82" t="s">
        <v>845</v>
      </c>
      <c r="E414" s="83">
        <v>45352.0</v>
      </c>
      <c r="F414" s="84" t="str">
        <f t="array" ref="F414">XLOOKUP(G414,Reference!$F:$F,Reference!$D:$D,"null")</f>
        <v>Makanan dan Pakaian </v>
      </c>
      <c r="G414" s="85" t="s">
        <v>64</v>
      </c>
      <c r="H414" s="86">
        <v>105.92</v>
      </c>
      <c r="I414" s="86">
        <v>105.86</v>
      </c>
      <c r="J414" s="87">
        <f t="shared" si="2"/>
        <v>0.05667863216</v>
      </c>
      <c r="K414" s="84" t="str">
        <f t="shared" si="3"/>
        <v>Inflasi Normal</v>
      </c>
      <c r="L414" s="84">
        <f t="shared" si="4"/>
        <v>0.06</v>
      </c>
      <c r="M414" s="88" t="str">
        <f t="shared" si="5"/>
        <v>Perubahan Normal</v>
      </c>
    </row>
    <row r="415" ht="18.75" customHeight="1">
      <c r="A415" s="80" t="s">
        <v>324</v>
      </c>
      <c r="B415" s="81" t="str">
        <f t="shared" si="1"/>
        <v>Kab Nunukan</v>
      </c>
      <c r="C415" s="81" t="str">
        <f t="array" ref="C415">XLOOKUP(B415,Reference!$A$2:$A$152,Reference!$B$2:$B$152)</f>
        <v>Kalimantan Utara</v>
      </c>
      <c r="D415" s="82" t="s">
        <v>846</v>
      </c>
      <c r="E415" s="83">
        <v>45323.0</v>
      </c>
      <c r="F415" s="84" t="str">
        <f t="array" ref="F415">XLOOKUP(G415,Reference!$F:$F,Reference!$D:$D,"null")</f>
        <v>Makanan dan Pakaian </v>
      </c>
      <c r="G415" s="85" t="s">
        <v>72</v>
      </c>
      <c r="H415" s="86">
        <v>118.47</v>
      </c>
      <c r="I415" s="86">
        <v>98.18</v>
      </c>
      <c r="J415" s="87">
        <f t="shared" si="2"/>
        <v>20.66612345</v>
      </c>
      <c r="K415" s="84" t="str">
        <f t="shared" si="3"/>
        <v>Inflasi Tinggi</v>
      </c>
      <c r="L415" s="84">
        <f t="shared" si="4"/>
        <v>20.29</v>
      </c>
      <c r="M415" s="88" t="str">
        <f t="shared" si="5"/>
        <v>Akselerasi Kuat</v>
      </c>
    </row>
    <row r="416" ht="18.75" customHeight="1">
      <c r="A416" s="80" t="s">
        <v>322</v>
      </c>
      <c r="B416" s="81" t="str">
        <f t="shared" si="1"/>
        <v>Purwokerto</v>
      </c>
      <c r="C416" s="81" t="str">
        <f t="array" ref="C416">XLOOKUP(B416,Reference!$A$2:$A$152,Reference!$B$2:$B$152)</f>
        <v>Jawa Tengah</v>
      </c>
      <c r="D416" s="82" t="s">
        <v>847</v>
      </c>
      <c r="E416" s="83">
        <v>45323.0</v>
      </c>
      <c r="F416" s="84" t="str">
        <f t="array" ref="F416">XLOOKUP(G416,Reference!$F:$F,Reference!$D:$D,"null")</f>
        <v>Pendidikan dan Kesehatan</v>
      </c>
      <c r="G416" s="85" t="s">
        <v>95</v>
      </c>
      <c r="H416" s="86">
        <v>101.53</v>
      </c>
      <c r="I416" s="86">
        <v>101.52</v>
      </c>
      <c r="J416" s="87">
        <f t="shared" si="2"/>
        <v>0.009850275808</v>
      </c>
      <c r="K416" s="84" t="str">
        <f t="shared" si="3"/>
        <v>Inflasi Normal</v>
      </c>
      <c r="L416" s="84">
        <f t="shared" si="4"/>
        <v>0.01</v>
      </c>
      <c r="M416" s="88" t="str">
        <f t="shared" si="5"/>
        <v>Perubahan Normal</v>
      </c>
    </row>
    <row r="417" ht="18.75" customHeight="1">
      <c r="A417" s="80" t="s">
        <v>497</v>
      </c>
      <c r="B417" s="81" t="str">
        <f t="shared" si="1"/>
        <v>Tanjung Pandan</v>
      </c>
      <c r="C417" s="81" t="str">
        <f t="array" ref="C417">XLOOKUP(B417,Reference!$A$2:$A$152,Reference!$B$2:$B$152)</f>
        <v>Kepulauan Bangka Belitung</v>
      </c>
      <c r="D417" s="82" t="s">
        <v>848</v>
      </c>
      <c r="E417" s="83">
        <v>45352.0</v>
      </c>
      <c r="F417" s="84" t="str">
        <f t="array" ref="F417">XLOOKUP(G417,Reference!$F:$F,Reference!$D:$D,"null")</f>
        <v>Makanan dan Pakaian </v>
      </c>
      <c r="G417" s="85" t="s">
        <v>56</v>
      </c>
      <c r="H417" s="86">
        <v>107.52</v>
      </c>
      <c r="I417" s="86">
        <v>107.52</v>
      </c>
      <c r="J417" s="87">
        <f t="shared" si="2"/>
        <v>0</v>
      </c>
      <c r="K417" s="84" t="str">
        <f t="shared" si="3"/>
        <v>Stabil</v>
      </c>
      <c r="L417" s="84">
        <f t="shared" si="4"/>
        <v>0</v>
      </c>
      <c r="M417" s="88" t="str">
        <f t="shared" si="5"/>
        <v>Perubahan Normal</v>
      </c>
    </row>
    <row r="418" ht="18.75" customHeight="1">
      <c r="A418" s="80" t="s">
        <v>762</v>
      </c>
      <c r="B418" s="81" t="str">
        <f t="shared" si="1"/>
        <v>Kota Pangkal Pinang</v>
      </c>
      <c r="C418" s="81" t="str">
        <f t="array" ref="C418">XLOOKUP(B418,Reference!$A$2:$A$152,Reference!$B$2:$B$152)</f>
        <v>Kepulauan Bangka Belitung</v>
      </c>
      <c r="D418" s="82" t="s">
        <v>849</v>
      </c>
      <c r="E418" s="83">
        <v>45323.0</v>
      </c>
      <c r="F418" s="84" t="str">
        <f t="array" ref="F418">XLOOKUP(G418,Reference!$F:$F,Reference!$D:$D,"null")</f>
        <v>Rumah Tangga</v>
      </c>
      <c r="G418" s="85" t="s">
        <v>84</v>
      </c>
      <c r="H418" s="86">
        <v>102.21</v>
      </c>
      <c r="I418" s="86">
        <v>102.02</v>
      </c>
      <c r="J418" s="87">
        <f t="shared" si="2"/>
        <v>0.1862379926</v>
      </c>
      <c r="K418" s="84" t="str">
        <f t="shared" si="3"/>
        <v>Inflasi Normal</v>
      </c>
      <c r="L418" s="84">
        <f t="shared" si="4"/>
        <v>0.19</v>
      </c>
      <c r="M418" s="88" t="str">
        <f t="shared" si="5"/>
        <v>Perubahan Normal</v>
      </c>
    </row>
    <row r="419" ht="18.75" customHeight="1">
      <c r="A419" s="80" t="s">
        <v>576</v>
      </c>
      <c r="B419" s="81" t="str">
        <f t="shared" si="1"/>
        <v>Kab Tabanan</v>
      </c>
      <c r="C419" s="81" t="str">
        <f t="array" ref="C419">XLOOKUP(B419,Reference!$A$2:$A$152,Reference!$B$2:$B$152)</f>
        <v>Bali</v>
      </c>
      <c r="D419" s="82" t="s">
        <v>850</v>
      </c>
      <c r="E419" s="83">
        <v>45323.0</v>
      </c>
      <c r="F419" s="84" t="str">
        <f t="array" ref="F419">XLOOKUP(G419,Reference!$F:$F,Reference!$D:$D,"null")</f>
        <v>Rumah Tangga</v>
      </c>
      <c r="G419" s="85" t="s">
        <v>80</v>
      </c>
      <c r="H419" s="86">
        <v>101.55</v>
      </c>
      <c r="I419" s="86">
        <v>101.41</v>
      </c>
      <c r="J419" s="87">
        <f t="shared" si="2"/>
        <v>0.1380534464</v>
      </c>
      <c r="K419" s="84" t="str">
        <f t="shared" si="3"/>
        <v>Inflasi Normal</v>
      </c>
      <c r="L419" s="84">
        <f t="shared" si="4"/>
        <v>0.14</v>
      </c>
      <c r="M419" s="88" t="str">
        <f t="shared" si="5"/>
        <v>Perubahan Normal</v>
      </c>
    </row>
    <row r="420" ht="18.75" customHeight="1">
      <c r="A420" s="80" t="s">
        <v>329</v>
      </c>
      <c r="B420" s="81" t="str">
        <f t="shared" si="1"/>
        <v>Kab Penajam Paser Utara</v>
      </c>
      <c r="C420" s="81" t="str">
        <f t="array" ref="C420">XLOOKUP(B420,Reference!$A$2:$A$152,Reference!$B$2:$B$152)</f>
        <v>Kalimantan Timur</v>
      </c>
      <c r="D420" s="82" t="s">
        <v>851</v>
      </c>
      <c r="E420" s="83">
        <v>45352.0</v>
      </c>
      <c r="F420" s="84" t="str">
        <f t="array" ref="F420">XLOOKUP(G420,Reference!$F:$F,Reference!$D:$D,"null")</f>
        <v>Makanan dan Pakaian </v>
      </c>
      <c r="G420" s="85" t="s">
        <v>48</v>
      </c>
      <c r="H420" s="86">
        <v>110.1</v>
      </c>
      <c r="I420" s="86">
        <v>109.25</v>
      </c>
      <c r="J420" s="87">
        <f t="shared" si="2"/>
        <v>0.7780320366</v>
      </c>
      <c r="K420" s="84" t="str">
        <f t="shared" si="3"/>
        <v>Inflasi Tinggi</v>
      </c>
      <c r="L420" s="84">
        <f t="shared" si="4"/>
        <v>0.85</v>
      </c>
      <c r="M420" s="88" t="str">
        <f t="shared" si="5"/>
        <v>Akselerasi Persentase</v>
      </c>
    </row>
    <row r="421" ht="18.75" customHeight="1">
      <c r="A421" s="80" t="s">
        <v>421</v>
      </c>
      <c r="B421" s="81" t="str">
        <f t="shared" si="1"/>
        <v>Kab Halmahera Tengah</v>
      </c>
      <c r="C421" s="81" t="str">
        <f t="array" ref="C421">XLOOKUP(B421,Reference!$A$2:$A$152,Reference!$B$2:$B$152)</f>
        <v>Maluku Utara</v>
      </c>
      <c r="D421" s="82" t="s">
        <v>852</v>
      </c>
      <c r="E421" s="83">
        <v>45352.0</v>
      </c>
      <c r="F421" s="84" t="str">
        <f t="array" ref="F421">XLOOKUP(G421,Reference!$F:$F,Reference!$D:$D,"null")</f>
        <v>Makanan dan Pakaian </v>
      </c>
      <c r="G421" s="85" t="s">
        <v>64</v>
      </c>
      <c r="H421" s="86">
        <v>111.53</v>
      </c>
      <c r="I421" s="86">
        <v>111.44</v>
      </c>
      <c r="J421" s="87">
        <f t="shared" si="2"/>
        <v>0.0807609476</v>
      </c>
      <c r="K421" s="84" t="str">
        <f t="shared" si="3"/>
        <v>Inflasi Normal</v>
      </c>
      <c r="L421" s="84">
        <f t="shared" si="4"/>
        <v>0.09</v>
      </c>
      <c r="M421" s="88" t="str">
        <f t="shared" si="5"/>
        <v>Perubahan Normal</v>
      </c>
    </row>
    <row r="422" ht="18.75" customHeight="1">
      <c r="A422" s="80" t="s">
        <v>454</v>
      </c>
      <c r="B422" s="81" t="str">
        <f t="shared" si="1"/>
        <v>Kab Ketapang</v>
      </c>
      <c r="C422" s="81" t="str">
        <f t="array" ref="C422">XLOOKUP(B422,Reference!$A$2:$A$152,Reference!$B$2:$B$152)</f>
        <v>Kalimantan Barat</v>
      </c>
      <c r="D422" s="82" t="s">
        <v>853</v>
      </c>
      <c r="E422" s="83">
        <v>45323.0</v>
      </c>
      <c r="F422" s="84" t="str">
        <f t="array" ref="F422">XLOOKUP(G422,Reference!$F:$F,Reference!$D:$D,"null")</f>
        <v>Makanan dan Pakaian </v>
      </c>
      <c r="G422" s="85" t="s">
        <v>72</v>
      </c>
      <c r="H422" s="86">
        <v>100.0</v>
      </c>
      <c r="I422" s="86">
        <v>100.0</v>
      </c>
      <c r="J422" s="87">
        <f t="shared" si="2"/>
        <v>0</v>
      </c>
      <c r="K422" s="84" t="str">
        <f t="shared" si="3"/>
        <v>Stabil</v>
      </c>
      <c r="L422" s="84">
        <f t="shared" si="4"/>
        <v>0</v>
      </c>
      <c r="M422" s="88" t="str">
        <f t="shared" si="5"/>
        <v>Perubahan Normal</v>
      </c>
    </row>
    <row r="423" ht="18.75" customHeight="1">
      <c r="A423" s="80" t="s">
        <v>548</v>
      </c>
      <c r="B423" s="81" t="str">
        <f t="shared" si="1"/>
        <v>Kota Metro</v>
      </c>
      <c r="C423" s="81" t="str">
        <f t="array" ref="C423">XLOOKUP(B423,Reference!$A$2:$A$152,Reference!$B$2:$B$152)</f>
        <v>Lampung</v>
      </c>
      <c r="D423" s="82" t="s">
        <v>854</v>
      </c>
      <c r="E423" s="83">
        <v>45323.0</v>
      </c>
      <c r="F423" s="84" t="str">
        <f t="array" ref="F423">XLOOKUP(G423,Reference!$F:$F,Reference!$D:$D,"null")</f>
        <v>Makanan dan Pakaian </v>
      </c>
      <c r="G423" s="85" t="s">
        <v>72</v>
      </c>
      <c r="H423" s="86">
        <v>102.2</v>
      </c>
      <c r="I423" s="86">
        <v>102.2</v>
      </c>
      <c r="J423" s="87">
        <f t="shared" si="2"/>
        <v>0</v>
      </c>
      <c r="K423" s="84" t="str">
        <f t="shared" si="3"/>
        <v>Stabil</v>
      </c>
      <c r="L423" s="84">
        <f t="shared" si="4"/>
        <v>0</v>
      </c>
      <c r="M423" s="88" t="str">
        <f t="shared" si="5"/>
        <v>Perubahan Normal</v>
      </c>
    </row>
    <row r="424" ht="18.75" customHeight="1">
      <c r="A424" s="80" t="s">
        <v>349</v>
      </c>
      <c r="B424" s="81" t="str">
        <f t="shared" si="1"/>
        <v>Kota Banjarmasin</v>
      </c>
      <c r="C424" s="81" t="str">
        <f t="array" ref="C424">XLOOKUP(B424,Reference!$A$2:$A$152,Reference!$B$2:$B$152)</f>
        <v>Kalimantan Selatan</v>
      </c>
      <c r="D424" s="82" t="s">
        <v>855</v>
      </c>
      <c r="E424" s="83">
        <v>45323.0</v>
      </c>
      <c r="F424" s="84" t="str">
        <f t="array" ref="F424">XLOOKUP(G424,Reference!$F:$F,Reference!$D:$D,"null")</f>
        <v>Makanan dan Pakaian </v>
      </c>
      <c r="G424" s="85" t="s">
        <v>48</v>
      </c>
      <c r="H424" s="86">
        <v>107.9</v>
      </c>
      <c r="I424" s="86">
        <v>107.18</v>
      </c>
      <c r="J424" s="87">
        <f t="shared" si="2"/>
        <v>0.6717671207</v>
      </c>
      <c r="K424" s="84" t="str">
        <f t="shared" si="3"/>
        <v>Inflasi Tinggi</v>
      </c>
      <c r="L424" s="84">
        <f t="shared" si="4"/>
        <v>0.72</v>
      </c>
      <c r="M424" s="88" t="str">
        <f t="shared" si="5"/>
        <v>Akselerasi Persentase</v>
      </c>
    </row>
    <row r="425" ht="18.75" customHeight="1">
      <c r="A425" s="80" t="s">
        <v>427</v>
      </c>
      <c r="B425" s="81" t="str">
        <f t="shared" si="1"/>
        <v>Kota Malang</v>
      </c>
      <c r="C425" s="81" t="str">
        <f t="array" ref="C425">XLOOKUP(B425,Reference!$A$2:$A$152,Reference!$B$2:$B$152)</f>
        <v>Jawa Timur</v>
      </c>
      <c r="D425" s="82" t="s">
        <v>856</v>
      </c>
      <c r="E425" s="83">
        <v>45352.0</v>
      </c>
      <c r="F425" s="84" t="str">
        <f t="array" ref="F425">XLOOKUP(G425,Reference!$F:$F,Reference!$D:$D,"null")</f>
        <v>Makanan dan Pakaian </v>
      </c>
      <c r="G425" s="85" t="s">
        <v>48</v>
      </c>
      <c r="H425" s="86">
        <v>113.03</v>
      </c>
      <c r="I425" s="86">
        <v>110.83</v>
      </c>
      <c r="J425" s="87">
        <f t="shared" si="2"/>
        <v>1.985022106</v>
      </c>
      <c r="K425" s="84" t="str">
        <f t="shared" si="3"/>
        <v>Inflasi Tinggi</v>
      </c>
      <c r="L425" s="84">
        <f t="shared" si="4"/>
        <v>2.2</v>
      </c>
      <c r="M425" s="88" t="str">
        <f t="shared" si="5"/>
        <v>Akselerasi Kuat</v>
      </c>
    </row>
    <row r="426" ht="18.75" customHeight="1">
      <c r="A426" s="80" t="s">
        <v>351</v>
      </c>
      <c r="B426" s="81" t="str">
        <f t="shared" si="1"/>
        <v>Kota Balikpapan</v>
      </c>
      <c r="C426" s="81" t="str">
        <f t="array" ref="C426">XLOOKUP(B426,Reference!$A$2:$A$152,Reference!$B$2:$B$152)</f>
        <v>Kalimantan Timur</v>
      </c>
      <c r="D426" s="82" t="s">
        <v>857</v>
      </c>
      <c r="E426" s="83">
        <v>45323.0</v>
      </c>
      <c r="F426" s="84" t="str">
        <f t="array" ref="F426">XLOOKUP(G426,Reference!$F:$F,Reference!$D:$D,"null")</f>
        <v>Makanan dan Pakaian </v>
      </c>
      <c r="G426" s="85" t="s">
        <v>56</v>
      </c>
      <c r="H426" s="86">
        <v>106.69</v>
      </c>
      <c r="I426" s="86">
        <v>107.23</v>
      </c>
      <c r="J426" s="87">
        <f t="shared" si="2"/>
        <v>-0.5035904131</v>
      </c>
      <c r="K426" s="84" t="str">
        <f t="shared" si="3"/>
        <v>Deflasi</v>
      </c>
      <c r="L426" s="84">
        <f t="shared" si="4"/>
        <v>-0.54</v>
      </c>
      <c r="M426" s="88" t="str">
        <f t="shared" si="5"/>
        <v>Perubahan Normal</v>
      </c>
    </row>
    <row r="427" ht="18.75" customHeight="1">
      <c r="A427" s="80" t="s">
        <v>654</v>
      </c>
      <c r="B427" s="81" t="str">
        <f t="shared" si="1"/>
        <v>Kab Aceh Tengah</v>
      </c>
      <c r="C427" s="81" t="str">
        <f t="array" ref="C427">XLOOKUP(B427,Reference!$A$2:$A$152,Reference!$B$2:$B$152)</f>
        <v>Aceh</v>
      </c>
      <c r="D427" s="82" t="s">
        <v>858</v>
      </c>
      <c r="E427" s="83">
        <v>45352.0</v>
      </c>
      <c r="F427" s="84" t="str">
        <f t="array" ref="F427">XLOOKUP(G427,Reference!$F:$F,Reference!$D:$D,"null")</f>
        <v>Rekreasi dan Kendaraan</v>
      </c>
      <c r="G427" s="85" t="s">
        <v>105</v>
      </c>
      <c r="H427" s="86">
        <v>101.18</v>
      </c>
      <c r="I427" s="86">
        <v>101.18</v>
      </c>
      <c r="J427" s="87">
        <f t="shared" si="2"/>
        <v>0</v>
      </c>
      <c r="K427" s="84" t="str">
        <f t="shared" si="3"/>
        <v>Stabil</v>
      </c>
      <c r="L427" s="84">
        <f t="shared" si="4"/>
        <v>0</v>
      </c>
      <c r="M427" s="88" t="str">
        <f t="shared" si="5"/>
        <v>Perubahan Normal</v>
      </c>
    </row>
    <row r="428" ht="18.75" customHeight="1">
      <c r="A428" s="80" t="s">
        <v>314</v>
      </c>
      <c r="B428" s="81" t="str">
        <f t="shared" si="1"/>
        <v>Kota Jayapura</v>
      </c>
      <c r="C428" s="81" t="str">
        <f t="array" ref="C428">XLOOKUP(B428,Reference!$A$2:$A$152,Reference!$B$2:$B$152)</f>
        <v>Papua</v>
      </c>
      <c r="D428" s="82" t="s">
        <v>859</v>
      </c>
      <c r="E428" s="83">
        <v>45323.0</v>
      </c>
      <c r="F428" s="84" t="str">
        <f t="array" ref="F428">XLOOKUP(G428,Reference!$F:$F,Reference!$D:$D,"null")</f>
        <v>Makanan dan Pakaian </v>
      </c>
      <c r="G428" s="85" t="s">
        <v>64</v>
      </c>
      <c r="H428" s="86">
        <v>100.24</v>
      </c>
      <c r="I428" s="86">
        <v>100.95</v>
      </c>
      <c r="J428" s="87">
        <f t="shared" si="2"/>
        <v>-0.7033184745</v>
      </c>
      <c r="K428" s="84" t="str">
        <f t="shared" si="3"/>
        <v>Deflasi</v>
      </c>
      <c r="L428" s="84">
        <f t="shared" si="4"/>
        <v>-0.71</v>
      </c>
      <c r="M428" s="88" t="str">
        <f t="shared" si="5"/>
        <v>Perubahan Normal</v>
      </c>
    </row>
    <row r="429" ht="18.75" customHeight="1">
      <c r="A429" s="80" t="s">
        <v>578</v>
      </c>
      <c r="B429" s="81" t="str">
        <f t="shared" si="1"/>
        <v>Kab Belitung Timur</v>
      </c>
      <c r="C429" s="81" t="str">
        <f t="array" ref="C429">XLOOKUP(B429,Reference!$A$2:$A$152,Reference!$B$2:$B$152)</f>
        <v>Kepulauan Bangka Belitung</v>
      </c>
      <c r="D429" s="82" t="s">
        <v>860</v>
      </c>
      <c r="E429" s="83">
        <v>45323.0</v>
      </c>
      <c r="F429" s="84" t="str">
        <f t="array" ref="F429">XLOOKUP(G429,Reference!$F:$F,Reference!$D:$D,"null")</f>
        <v>Rekreasi dan Kendaraan</v>
      </c>
      <c r="G429" s="85" t="s">
        <v>102</v>
      </c>
      <c r="H429" s="86">
        <v>106.87</v>
      </c>
      <c r="I429" s="86">
        <v>106.87</v>
      </c>
      <c r="J429" s="87">
        <f t="shared" si="2"/>
        <v>0</v>
      </c>
      <c r="K429" s="84" t="str">
        <f t="shared" si="3"/>
        <v>Stabil</v>
      </c>
      <c r="L429" s="84">
        <f t="shared" si="4"/>
        <v>0</v>
      </c>
      <c r="M429" s="88" t="str">
        <f t="shared" si="5"/>
        <v>Perubahan Normal</v>
      </c>
    </row>
    <row r="430" ht="18.75" customHeight="1">
      <c r="A430" s="80" t="s">
        <v>351</v>
      </c>
      <c r="B430" s="81" t="str">
        <f t="shared" si="1"/>
        <v>Kota Balikpapan</v>
      </c>
      <c r="C430" s="81" t="str">
        <f t="array" ref="C430">XLOOKUP(B430,Reference!$A$2:$A$152,Reference!$B$2:$B$152)</f>
        <v>Kalimantan Timur</v>
      </c>
      <c r="D430" s="82" t="s">
        <v>861</v>
      </c>
      <c r="E430" s="83">
        <v>45352.0</v>
      </c>
      <c r="F430" s="84" t="str">
        <f t="array" ref="F430">XLOOKUP(G430,Reference!$F:$F,Reference!$D:$D,"null")</f>
        <v>Rekreasi dan Kendaraan</v>
      </c>
      <c r="G430" s="85" t="s">
        <v>102</v>
      </c>
      <c r="H430" s="86">
        <v>100.54</v>
      </c>
      <c r="I430" s="86">
        <v>100.54</v>
      </c>
      <c r="J430" s="87">
        <f t="shared" si="2"/>
        <v>0</v>
      </c>
      <c r="K430" s="84" t="str">
        <f t="shared" si="3"/>
        <v>Stabil</v>
      </c>
      <c r="L430" s="84">
        <f t="shared" si="4"/>
        <v>0</v>
      </c>
      <c r="M430" s="88" t="str">
        <f t="shared" si="5"/>
        <v>Perubahan Normal</v>
      </c>
    </row>
    <row r="431" ht="18.75" customHeight="1">
      <c r="A431" s="80" t="s">
        <v>460</v>
      </c>
      <c r="B431" s="81" t="str">
        <f t="shared" si="1"/>
        <v>Kab Kayong Utara</v>
      </c>
      <c r="C431" s="81" t="str">
        <f t="array" ref="C431">XLOOKUP(B431,Reference!$A$2:$A$152,Reference!$B$2:$B$152)</f>
        <v>Kalimantan Barat</v>
      </c>
      <c r="D431" s="82" t="s">
        <v>862</v>
      </c>
      <c r="E431" s="83">
        <v>45352.0</v>
      </c>
      <c r="F431" s="84" t="str">
        <f t="array" ref="F431">XLOOKUP(G431,Reference!$F:$F,Reference!$D:$D,"null")</f>
        <v>Makanan dan Pakaian </v>
      </c>
      <c r="G431" s="85" t="s">
        <v>56</v>
      </c>
      <c r="H431" s="86">
        <v>92.39</v>
      </c>
      <c r="I431" s="86">
        <v>92.5</v>
      </c>
      <c r="J431" s="87">
        <f t="shared" si="2"/>
        <v>-0.1189189189</v>
      </c>
      <c r="K431" s="84" t="str">
        <f t="shared" si="3"/>
        <v>Deflasi</v>
      </c>
      <c r="L431" s="84">
        <f t="shared" si="4"/>
        <v>-0.11</v>
      </c>
      <c r="M431" s="88" t="str">
        <f t="shared" si="5"/>
        <v>Perubahan Normal</v>
      </c>
    </row>
    <row r="432" ht="18.75" customHeight="1">
      <c r="A432" s="80" t="s">
        <v>576</v>
      </c>
      <c r="B432" s="81" t="str">
        <f t="shared" si="1"/>
        <v>Kab Tabanan</v>
      </c>
      <c r="C432" s="81" t="str">
        <f t="array" ref="C432">XLOOKUP(B432,Reference!$A$2:$A$152,Reference!$B$2:$B$152)</f>
        <v>Bali</v>
      </c>
      <c r="D432" s="82" t="s">
        <v>863</v>
      </c>
      <c r="E432" s="83">
        <v>45352.0</v>
      </c>
      <c r="F432" s="84" t="str">
        <f t="array" ref="F432">XLOOKUP(G432,Reference!$F:$F,Reference!$D:$D,"null")</f>
        <v>Pendidikan dan Kesehatan</v>
      </c>
      <c r="G432" s="85" t="s">
        <v>98</v>
      </c>
      <c r="H432" s="86">
        <v>108.77</v>
      </c>
      <c r="I432" s="86">
        <v>108.82</v>
      </c>
      <c r="J432" s="87">
        <f t="shared" si="2"/>
        <v>-0.04594743613</v>
      </c>
      <c r="K432" s="84" t="str">
        <f t="shared" si="3"/>
        <v>Deflasi</v>
      </c>
      <c r="L432" s="84">
        <f t="shared" si="4"/>
        <v>-0.05</v>
      </c>
      <c r="M432" s="88" t="str">
        <f t="shared" si="5"/>
        <v>Perubahan Normal</v>
      </c>
    </row>
    <row r="433" ht="18.75" customHeight="1">
      <c r="A433" s="80" t="s">
        <v>380</v>
      </c>
      <c r="B433" s="81" t="str">
        <f t="shared" si="1"/>
        <v>Kota Bengkulu</v>
      </c>
      <c r="C433" s="81" t="str">
        <f t="array" ref="C433">XLOOKUP(B433,Reference!$A$2:$A$152,Reference!$B$2:$B$152)</f>
        <v>Bengkulu</v>
      </c>
      <c r="D433" s="82" t="s">
        <v>864</v>
      </c>
      <c r="E433" s="83">
        <v>45352.0</v>
      </c>
      <c r="F433" s="84" t="str">
        <f t="array" ref="F433">XLOOKUP(G433,Reference!$F:$F,Reference!$D:$D,"null")</f>
        <v>Rumah Tangga</v>
      </c>
      <c r="G433" s="89" t="s">
        <v>80</v>
      </c>
      <c r="H433" s="90">
        <v>102.33</v>
      </c>
      <c r="I433" s="90">
        <v>102.33</v>
      </c>
      <c r="J433" s="87">
        <f t="shared" si="2"/>
        <v>0</v>
      </c>
      <c r="K433" s="84" t="str">
        <f t="shared" si="3"/>
        <v>Stabil</v>
      </c>
      <c r="L433" s="91">
        <f t="shared" si="4"/>
        <v>0</v>
      </c>
      <c r="M433" s="88" t="str">
        <f t="shared" si="5"/>
        <v>Perubahan Normal</v>
      </c>
    </row>
    <row r="434" ht="18.75" customHeight="1">
      <c r="A434" s="80" t="s">
        <v>515</v>
      </c>
      <c r="B434" s="81" t="str">
        <f t="shared" si="1"/>
        <v>Kab Gresik</v>
      </c>
      <c r="C434" s="81" t="str">
        <f t="array" ref="C434">XLOOKUP(B434,Reference!$A$2:$A$152,Reference!$B$2:$B$152)</f>
        <v>Jawa Timur</v>
      </c>
      <c r="D434" s="82" t="s">
        <v>865</v>
      </c>
      <c r="E434" s="83">
        <v>45352.0</v>
      </c>
      <c r="F434" s="84" t="str">
        <f t="array" ref="F434">XLOOKUP(G434,Reference!$F:$F,Reference!$D:$D,"null")</f>
        <v>Pendidikan dan Kesehatan</v>
      </c>
      <c r="G434" s="85" t="s">
        <v>98</v>
      </c>
      <c r="H434" s="86">
        <v>104.93</v>
      </c>
      <c r="I434" s="86">
        <v>105.47</v>
      </c>
      <c r="J434" s="87">
        <f t="shared" si="2"/>
        <v>-0.5119939319</v>
      </c>
      <c r="K434" s="84" t="str">
        <f t="shared" si="3"/>
        <v>Deflasi</v>
      </c>
      <c r="L434" s="84">
        <f t="shared" si="4"/>
        <v>-0.54</v>
      </c>
      <c r="M434" s="88" t="str">
        <f t="shared" si="5"/>
        <v>Perubahan Normal</v>
      </c>
    </row>
    <row r="435" ht="18.75" customHeight="1">
      <c r="A435" s="80" t="s">
        <v>539</v>
      </c>
      <c r="B435" s="81" t="str">
        <f t="shared" si="1"/>
        <v>Kab Sorong Selatan</v>
      </c>
      <c r="C435" s="81" t="str">
        <f t="array" ref="C435">XLOOKUP(B435,Reference!$A$2:$A$152,Reference!$B$2:$B$152)</f>
        <v>Papua Barat Daya</v>
      </c>
      <c r="D435" s="82" t="s">
        <v>866</v>
      </c>
      <c r="E435" s="83">
        <v>45352.0</v>
      </c>
      <c r="F435" s="84" t="str">
        <f t="array" ref="F435">XLOOKUP(G435,Reference!$F:$F,Reference!$D:$D,"null")</f>
        <v>Makanan dan Pakaian </v>
      </c>
      <c r="G435" s="85" t="s">
        <v>64</v>
      </c>
      <c r="H435" s="86">
        <v>105.21</v>
      </c>
      <c r="I435" s="86">
        <v>105.21</v>
      </c>
      <c r="J435" s="87">
        <f t="shared" si="2"/>
        <v>0</v>
      </c>
      <c r="K435" s="84" t="str">
        <f t="shared" si="3"/>
        <v>Stabil</v>
      </c>
      <c r="L435" s="84">
        <f t="shared" si="4"/>
        <v>0</v>
      </c>
      <c r="M435" s="88" t="str">
        <f t="shared" si="5"/>
        <v>Perubahan Normal</v>
      </c>
    </row>
    <row r="436" ht="18.75" customHeight="1">
      <c r="A436" s="80" t="s">
        <v>421</v>
      </c>
      <c r="B436" s="81" t="str">
        <f t="shared" si="1"/>
        <v>Kab Halmahera Tengah</v>
      </c>
      <c r="C436" s="81" t="str">
        <f t="array" ref="C436">XLOOKUP(B436,Reference!$A$2:$A$152,Reference!$B$2:$B$152)</f>
        <v>Maluku Utara</v>
      </c>
      <c r="D436" s="82" t="s">
        <v>867</v>
      </c>
      <c r="E436" s="83">
        <v>45323.0</v>
      </c>
      <c r="F436" s="84" t="str">
        <f t="array" ref="F436">XLOOKUP(G436,Reference!$F:$F,Reference!$D:$D,"null")</f>
        <v>Makanan dan Pakaian </v>
      </c>
      <c r="G436" s="85" t="s">
        <v>64</v>
      </c>
      <c r="H436" s="86">
        <v>111.44</v>
      </c>
      <c r="I436" s="86">
        <v>111.44</v>
      </c>
      <c r="J436" s="87">
        <f t="shared" si="2"/>
        <v>0</v>
      </c>
      <c r="K436" s="84" t="str">
        <f t="shared" si="3"/>
        <v>Stabil</v>
      </c>
      <c r="L436" s="84">
        <f t="shared" si="4"/>
        <v>0</v>
      </c>
      <c r="M436" s="88" t="str">
        <f t="shared" si="5"/>
        <v>Perubahan Normal</v>
      </c>
    </row>
    <row r="437" ht="18.75" customHeight="1">
      <c r="A437" s="80" t="s">
        <v>393</v>
      </c>
      <c r="B437" s="81" t="str">
        <f t="shared" si="1"/>
        <v>Kab Sumbawa</v>
      </c>
      <c r="C437" s="81" t="str">
        <f t="array" ref="C437">XLOOKUP(B437,Reference!$A$2:$A$152,Reference!$B$2:$B$152)</f>
        <v>Nusa Tenggara Barat (NTB)</v>
      </c>
      <c r="D437" s="82" t="s">
        <v>868</v>
      </c>
      <c r="E437" s="83">
        <v>45323.0</v>
      </c>
      <c r="F437" s="84" t="str">
        <f t="array" ref="F437">XLOOKUP(G437,Reference!$F:$F,Reference!$D:$D,"null")</f>
        <v>Rekreasi dan Kendaraan</v>
      </c>
      <c r="G437" s="85" t="s">
        <v>102</v>
      </c>
      <c r="H437" s="86">
        <v>104.45</v>
      </c>
      <c r="I437" s="86">
        <v>104.28</v>
      </c>
      <c r="J437" s="87">
        <f t="shared" si="2"/>
        <v>0.1630226314</v>
      </c>
      <c r="K437" s="84" t="str">
        <f t="shared" si="3"/>
        <v>Inflasi Normal</v>
      </c>
      <c r="L437" s="84">
        <f t="shared" si="4"/>
        <v>0.17</v>
      </c>
      <c r="M437" s="88" t="str">
        <f t="shared" si="5"/>
        <v>Perubahan Normal</v>
      </c>
    </row>
    <row r="438" ht="18.75" customHeight="1">
      <c r="A438" s="80" t="s">
        <v>618</v>
      </c>
      <c r="B438" s="81" t="str">
        <f t="shared" si="1"/>
        <v>Kota Tangerang</v>
      </c>
      <c r="C438" s="81" t="str">
        <f t="array" ref="C438">XLOOKUP(B438,Reference!$A$2:$A$152,Reference!$B$2:$B$152)</f>
        <v>Banten</v>
      </c>
      <c r="D438" s="82" t="s">
        <v>869</v>
      </c>
      <c r="E438" s="83">
        <v>45352.0</v>
      </c>
      <c r="F438" s="84" t="str">
        <f t="array" ref="F438">XLOOKUP(G438,Reference!$F:$F,Reference!$D:$D,"null")</f>
        <v>Makanan dan Pakaian </v>
      </c>
      <c r="G438" s="85" t="s">
        <v>48</v>
      </c>
      <c r="H438" s="86">
        <v>110.82</v>
      </c>
      <c r="I438" s="86">
        <v>108.29</v>
      </c>
      <c r="J438" s="87">
        <f t="shared" si="2"/>
        <v>2.336319143</v>
      </c>
      <c r="K438" s="84" t="str">
        <f t="shared" si="3"/>
        <v>Inflasi Tinggi</v>
      </c>
      <c r="L438" s="84">
        <f t="shared" si="4"/>
        <v>2.53</v>
      </c>
      <c r="M438" s="88" t="str">
        <f t="shared" si="5"/>
        <v>Akselerasi Kuat</v>
      </c>
    </row>
    <row r="439" ht="18.75" customHeight="1">
      <c r="A439" s="80" t="s">
        <v>362</v>
      </c>
      <c r="B439" s="81" t="str">
        <f t="shared" si="1"/>
        <v>Sumenep</v>
      </c>
      <c r="C439" s="81" t="str">
        <f t="array" ref="C439">XLOOKUP(B439,Reference!$A$2:$A$152,Reference!$B$2:$B$152)</f>
        <v>Jawa Timur</v>
      </c>
      <c r="D439" s="82" t="s">
        <v>870</v>
      </c>
      <c r="E439" s="83">
        <v>45323.0</v>
      </c>
      <c r="F439" s="84" t="str">
        <f t="array" ref="F439">XLOOKUP(G439,Reference!$F:$F,Reference!$D:$D,"null")</f>
        <v>Makanan dan Pakaian </v>
      </c>
      <c r="G439" s="85" t="s">
        <v>64</v>
      </c>
      <c r="H439" s="86">
        <v>106.32</v>
      </c>
      <c r="I439" s="86">
        <v>106.25</v>
      </c>
      <c r="J439" s="87">
        <f t="shared" si="2"/>
        <v>0.06588235294</v>
      </c>
      <c r="K439" s="84" t="str">
        <f t="shared" si="3"/>
        <v>Inflasi Normal</v>
      </c>
      <c r="L439" s="84">
        <f t="shared" si="4"/>
        <v>0.07</v>
      </c>
      <c r="M439" s="88" t="str">
        <f t="shared" si="5"/>
        <v>Perubahan Normal</v>
      </c>
    </row>
    <row r="440" ht="18.75" customHeight="1">
      <c r="A440" s="80" t="s">
        <v>699</v>
      </c>
      <c r="B440" s="81" t="str">
        <f t="shared" si="1"/>
        <v>Mamuju</v>
      </c>
      <c r="C440" s="81" t="str">
        <f t="array" ref="C440">XLOOKUP(B440,Reference!$A$2:$A$152,Reference!$B$2:$B$152)</f>
        <v>Sulawesi Barat</v>
      </c>
      <c r="D440" s="82" t="s">
        <v>871</v>
      </c>
      <c r="E440" s="83">
        <v>45323.0</v>
      </c>
      <c r="F440" s="84" t="str">
        <f t="array" ref="F440">XLOOKUP(G440,Reference!$F:$F,Reference!$D:$D,"null")</f>
        <v>Rekreasi dan Kendaraan</v>
      </c>
      <c r="G440" s="85" t="s">
        <v>105</v>
      </c>
      <c r="H440" s="86">
        <v>104.01</v>
      </c>
      <c r="I440" s="86">
        <v>103.79</v>
      </c>
      <c r="J440" s="87">
        <f t="shared" si="2"/>
        <v>0.2119664708</v>
      </c>
      <c r="K440" s="84" t="str">
        <f t="shared" si="3"/>
        <v>Inflasi Normal</v>
      </c>
      <c r="L440" s="84">
        <f t="shared" si="4"/>
        <v>0.22</v>
      </c>
      <c r="M440" s="88" t="str">
        <f t="shared" si="5"/>
        <v>Perubahan Normal</v>
      </c>
    </row>
    <row r="441" ht="18.75" customHeight="1">
      <c r="A441" s="80" t="s">
        <v>483</v>
      </c>
      <c r="B441" s="81" t="str">
        <f t="shared" si="1"/>
        <v>Kota Padangsidimpuan</v>
      </c>
      <c r="C441" s="81" t="str">
        <f t="array" ref="C441">XLOOKUP(B441,Reference!$A$2:$A$152,Reference!$B$2:$B$152)</f>
        <v>Sumatera Utara</v>
      </c>
      <c r="D441" s="82" t="s">
        <v>872</v>
      </c>
      <c r="E441" s="83">
        <v>45352.0</v>
      </c>
      <c r="F441" s="84" t="str">
        <f t="array" ref="F441">XLOOKUP(G441,Reference!$F:$F,Reference!$D:$D,"null")</f>
        <v>Makanan dan Pakaian </v>
      </c>
      <c r="G441" s="85" t="s">
        <v>56</v>
      </c>
      <c r="H441" s="86">
        <v>103.23</v>
      </c>
      <c r="I441" s="86">
        <v>103.02</v>
      </c>
      <c r="J441" s="87">
        <f t="shared" si="2"/>
        <v>0.2038439138</v>
      </c>
      <c r="K441" s="84" t="str">
        <f t="shared" si="3"/>
        <v>Inflasi Normal</v>
      </c>
      <c r="L441" s="84">
        <f t="shared" si="4"/>
        <v>0.21</v>
      </c>
      <c r="M441" s="88" t="str">
        <f t="shared" si="5"/>
        <v>Perubahan Normal</v>
      </c>
    </row>
    <row r="442" ht="18.75" customHeight="1">
      <c r="A442" s="80" t="s">
        <v>294</v>
      </c>
      <c r="B442" s="81" t="str">
        <f t="shared" si="1"/>
        <v>Kab Labuhanbatu</v>
      </c>
      <c r="C442" s="81" t="str">
        <f t="array" ref="C442">XLOOKUP(B442,Reference!$A$2:$A$152,Reference!$B$2:$B$152)</f>
        <v>Sumatera Utara</v>
      </c>
      <c r="D442" s="82" t="s">
        <v>873</v>
      </c>
      <c r="E442" s="83">
        <v>45352.0</v>
      </c>
      <c r="F442" s="84" t="str">
        <f t="array" ref="F442">XLOOKUP(G442,Reference!$F:$F,Reference!$D:$D,"null")</f>
        <v>Makanan dan Pakaian </v>
      </c>
      <c r="G442" s="85" t="s">
        <v>72</v>
      </c>
      <c r="H442" s="86">
        <v>115.76</v>
      </c>
      <c r="I442" s="86">
        <v>113.81</v>
      </c>
      <c r="J442" s="87">
        <f t="shared" si="2"/>
        <v>1.713381952</v>
      </c>
      <c r="K442" s="84" t="str">
        <f t="shared" si="3"/>
        <v>Inflasi Tinggi</v>
      </c>
      <c r="L442" s="84">
        <f t="shared" si="4"/>
        <v>1.95</v>
      </c>
      <c r="M442" s="88" t="str">
        <f t="shared" si="5"/>
        <v>Akselerasi Persentase</v>
      </c>
    </row>
    <row r="443" ht="18.75" customHeight="1">
      <c r="A443" s="80" t="s">
        <v>656</v>
      </c>
      <c r="B443" s="81" t="str">
        <f t="shared" si="1"/>
        <v>Kota Palopo</v>
      </c>
      <c r="C443" s="81" t="str">
        <f t="array" ref="C443">XLOOKUP(B443,Reference!$A$2:$A$152,Reference!$B$2:$B$152)</f>
        <v>Sulawesi Selatan</v>
      </c>
      <c r="D443" s="82" t="s">
        <v>874</v>
      </c>
      <c r="E443" s="83">
        <v>45323.0</v>
      </c>
      <c r="F443" s="84" t="str">
        <f t="array" ref="F443">XLOOKUP(G443,Reference!$F:$F,Reference!$D:$D,"null")</f>
        <v>Pendidikan dan Kesehatan</v>
      </c>
      <c r="G443" s="85" t="s">
        <v>98</v>
      </c>
      <c r="H443" s="86">
        <v>100.27</v>
      </c>
      <c r="I443" s="86">
        <v>100.27</v>
      </c>
      <c r="J443" s="87">
        <f t="shared" si="2"/>
        <v>0</v>
      </c>
      <c r="K443" s="84" t="str">
        <f t="shared" si="3"/>
        <v>Stabil</v>
      </c>
      <c r="L443" s="84">
        <f t="shared" si="4"/>
        <v>0</v>
      </c>
      <c r="M443" s="88" t="str">
        <f t="shared" si="5"/>
        <v>Perubahan Normal</v>
      </c>
    </row>
    <row r="444" ht="18.75" customHeight="1">
      <c r="A444" s="80" t="s">
        <v>427</v>
      </c>
      <c r="B444" s="81" t="str">
        <f t="shared" si="1"/>
        <v>Kota Malang</v>
      </c>
      <c r="C444" s="81" t="str">
        <f t="array" ref="C444">XLOOKUP(B444,Reference!$A$2:$A$152,Reference!$B$2:$B$152)</f>
        <v>Jawa Timur</v>
      </c>
      <c r="D444" s="82" t="s">
        <v>875</v>
      </c>
      <c r="E444" s="83">
        <v>45352.0</v>
      </c>
      <c r="F444" s="84" t="str">
        <f t="array" ref="F444">XLOOKUP(G444,Reference!$F:$F,Reference!$D:$D,"null")</f>
        <v>Rumah Tangga</v>
      </c>
      <c r="G444" s="89" t="s">
        <v>89</v>
      </c>
      <c r="H444" s="90">
        <v>101.26</v>
      </c>
      <c r="I444" s="90">
        <v>101.41</v>
      </c>
      <c r="J444" s="87">
        <f t="shared" si="2"/>
        <v>-0.1479144069</v>
      </c>
      <c r="K444" s="84" t="str">
        <f t="shared" si="3"/>
        <v>Deflasi</v>
      </c>
      <c r="L444" s="91">
        <f t="shared" si="4"/>
        <v>-0.15</v>
      </c>
      <c r="M444" s="88" t="str">
        <f t="shared" si="5"/>
        <v>Perubahan Normal</v>
      </c>
    </row>
    <row r="445" ht="18.75" customHeight="1">
      <c r="A445" s="80" t="s">
        <v>448</v>
      </c>
      <c r="B445" s="81" t="str">
        <f t="shared" si="1"/>
        <v>Tanjung Selor</v>
      </c>
      <c r="C445" s="81" t="str">
        <f t="array" ref="C445">XLOOKUP(B445,Reference!$A$2:$A$152,Reference!$B$2:$B$152)</f>
        <v>Kalimantan Utara</v>
      </c>
      <c r="D445" s="82" t="s">
        <v>876</v>
      </c>
      <c r="E445" s="83">
        <v>45323.0</v>
      </c>
      <c r="F445" s="84" t="str">
        <f t="array" ref="F445">XLOOKUP(G445,Reference!$F:$F,Reference!$D:$D,"null")</f>
        <v>Makanan dan Pakaian </v>
      </c>
      <c r="G445" s="85" t="s">
        <v>72</v>
      </c>
      <c r="H445" s="86">
        <v>101.8</v>
      </c>
      <c r="I445" s="86">
        <v>101.8</v>
      </c>
      <c r="J445" s="87">
        <f t="shared" si="2"/>
        <v>0</v>
      </c>
      <c r="K445" s="84" t="str">
        <f t="shared" si="3"/>
        <v>Stabil</v>
      </c>
      <c r="L445" s="84">
        <f t="shared" si="4"/>
        <v>0</v>
      </c>
      <c r="M445" s="88" t="str">
        <f t="shared" si="5"/>
        <v>Perubahan Normal</v>
      </c>
    </row>
    <row r="446" ht="18.75" customHeight="1">
      <c r="A446" s="80" t="s">
        <v>429</v>
      </c>
      <c r="B446" s="81" t="str">
        <f t="shared" si="1"/>
        <v>Kab Nabire</v>
      </c>
      <c r="C446" s="81" t="str">
        <f t="array" ref="C446">XLOOKUP(B446,Reference!$A$2:$A$152,Reference!$B$2:$B$152)</f>
        <v>Papua</v>
      </c>
      <c r="D446" s="82" t="s">
        <v>877</v>
      </c>
      <c r="E446" s="83">
        <v>45323.0</v>
      </c>
      <c r="F446" s="84" t="str">
        <f t="array" ref="F446">XLOOKUP(G446,Reference!$F:$F,Reference!$D:$D,"null")</f>
        <v>Rumah Tangga</v>
      </c>
      <c r="G446" s="89" t="s">
        <v>89</v>
      </c>
      <c r="H446" s="90">
        <v>94.69</v>
      </c>
      <c r="I446" s="90">
        <v>94.44</v>
      </c>
      <c r="J446" s="87">
        <f t="shared" si="2"/>
        <v>0.2647183397</v>
      </c>
      <c r="K446" s="84" t="str">
        <f t="shared" si="3"/>
        <v>Inflasi Normal</v>
      </c>
      <c r="L446" s="91">
        <f t="shared" si="4"/>
        <v>0.25</v>
      </c>
      <c r="M446" s="88" t="str">
        <f t="shared" si="5"/>
        <v>Perubahan Normal</v>
      </c>
    </row>
    <row r="447" ht="18.75" customHeight="1">
      <c r="A447" s="80" t="s">
        <v>727</v>
      </c>
      <c r="B447" s="81" t="str">
        <f t="shared" si="1"/>
        <v>Kab Badung</v>
      </c>
      <c r="C447" s="81" t="str">
        <f t="array" ref="C447">XLOOKUP(B447,Reference!$A$2:$A$152,Reference!$B$2:$B$152)</f>
        <v>Bali</v>
      </c>
      <c r="D447" s="82" t="s">
        <v>878</v>
      </c>
      <c r="E447" s="83">
        <v>45323.0</v>
      </c>
      <c r="F447" s="84" t="str">
        <f t="array" ref="F447">XLOOKUP(G447,Reference!$F:$F,Reference!$D:$D,"null")</f>
        <v>Rumah Tangga</v>
      </c>
      <c r="G447" s="85" t="s">
        <v>89</v>
      </c>
      <c r="H447" s="86">
        <v>101.92</v>
      </c>
      <c r="I447" s="86">
        <v>101.92</v>
      </c>
      <c r="J447" s="87">
        <f t="shared" si="2"/>
        <v>0</v>
      </c>
      <c r="K447" s="84" t="str">
        <f t="shared" si="3"/>
        <v>Stabil</v>
      </c>
      <c r="L447" s="84">
        <f t="shared" si="4"/>
        <v>0</v>
      </c>
      <c r="M447" s="88" t="str">
        <f t="shared" si="5"/>
        <v>Perubahan Normal</v>
      </c>
    </row>
    <row r="448" ht="18.75" customHeight="1">
      <c r="A448" s="80" t="s">
        <v>391</v>
      </c>
      <c r="B448" s="81" t="str">
        <f t="shared" si="1"/>
        <v>Kota Batam</v>
      </c>
      <c r="C448" s="81" t="str">
        <f t="array" ref="C448">XLOOKUP(B448,Reference!$A$2:$A$152,Reference!$B$2:$B$152)</f>
        <v>Kepulauan Riau</v>
      </c>
      <c r="D448" s="82" t="s">
        <v>879</v>
      </c>
      <c r="E448" s="83">
        <v>45352.0</v>
      </c>
      <c r="F448" s="84" t="str">
        <f t="array" ref="F448">XLOOKUP(G448,Reference!$F:$F,Reference!$D:$D,"null")</f>
        <v>Rumah Tangga</v>
      </c>
      <c r="G448" s="85" t="s">
        <v>80</v>
      </c>
      <c r="H448" s="86">
        <v>105.96</v>
      </c>
      <c r="I448" s="86">
        <v>105.96</v>
      </c>
      <c r="J448" s="87">
        <f t="shared" si="2"/>
        <v>0</v>
      </c>
      <c r="K448" s="84" t="str">
        <f t="shared" si="3"/>
        <v>Stabil</v>
      </c>
      <c r="L448" s="84">
        <f t="shared" si="4"/>
        <v>0</v>
      </c>
      <c r="M448" s="88" t="str">
        <f t="shared" si="5"/>
        <v>Perubahan Normal</v>
      </c>
    </row>
    <row r="449" ht="18.75" customHeight="1">
      <c r="A449" s="80" t="s">
        <v>598</v>
      </c>
      <c r="B449" s="81" t="str">
        <f t="shared" si="1"/>
        <v>Kota Surakarta</v>
      </c>
      <c r="C449" s="81" t="str">
        <f t="array" ref="C449">XLOOKUP(B449,Reference!$A$2:$A$152,Reference!$B$2:$B$152)</f>
        <v>Jawa Tengah</v>
      </c>
      <c r="D449" s="82" t="s">
        <v>880</v>
      </c>
      <c r="E449" s="83">
        <v>45352.0</v>
      </c>
      <c r="F449" s="84" t="str">
        <f t="array" ref="F449">XLOOKUP(G449,Reference!$F:$F,Reference!$D:$D,"null")</f>
        <v>Rekreasi dan Kendaraan</v>
      </c>
      <c r="G449" s="85" t="s">
        <v>102</v>
      </c>
      <c r="H449" s="86">
        <v>105.79</v>
      </c>
      <c r="I449" s="86">
        <v>105.79</v>
      </c>
      <c r="J449" s="87">
        <f t="shared" si="2"/>
        <v>0</v>
      </c>
      <c r="K449" s="84" t="str">
        <f t="shared" si="3"/>
        <v>Stabil</v>
      </c>
      <c r="L449" s="84">
        <f t="shared" si="4"/>
        <v>0</v>
      </c>
      <c r="M449" s="88" t="str">
        <f t="shared" si="5"/>
        <v>Perubahan Normal</v>
      </c>
    </row>
    <row r="450" ht="18.75" customHeight="1">
      <c r="A450" s="80" t="s">
        <v>548</v>
      </c>
      <c r="B450" s="81" t="str">
        <f t="shared" si="1"/>
        <v>Kota Metro</v>
      </c>
      <c r="C450" s="81" t="str">
        <f t="array" ref="C450">XLOOKUP(B450,Reference!$A$2:$A$152,Reference!$B$2:$B$152)</f>
        <v>Lampung</v>
      </c>
      <c r="D450" s="82" t="s">
        <v>881</v>
      </c>
      <c r="E450" s="83">
        <v>45352.0</v>
      </c>
      <c r="F450" s="84" t="str">
        <f t="array" ref="F450">XLOOKUP(G450,Reference!$F:$F,Reference!$D:$D,"null")</f>
        <v>Pendidikan dan Kesehatan</v>
      </c>
      <c r="G450" s="85" t="s">
        <v>95</v>
      </c>
      <c r="H450" s="86">
        <v>101.55</v>
      </c>
      <c r="I450" s="86">
        <v>101.55</v>
      </c>
      <c r="J450" s="87">
        <f t="shared" si="2"/>
        <v>0</v>
      </c>
      <c r="K450" s="84" t="str">
        <f t="shared" si="3"/>
        <v>Stabil</v>
      </c>
      <c r="L450" s="84">
        <f t="shared" si="4"/>
        <v>0</v>
      </c>
      <c r="M450" s="88" t="str">
        <f t="shared" si="5"/>
        <v>Perubahan Normal</v>
      </c>
    </row>
    <row r="451" ht="18.75" customHeight="1">
      <c r="A451" s="80" t="s">
        <v>458</v>
      </c>
      <c r="B451" s="81" t="str">
        <f t="shared" si="1"/>
        <v>Kota Dumai</v>
      </c>
      <c r="C451" s="81" t="str">
        <f t="array" ref="C451">XLOOKUP(B451,Reference!$A$2:$A$152,Reference!$B$2:$B$152)</f>
        <v>Riau</v>
      </c>
      <c r="D451" s="82" t="s">
        <v>882</v>
      </c>
      <c r="E451" s="83">
        <v>45352.0</v>
      </c>
      <c r="F451" s="84" t="str">
        <f t="array" ref="F451">XLOOKUP(G451,Reference!$F:$F,Reference!$D:$D,"null")</f>
        <v>Makanan dan Pakaian </v>
      </c>
      <c r="G451" s="85" t="s">
        <v>64</v>
      </c>
      <c r="H451" s="86">
        <v>104.54</v>
      </c>
      <c r="I451" s="86">
        <v>104.46</v>
      </c>
      <c r="J451" s="87">
        <f t="shared" si="2"/>
        <v>0.0765843385</v>
      </c>
      <c r="K451" s="84" t="str">
        <f t="shared" si="3"/>
        <v>Inflasi Normal</v>
      </c>
      <c r="L451" s="84">
        <f t="shared" si="4"/>
        <v>0.08</v>
      </c>
      <c r="M451" s="88" t="str">
        <f t="shared" si="5"/>
        <v>Perubahan Normal</v>
      </c>
    </row>
    <row r="452" ht="18.75" customHeight="1">
      <c r="A452" s="80" t="s">
        <v>571</v>
      </c>
      <c r="B452" s="81" t="str">
        <f t="shared" si="1"/>
        <v>Kota Sorong</v>
      </c>
      <c r="C452" s="81" t="str">
        <f t="array" ref="C452">XLOOKUP(B452,Reference!$A$2:$A$152,Reference!$B$2:$B$152)</f>
        <v>Papua Barat Daya</v>
      </c>
      <c r="D452" s="82" t="s">
        <v>883</v>
      </c>
      <c r="E452" s="83">
        <v>45352.0</v>
      </c>
      <c r="F452" s="84" t="str">
        <f t="array" ref="F452">XLOOKUP(G452,Reference!$F:$F,Reference!$D:$D,"null")</f>
        <v>Rekreasi dan Kendaraan</v>
      </c>
      <c r="G452" s="85" t="s">
        <v>105</v>
      </c>
      <c r="H452" s="86">
        <v>106.02</v>
      </c>
      <c r="I452" s="86">
        <v>107.34</v>
      </c>
      <c r="J452" s="87">
        <f t="shared" si="2"/>
        <v>-1.229737283</v>
      </c>
      <c r="K452" s="84" t="str">
        <f t="shared" si="3"/>
        <v>Deflasi</v>
      </c>
      <c r="L452" s="84">
        <f t="shared" si="4"/>
        <v>-1.32</v>
      </c>
      <c r="M452" s="88" t="str">
        <f t="shared" si="5"/>
        <v>Perubahan Normal</v>
      </c>
    </row>
    <row r="453" ht="18.75" customHeight="1">
      <c r="A453" s="80" t="s">
        <v>353</v>
      </c>
      <c r="B453" s="81" t="str">
        <f t="shared" si="1"/>
        <v>Kota Bau Bau</v>
      </c>
      <c r="C453" s="81" t="str">
        <f t="array" ref="C453">XLOOKUP(B453,Reference!$A$2:$A$152,Reference!$B$2:$B$152)</f>
        <v>Sulawesi Tenggara</v>
      </c>
      <c r="D453" s="82" t="s">
        <v>884</v>
      </c>
      <c r="E453" s="83">
        <v>45352.0</v>
      </c>
      <c r="F453" s="84" t="str">
        <f t="array" ref="F453">XLOOKUP(G453,Reference!$F:$F,Reference!$D:$D,"null")</f>
        <v>Pendidikan dan Kesehatan</v>
      </c>
      <c r="G453" s="85" t="s">
        <v>95</v>
      </c>
      <c r="H453" s="86">
        <v>101.42</v>
      </c>
      <c r="I453" s="86">
        <v>101.42</v>
      </c>
      <c r="J453" s="87">
        <f t="shared" si="2"/>
        <v>0</v>
      </c>
      <c r="K453" s="84" t="str">
        <f t="shared" si="3"/>
        <v>Stabil</v>
      </c>
      <c r="L453" s="84">
        <f t="shared" si="4"/>
        <v>0</v>
      </c>
      <c r="M453" s="88" t="str">
        <f t="shared" si="5"/>
        <v>Perubahan Normal</v>
      </c>
    </row>
    <row r="454" ht="18.75" customHeight="1">
      <c r="A454" s="80" t="s">
        <v>822</v>
      </c>
      <c r="B454" s="81" t="str">
        <f t="shared" si="1"/>
        <v>Kota Pontianak</v>
      </c>
      <c r="C454" s="81" t="str">
        <f t="array" ref="C454">XLOOKUP(B454,Reference!$A$2:$A$152,Reference!$B$2:$B$152)</f>
        <v>Kalimantan Barat</v>
      </c>
      <c r="D454" s="82" t="s">
        <v>885</v>
      </c>
      <c r="E454" s="83">
        <v>45323.0</v>
      </c>
      <c r="F454" s="84" t="str">
        <f t="array" ref="F454">XLOOKUP(G454,Reference!$F:$F,Reference!$D:$D,"null")</f>
        <v>Makanan dan Pakaian </v>
      </c>
      <c r="G454" s="85" t="s">
        <v>64</v>
      </c>
      <c r="H454" s="86">
        <v>104.02</v>
      </c>
      <c r="I454" s="86">
        <v>104.03</v>
      </c>
      <c r="J454" s="87">
        <f t="shared" si="2"/>
        <v>-0.009612611747</v>
      </c>
      <c r="K454" s="84" t="str">
        <f t="shared" si="3"/>
        <v>Deflasi</v>
      </c>
      <c r="L454" s="84">
        <f t="shared" si="4"/>
        <v>-0.01</v>
      </c>
      <c r="M454" s="88" t="str">
        <f t="shared" si="5"/>
        <v>Perubahan Normal</v>
      </c>
    </row>
    <row r="455" ht="18.75" customHeight="1">
      <c r="A455" s="80" t="s">
        <v>433</v>
      </c>
      <c r="B455" s="81" t="str">
        <f t="shared" si="1"/>
        <v>Kab Tulungagung</v>
      </c>
      <c r="C455" s="81" t="str">
        <f t="array" ref="C455">XLOOKUP(B455,Reference!$A$2:$A$152,Reference!$B$2:$B$152)</f>
        <v>Jawa Timur</v>
      </c>
      <c r="D455" s="82" t="s">
        <v>886</v>
      </c>
      <c r="E455" s="83">
        <v>45323.0</v>
      </c>
      <c r="F455" s="84" t="str">
        <f t="array" ref="F455">XLOOKUP(G455,Reference!$F:$F,Reference!$D:$D,"null")</f>
        <v>Makanan dan Pakaian </v>
      </c>
      <c r="G455" s="85" t="s">
        <v>72</v>
      </c>
      <c r="H455" s="86">
        <v>105.35</v>
      </c>
      <c r="I455" s="86">
        <v>105.35</v>
      </c>
      <c r="J455" s="87">
        <f t="shared" si="2"/>
        <v>0</v>
      </c>
      <c r="K455" s="84" t="str">
        <f t="shared" si="3"/>
        <v>Stabil</v>
      </c>
      <c r="L455" s="84">
        <f t="shared" si="4"/>
        <v>0</v>
      </c>
      <c r="M455" s="88" t="str">
        <f t="shared" si="5"/>
        <v>Perubahan Normal</v>
      </c>
    </row>
    <row r="456" ht="18.75" customHeight="1">
      <c r="A456" s="80" t="s">
        <v>380</v>
      </c>
      <c r="B456" s="81" t="str">
        <f t="shared" si="1"/>
        <v>Kota Bengkulu</v>
      </c>
      <c r="C456" s="81" t="str">
        <f t="array" ref="C456">XLOOKUP(B456,Reference!$A$2:$A$152,Reference!$B$2:$B$152)</f>
        <v>Bengkulu</v>
      </c>
      <c r="D456" s="82" t="s">
        <v>887</v>
      </c>
      <c r="E456" s="83">
        <v>45352.0</v>
      </c>
      <c r="F456" s="84" t="str">
        <f t="array" ref="F456">XLOOKUP(G456,Reference!$F:$F,Reference!$D:$D,"null")</f>
        <v>Rekreasi dan Kendaraan</v>
      </c>
      <c r="G456" s="85" t="s">
        <v>105</v>
      </c>
      <c r="H456" s="86">
        <v>105.92</v>
      </c>
      <c r="I456" s="86">
        <v>105.92</v>
      </c>
      <c r="J456" s="87">
        <f t="shared" si="2"/>
        <v>0</v>
      </c>
      <c r="K456" s="84" t="str">
        <f t="shared" si="3"/>
        <v>Stabil</v>
      </c>
      <c r="L456" s="84">
        <f t="shared" si="4"/>
        <v>0</v>
      </c>
      <c r="M456" s="88" t="str">
        <f t="shared" si="5"/>
        <v>Perubahan Normal</v>
      </c>
    </row>
    <row r="457" ht="18.75" customHeight="1">
      <c r="A457" s="80" t="s">
        <v>598</v>
      </c>
      <c r="B457" s="81" t="str">
        <f t="shared" si="1"/>
        <v>Kota Surakarta</v>
      </c>
      <c r="C457" s="81" t="str">
        <f t="array" ref="C457">XLOOKUP(B457,Reference!$A$2:$A$152,Reference!$B$2:$B$152)</f>
        <v>Jawa Tengah</v>
      </c>
      <c r="D457" s="82" t="s">
        <v>888</v>
      </c>
      <c r="E457" s="83">
        <v>45323.0</v>
      </c>
      <c r="F457" s="84" t="str">
        <f t="array" ref="F457">XLOOKUP(G457,Reference!$F:$F,Reference!$D:$D,"null")</f>
        <v>Pendidikan dan Kesehatan</v>
      </c>
      <c r="G457" s="85" t="s">
        <v>98</v>
      </c>
      <c r="H457" s="86">
        <v>104.94</v>
      </c>
      <c r="I457" s="86">
        <v>105.64</v>
      </c>
      <c r="J457" s="87">
        <f t="shared" si="2"/>
        <v>-0.6626277925</v>
      </c>
      <c r="K457" s="84" t="str">
        <f t="shared" si="3"/>
        <v>Deflasi</v>
      </c>
      <c r="L457" s="84">
        <f t="shared" si="4"/>
        <v>-0.7</v>
      </c>
      <c r="M457" s="88" t="str">
        <f t="shared" si="5"/>
        <v>Perubahan Normal</v>
      </c>
    </row>
    <row r="458" ht="18.75" customHeight="1">
      <c r="A458" s="80" t="s">
        <v>425</v>
      </c>
      <c r="B458" s="81" t="str">
        <f t="shared" si="1"/>
        <v>Kab Gorontalo</v>
      </c>
      <c r="C458" s="81" t="str">
        <f t="array" ref="C458">XLOOKUP(B458,Reference!$A$2:$A$152,Reference!$B$2:$B$152)</f>
        <v>Gorontalo</v>
      </c>
      <c r="D458" s="82" t="s">
        <v>889</v>
      </c>
      <c r="E458" s="83">
        <v>45323.0</v>
      </c>
      <c r="F458" s="84" t="str">
        <f t="array" ref="F458">XLOOKUP(G458,Reference!$F:$F,Reference!$D:$D,"null")</f>
        <v>Rekreasi dan Kendaraan</v>
      </c>
      <c r="G458" s="85" t="s">
        <v>105</v>
      </c>
      <c r="H458" s="86">
        <v>99.4</v>
      </c>
      <c r="I458" s="86">
        <v>99.4</v>
      </c>
      <c r="J458" s="87">
        <f t="shared" si="2"/>
        <v>0</v>
      </c>
      <c r="K458" s="84" t="str">
        <f t="shared" si="3"/>
        <v>Stabil</v>
      </c>
      <c r="L458" s="84">
        <f t="shared" si="4"/>
        <v>0</v>
      </c>
      <c r="M458" s="88" t="str">
        <f t="shared" si="5"/>
        <v>Perubahan Normal</v>
      </c>
    </row>
    <row r="459" ht="18.75" customHeight="1">
      <c r="A459" s="80" t="s">
        <v>378</v>
      </c>
      <c r="B459" s="81" t="str">
        <f t="shared" si="1"/>
        <v>Kab Berau</v>
      </c>
      <c r="C459" s="81" t="str">
        <f t="array" ref="C459">XLOOKUP(B459,Reference!$A$2:$A$152,Reference!$B$2:$B$152)</f>
        <v>Kalimantan Timur</v>
      </c>
      <c r="D459" s="82" t="s">
        <v>890</v>
      </c>
      <c r="E459" s="83">
        <v>45352.0</v>
      </c>
      <c r="F459" s="84" t="str">
        <f t="array" ref="F459">XLOOKUP(G459,Reference!$F:$F,Reference!$D:$D,"null")</f>
        <v>Rumah Tangga</v>
      </c>
      <c r="G459" s="85" t="s">
        <v>84</v>
      </c>
      <c r="H459" s="86">
        <v>102.9</v>
      </c>
      <c r="I459" s="86">
        <v>102.75</v>
      </c>
      <c r="J459" s="87">
        <f t="shared" si="2"/>
        <v>0.1459854015</v>
      </c>
      <c r="K459" s="84" t="str">
        <f t="shared" si="3"/>
        <v>Inflasi Normal</v>
      </c>
      <c r="L459" s="84">
        <f t="shared" si="4"/>
        <v>0.15</v>
      </c>
      <c r="M459" s="88" t="str">
        <f t="shared" si="5"/>
        <v>Perubahan Normal</v>
      </c>
    </row>
    <row r="460" ht="18.75" customHeight="1">
      <c r="A460" s="92" t="s">
        <v>488</v>
      </c>
      <c r="B460" s="81" t="str">
        <f t="shared" si="1"/>
        <v>Kab Muko Muko</v>
      </c>
      <c r="C460" s="81" t="str">
        <f t="array" ref="C460">XLOOKUP(B460,Reference!$A$2:$A$152,Reference!$B$2:$B$152)</f>
        <v>Bengkulu</v>
      </c>
      <c r="D460" s="82" t="s">
        <v>891</v>
      </c>
      <c r="E460" s="83">
        <v>45352.0</v>
      </c>
      <c r="F460" s="84" t="str">
        <f t="array" ref="F460">XLOOKUP(G460,Reference!$F:$F,Reference!$D:$D,"null")</f>
        <v>Rumah Tangga</v>
      </c>
      <c r="G460" s="93" t="s">
        <v>80</v>
      </c>
      <c r="H460" s="94">
        <v>101.75</v>
      </c>
      <c r="I460" s="94">
        <v>101.75</v>
      </c>
      <c r="J460" s="87">
        <f t="shared" si="2"/>
        <v>0</v>
      </c>
      <c r="K460" s="84" t="str">
        <f t="shared" si="3"/>
        <v>Stabil</v>
      </c>
      <c r="L460" s="84">
        <f t="shared" si="4"/>
        <v>0</v>
      </c>
      <c r="M460" s="88" t="str">
        <f t="shared" si="5"/>
        <v>Perubahan Normal</v>
      </c>
    </row>
    <row r="461" ht="18.75" customHeight="1">
      <c r="A461" s="80" t="s">
        <v>387</v>
      </c>
      <c r="B461" s="81" t="str">
        <f t="shared" si="1"/>
        <v>Kota Semarang</v>
      </c>
      <c r="C461" s="81" t="str">
        <f t="array" ref="C461">XLOOKUP(B461,Reference!$A$2:$A$152,Reference!$B$2:$B$152)</f>
        <v>Jawa Tengah</v>
      </c>
      <c r="D461" s="82" t="s">
        <v>892</v>
      </c>
      <c r="E461" s="83">
        <v>45323.0</v>
      </c>
      <c r="F461" s="84" t="str">
        <f t="array" ref="F461">XLOOKUP(G461,Reference!$F:$F,Reference!$D:$D,"null")</f>
        <v>Rumah Tangga</v>
      </c>
      <c r="G461" s="85" t="s">
        <v>80</v>
      </c>
      <c r="H461" s="86">
        <v>100.82</v>
      </c>
      <c r="I461" s="86">
        <v>100.82</v>
      </c>
      <c r="J461" s="87">
        <f t="shared" si="2"/>
        <v>0</v>
      </c>
      <c r="K461" s="84" t="str">
        <f t="shared" si="3"/>
        <v>Stabil</v>
      </c>
      <c r="L461" s="84">
        <f t="shared" si="4"/>
        <v>0</v>
      </c>
      <c r="M461" s="88" t="str">
        <f t="shared" si="5"/>
        <v>Perubahan Normal</v>
      </c>
    </row>
    <row r="462" ht="18.75" customHeight="1">
      <c r="A462" s="80" t="s">
        <v>715</v>
      </c>
      <c r="B462" s="81" t="str">
        <f t="shared" si="1"/>
        <v>Kab Bojonegoro</v>
      </c>
      <c r="C462" s="81" t="str">
        <f t="array" ref="C462">XLOOKUP(B462,Reference!$A$2:$A$152,Reference!$B$2:$B$152)</f>
        <v>Jawa Timur</v>
      </c>
      <c r="D462" s="82" t="s">
        <v>893</v>
      </c>
      <c r="E462" s="83">
        <v>45323.0</v>
      </c>
      <c r="F462" s="84" t="str">
        <f t="array" ref="F462">XLOOKUP(G462,Reference!$F:$F,Reference!$D:$D,"null")</f>
        <v>Pendidikan dan Kesehatan</v>
      </c>
      <c r="G462" s="85" t="s">
        <v>95</v>
      </c>
      <c r="H462" s="86">
        <v>101.55</v>
      </c>
      <c r="I462" s="86">
        <v>100.93</v>
      </c>
      <c r="J462" s="87">
        <f t="shared" si="2"/>
        <v>0.6142871297</v>
      </c>
      <c r="K462" s="84" t="str">
        <f t="shared" si="3"/>
        <v>Inflasi Tinggi</v>
      </c>
      <c r="L462" s="84">
        <f t="shared" si="4"/>
        <v>0.62</v>
      </c>
      <c r="M462" s="88" t="str">
        <f t="shared" si="5"/>
        <v>Akselerasi Persentase</v>
      </c>
    </row>
    <row r="463" ht="18.75" customHeight="1">
      <c r="A463" s="80" t="s">
        <v>550</v>
      </c>
      <c r="B463" s="81" t="str">
        <f t="shared" si="1"/>
        <v>Kota Sukabumi</v>
      </c>
      <c r="C463" s="81" t="str">
        <f t="array" ref="C463">XLOOKUP(B463,Reference!$A$2:$A$152,Reference!$B$2:$B$152)</f>
        <v>Jawa Barat</v>
      </c>
      <c r="D463" s="82" t="s">
        <v>894</v>
      </c>
      <c r="E463" s="83">
        <v>45352.0</v>
      </c>
      <c r="F463" s="84" t="str">
        <f t="array" ref="F463">XLOOKUP(G463,Reference!$F:$F,Reference!$D:$D,"null")</f>
        <v>Rumah Tangga</v>
      </c>
      <c r="G463" s="85" t="s">
        <v>80</v>
      </c>
      <c r="H463" s="86">
        <v>103.18</v>
      </c>
      <c r="I463" s="86">
        <v>102.14</v>
      </c>
      <c r="J463" s="87">
        <f t="shared" si="2"/>
        <v>1.0182103</v>
      </c>
      <c r="K463" s="84" t="str">
        <f t="shared" si="3"/>
        <v>Inflasi Tinggi</v>
      </c>
      <c r="L463" s="84">
        <f t="shared" si="4"/>
        <v>1.04</v>
      </c>
      <c r="M463" s="88" t="str">
        <f t="shared" si="5"/>
        <v>Akselerasi Persentase</v>
      </c>
    </row>
    <row r="464" ht="18.75" customHeight="1">
      <c r="A464" s="80" t="s">
        <v>548</v>
      </c>
      <c r="B464" s="81" t="str">
        <f t="shared" si="1"/>
        <v>Kota Metro</v>
      </c>
      <c r="C464" s="81" t="str">
        <f t="array" ref="C464">XLOOKUP(B464,Reference!$A$2:$A$152,Reference!$B$2:$B$152)</f>
        <v>Lampung</v>
      </c>
      <c r="D464" s="82" t="s">
        <v>895</v>
      </c>
      <c r="E464" s="83">
        <v>45323.0</v>
      </c>
      <c r="F464" s="84" t="str">
        <f t="array" ref="F464">XLOOKUP(G464,Reference!$F:$F,Reference!$D:$D,"null")</f>
        <v>Makanan dan Pakaian </v>
      </c>
      <c r="G464" s="85" t="s">
        <v>48</v>
      </c>
      <c r="H464" s="86">
        <v>112.04</v>
      </c>
      <c r="I464" s="86">
        <v>109.3</v>
      </c>
      <c r="J464" s="87">
        <f t="shared" si="2"/>
        <v>2.506861848</v>
      </c>
      <c r="K464" s="84" t="str">
        <f t="shared" si="3"/>
        <v>Inflasi Tinggi</v>
      </c>
      <c r="L464" s="84">
        <f t="shared" si="4"/>
        <v>2.74</v>
      </c>
      <c r="M464" s="88" t="str">
        <f t="shared" si="5"/>
        <v>Akselerasi Kuat</v>
      </c>
    </row>
    <row r="465" ht="18.75" customHeight="1">
      <c r="A465" s="80" t="s">
        <v>445</v>
      </c>
      <c r="B465" s="81" t="str">
        <f t="shared" si="1"/>
        <v>Kab Bangka Barat</v>
      </c>
      <c r="C465" s="81" t="str">
        <f t="array" ref="C465">XLOOKUP(B465,Reference!$A$2:$A$152,Reference!$B$2:$B$152)</f>
        <v>Kepulauan Bangka Belitung</v>
      </c>
      <c r="D465" s="82" t="s">
        <v>896</v>
      </c>
      <c r="E465" s="83">
        <v>45323.0</v>
      </c>
      <c r="F465" s="84" t="str">
        <f t="array" ref="F465">XLOOKUP(G465,Reference!$F:$F,Reference!$D:$D,"null")</f>
        <v>Rumah Tangga</v>
      </c>
      <c r="G465" s="85" t="s">
        <v>89</v>
      </c>
      <c r="H465" s="86">
        <v>103.19</v>
      </c>
      <c r="I465" s="86">
        <v>104.01</v>
      </c>
      <c r="J465" s="87">
        <f t="shared" si="2"/>
        <v>-0.7883857321</v>
      </c>
      <c r="K465" s="84" t="str">
        <f t="shared" si="3"/>
        <v>Deflasi</v>
      </c>
      <c r="L465" s="84">
        <f t="shared" si="4"/>
        <v>-0.82</v>
      </c>
      <c r="M465" s="88" t="str">
        <f t="shared" si="5"/>
        <v>Perubahan Normal</v>
      </c>
    </row>
    <row r="466" ht="18.75" customHeight="1">
      <c r="A466" s="80" t="s">
        <v>600</v>
      </c>
      <c r="B466" s="81" t="str">
        <f t="shared" si="1"/>
        <v>Kota Banda Aceh</v>
      </c>
      <c r="C466" s="81" t="str">
        <f t="array" ref="C466">XLOOKUP(B466,Reference!$A$2:$A$152,Reference!$B$2:$B$152)</f>
        <v>Aceh</v>
      </c>
      <c r="D466" s="82" t="s">
        <v>897</v>
      </c>
      <c r="E466" s="83">
        <v>45323.0</v>
      </c>
      <c r="F466" s="84" t="str">
        <f t="array" ref="F466">XLOOKUP(G466,Reference!$F:$F,Reference!$D:$D,"null")</f>
        <v>Pendidikan dan Kesehatan</v>
      </c>
      <c r="G466" s="89" t="s">
        <v>95</v>
      </c>
      <c r="H466" s="90">
        <v>100.39</v>
      </c>
      <c r="I466" s="90">
        <v>100.36</v>
      </c>
      <c r="J466" s="87">
        <f t="shared" si="2"/>
        <v>0.02989238741</v>
      </c>
      <c r="K466" s="84" t="str">
        <f t="shared" si="3"/>
        <v>Inflasi Normal</v>
      </c>
      <c r="L466" s="91">
        <f t="shared" si="4"/>
        <v>0.03</v>
      </c>
      <c r="M466" s="88" t="str">
        <f t="shared" si="5"/>
        <v>Perubahan Normal</v>
      </c>
    </row>
    <row r="467" ht="18.75" customHeight="1">
      <c r="A467" s="80" t="s">
        <v>535</v>
      </c>
      <c r="B467" s="81" t="str">
        <f t="shared" si="1"/>
        <v>Kota Tarakan</v>
      </c>
      <c r="C467" s="81" t="str">
        <f t="array" ref="C467">XLOOKUP(B467,Reference!$A$2:$A$152,Reference!$B$2:$B$152)</f>
        <v>Kalimantan Utara</v>
      </c>
      <c r="D467" s="82" t="s">
        <v>898</v>
      </c>
      <c r="E467" s="83">
        <v>45323.0</v>
      </c>
      <c r="F467" s="84" t="str">
        <f t="array" ref="F467">XLOOKUP(G467,Reference!$F:$F,Reference!$D:$D,"null")</f>
        <v>Pendidikan dan Kesehatan</v>
      </c>
      <c r="G467" s="85" t="s">
        <v>98</v>
      </c>
      <c r="H467" s="86">
        <v>100.1</v>
      </c>
      <c r="I467" s="86">
        <v>100.1</v>
      </c>
      <c r="J467" s="87">
        <f t="shared" si="2"/>
        <v>0</v>
      </c>
      <c r="K467" s="84" t="str">
        <f t="shared" si="3"/>
        <v>Stabil</v>
      </c>
      <c r="L467" s="84">
        <f t="shared" si="4"/>
        <v>0</v>
      </c>
      <c r="M467" s="88" t="str">
        <f t="shared" si="5"/>
        <v>Perubahan Normal</v>
      </c>
    </row>
    <row r="468" ht="18.75" customHeight="1">
      <c r="A468" s="80" t="s">
        <v>495</v>
      </c>
      <c r="B468" s="81" t="str">
        <f t="shared" si="1"/>
        <v>Kota Medan</v>
      </c>
      <c r="C468" s="81" t="str">
        <f t="array" ref="C468">XLOOKUP(B468,Reference!$A$2:$A$152,Reference!$B$2:$B$152)</f>
        <v>Sumatera Utara</v>
      </c>
      <c r="D468" s="82" t="s">
        <v>899</v>
      </c>
      <c r="E468" s="83">
        <v>45352.0</v>
      </c>
      <c r="F468" s="84" t="str">
        <f t="array" ref="F468">XLOOKUP(G468,Reference!$F:$F,Reference!$D:$D,"null")</f>
        <v>Rumah Tangga</v>
      </c>
      <c r="G468" s="85" t="s">
        <v>89</v>
      </c>
      <c r="H468" s="86">
        <v>100.47</v>
      </c>
      <c r="I468" s="86">
        <v>100.47</v>
      </c>
      <c r="J468" s="87">
        <f t="shared" si="2"/>
        <v>0</v>
      </c>
      <c r="K468" s="84" t="str">
        <f t="shared" si="3"/>
        <v>Stabil</v>
      </c>
      <c r="L468" s="84">
        <f t="shared" si="4"/>
        <v>0</v>
      </c>
      <c r="M468" s="88" t="str">
        <f t="shared" si="5"/>
        <v>Perubahan Normal</v>
      </c>
    </row>
    <row r="469" ht="18.75" customHeight="1">
      <c r="A469" s="80" t="s">
        <v>423</v>
      </c>
      <c r="B469" s="81" t="str">
        <f t="shared" si="1"/>
        <v>Kota Kotamobagu</v>
      </c>
      <c r="C469" s="81" t="str">
        <f t="array" ref="C469">XLOOKUP(B469,Reference!$A$2:$A$152,Reference!$B$2:$B$152)</f>
        <v>Sulawesi Utara</v>
      </c>
      <c r="D469" s="82" t="s">
        <v>900</v>
      </c>
      <c r="E469" s="83">
        <v>45323.0</v>
      </c>
      <c r="F469" s="84" t="str">
        <f t="array" ref="F469">XLOOKUP(G469,Reference!$F:$F,Reference!$D:$D,"null")</f>
        <v>Makanan dan Pakaian </v>
      </c>
      <c r="G469" s="85" t="s">
        <v>64</v>
      </c>
      <c r="H469" s="86">
        <v>100.85</v>
      </c>
      <c r="I469" s="86">
        <v>100.68</v>
      </c>
      <c r="J469" s="87">
        <f t="shared" si="2"/>
        <v>0.1688518077</v>
      </c>
      <c r="K469" s="84" t="str">
        <f t="shared" si="3"/>
        <v>Inflasi Normal</v>
      </c>
      <c r="L469" s="84">
        <f t="shared" si="4"/>
        <v>0.17</v>
      </c>
      <c r="M469" s="88" t="str">
        <f t="shared" si="5"/>
        <v>Perubahan Normal</v>
      </c>
    </row>
    <row r="470" ht="18.75" customHeight="1">
      <c r="A470" s="80" t="s">
        <v>335</v>
      </c>
      <c r="B470" s="81" t="str">
        <f t="shared" si="1"/>
        <v>Kab Wonogiri</v>
      </c>
      <c r="C470" s="81" t="str">
        <f t="array" ref="C470">XLOOKUP(B470,Reference!$A$2:$A$152,Reference!$B$2:$B$152)</f>
        <v>Jawa Tengah</v>
      </c>
      <c r="D470" s="82" t="s">
        <v>901</v>
      </c>
      <c r="E470" s="83">
        <v>45352.0</v>
      </c>
      <c r="F470" s="84" t="str">
        <f t="array" ref="F470">XLOOKUP(G470,Reference!$F:$F,Reference!$D:$D,"null")</f>
        <v>Pendidikan dan Kesehatan</v>
      </c>
      <c r="G470" s="85" t="s">
        <v>98</v>
      </c>
      <c r="H470" s="86">
        <v>103.36</v>
      </c>
      <c r="I470" s="86">
        <v>102.53</v>
      </c>
      <c r="J470" s="87">
        <f t="shared" si="2"/>
        <v>0.8095191651</v>
      </c>
      <c r="K470" s="84" t="str">
        <f t="shared" si="3"/>
        <v>Inflasi Tinggi</v>
      </c>
      <c r="L470" s="84">
        <f t="shared" si="4"/>
        <v>0.83</v>
      </c>
      <c r="M470" s="88" t="str">
        <f t="shared" si="5"/>
        <v>Akselerasi Persentase</v>
      </c>
    </row>
    <row r="471" ht="18.75" customHeight="1">
      <c r="A471" s="80" t="s">
        <v>423</v>
      </c>
      <c r="B471" s="81" t="str">
        <f t="shared" si="1"/>
        <v>Kota Kotamobagu</v>
      </c>
      <c r="C471" s="81" t="str">
        <f t="array" ref="C471">XLOOKUP(B471,Reference!$A$2:$A$152,Reference!$B$2:$B$152)</f>
        <v>Sulawesi Utara</v>
      </c>
      <c r="D471" s="82" t="s">
        <v>902</v>
      </c>
      <c r="E471" s="83">
        <v>45352.0</v>
      </c>
      <c r="F471" s="84" t="str">
        <f t="array" ref="F471">XLOOKUP(G471,Reference!$F:$F,Reference!$D:$D,"null")</f>
        <v>Makanan dan Pakaian </v>
      </c>
      <c r="G471" s="85" t="s">
        <v>64</v>
      </c>
      <c r="H471" s="86">
        <v>100.97</v>
      </c>
      <c r="I471" s="86">
        <v>100.85</v>
      </c>
      <c r="J471" s="87">
        <f t="shared" si="2"/>
        <v>0.1189885969</v>
      </c>
      <c r="K471" s="84" t="str">
        <f t="shared" si="3"/>
        <v>Inflasi Normal</v>
      </c>
      <c r="L471" s="84">
        <f t="shared" si="4"/>
        <v>0.12</v>
      </c>
      <c r="M471" s="88" t="str">
        <f t="shared" si="5"/>
        <v>Perubahan Normal</v>
      </c>
    </row>
    <row r="472" ht="18.75" customHeight="1">
      <c r="A472" s="80" t="s">
        <v>322</v>
      </c>
      <c r="B472" s="81" t="str">
        <f t="shared" si="1"/>
        <v>Purwokerto</v>
      </c>
      <c r="C472" s="81" t="str">
        <f t="array" ref="C472">XLOOKUP(B472,Reference!$A$2:$A$152,Reference!$B$2:$B$152)</f>
        <v>Jawa Tengah</v>
      </c>
      <c r="D472" s="82" t="s">
        <v>903</v>
      </c>
      <c r="E472" s="83">
        <v>45352.0</v>
      </c>
      <c r="F472" s="84" t="str">
        <f t="array" ref="F472">XLOOKUP(G472,Reference!$F:$F,Reference!$D:$D,"null")</f>
        <v>Pendidikan dan Kesehatan</v>
      </c>
      <c r="G472" s="85" t="s">
        <v>98</v>
      </c>
      <c r="H472" s="86">
        <v>103.84</v>
      </c>
      <c r="I472" s="86">
        <v>103.8</v>
      </c>
      <c r="J472" s="87">
        <f t="shared" si="2"/>
        <v>0.03853564547</v>
      </c>
      <c r="K472" s="84" t="str">
        <f t="shared" si="3"/>
        <v>Inflasi Normal</v>
      </c>
      <c r="L472" s="84">
        <f t="shared" si="4"/>
        <v>0.04</v>
      </c>
      <c r="M472" s="88" t="str">
        <f t="shared" si="5"/>
        <v>Perubahan Normal</v>
      </c>
    </row>
    <row r="473" ht="18.75" customHeight="1">
      <c r="A473" s="80" t="s">
        <v>586</v>
      </c>
      <c r="B473" s="81" t="str">
        <f t="shared" si="1"/>
        <v>Kab Karimun</v>
      </c>
      <c r="C473" s="81" t="str">
        <f t="array" ref="C473">XLOOKUP(B473,Reference!$A$2:$A$152,Reference!$B$2:$B$152)</f>
        <v>Kepulauan Riau</v>
      </c>
      <c r="D473" s="82" t="s">
        <v>904</v>
      </c>
      <c r="E473" s="83">
        <v>45352.0</v>
      </c>
      <c r="F473" s="84" t="str">
        <f t="array" ref="F473">XLOOKUP(G473,Reference!$F:$F,Reference!$D:$D,"null")</f>
        <v>Makanan dan Pakaian </v>
      </c>
      <c r="G473" s="85" t="s">
        <v>64</v>
      </c>
      <c r="H473" s="86">
        <v>101.85</v>
      </c>
      <c r="I473" s="86">
        <v>101.85</v>
      </c>
      <c r="J473" s="87">
        <f t="shared" si="2"/>
        <v>0</v>
      </c>
      <c r="K473" s="84" t="str">
        <f t="shared" si="3"/>
        <v>Stabil</v>
      </c>
      <c r="L473" s="84">
        <f t="shared" si="4"/>
        <v>0</v>
      </c>
      <c r="M473" s="88" t="str">
        <f t="shared" si="5"/>
        <v>Perubahan Normal</v>
      </c>
    </row>
    <row r="474" ht="18.75" customHeight="1">
      <c r="A474" s="80" t="s">
        <v>905</v>
      </c>
      <c r="B474" s="81" t="str">
        <f t="shared" si="1"/>
        <v>Kota Ambon</v>
      </c>
      <c r="C474" s="81" t="str">
        <f t="array" ref="C474">XLOOKUP(B474,Reference!$A$2:$A$152,Reference!$B$2:$B$152)</f>
        <v>Maluku</v>
      </c>
      <c r="D474" s="82" t="s">
        <v>906</v>
      </c>
      <c r="E474" s="83">
        <v>45323.0</v>
      </c>
      <c r="F474" s="84" t="str">
        <f t="array" ref="F474">XLOOKUP(G474,Reference!$F:$F,Reference!$D:$D,"null")</f>
        <v>Rumah Tangga</v>
      </c>
      <c r="G474" s="85" t="s">
        <v>84</v>
      </c>
      <c r="H474" s="86">
        <v>102.6</v>
      </c>
      <c r="I474" s="86">
        <v>102.48</v>
      </c>
      <c r="J474" s="87">
        <f t="shared" si="2"/>
        <v>0.1170960187</v>
      </c>
      <c r="K474" s="84" t="str">
        <f t="shared" si="3"/>
        <v>Inflasi Normal</v>
      </c>
      <c r="L474" s="84">
        <f t="shared" si="4"/>
        <v>0.12</v>
      </c>
      <c r="M474" s="88" t="str">
        <f t="shared" si="5"/>
        <v>Perubahan Normal</v>
      </c>
    </row>
    <row r="475" ht="18.75" customHeight="1">
      <c r="A475" s="80" t="s">
        <v>349</v>
      </c>
      <c r="B475" s="81" t="str">
        <f t="shared" si="1"/>
        <v>Kota Banjarmasin</v>
      </c>
      <c r="C475" s="81" t="str">
        <f t="array" ref="C475">XLOOKUP(B475,Reference!$A$2:$A$152,Reference!$B$2:$B$152)</f>
        <v>Kalimantan Selatan</v>
      </c>
      <c r="D475" s="82" t="s">
        <v>907</v>
      </c>
      <c r="E475" s="83">
        <v>45352.0</v>
      </c>
      <c r="F475" s="84" t="str">
        <f t="array" ref="F475">XLOOKUP(G475,Reference!$F:$F,Reference!$D:$D,"null")</f>
        <v>Rekreasi dan Kendaraan</v>
      </c>
      <c r="G475" s="85" t="s">
        <v>102</v>
      </c>
      <c r="H475" s="86">
        <v>109.56</v>
      </c>
      <c r="I475" s="86">
        <v>109.51</v>
      </c>
      <c r="J475" s="87">
        <f t="shared" si="2"/>
        <v>0.04565793078</v>
      </c>
      <c r="K475" s="84" t="str">
        <f t="shared" si="3"/>
        <v>Inflasi Normal</v>
      </c>
      <c r="L475" s="84">
        <f t="shared" si="4"/>
        <v>0.05</v>
      </c>
      <c r="M475" s="88" t="str">
        <f t="shared" si="5"/>
        <v>Perubahan Normal</v>
      </c>
    </row>
    <row r="476" ht="18.75" customHeight="1">
      <c r="A476" s="80" t="s">
        <v>306</v>
      </c>
      <c r="B476" s="81" t="str">
        <f t="shared" si="1"/>
        <v>Kota Padang</v>
      </c>
      <c r="C476" s="81" t="str">
        <f t="array" ref="C476">XLOOKUP(B476,Reference!$A$2:$A$152,Reference!$B$2:$B$152)</f>
        <v>Sumatera Barat</v>
      </c>
      <c r="D476" s="82" t="s">
        <v>908</v>
      </c>
      <c r="E476" s="83">
        <v>45323.0</v>
      </c>
      <c r="F476" s="84" t="str">
        <f t="array" ref="F476">XLOOKUP(G476,Reference!$F:$F,Reference!$D:$D,"null")</f>
        <v>Rekreasi dan Kendaraan</v>
      </c>
      <c r="G476" s="85" t="s">
        <v>102</v>
      </c>
      <c r="H476" s="86">
        <v>102.14</v>
      </c>
      <c r="I476" s="86">
        <v>102.0</v>
      </c>
      <c r="J476" s="87">
        <f t="shared" si="2"/>
        <v>0.137254902</v>
      </c>
      <c r="K476" s="84" t="str">
        <f t="shared" si="3"/>
        <v>Inflasi Normal</v>
      </c>
      <c r="L476" s="84">
        <f t="shared" si="4"/>
        <v>0.14</v>
      </c>
      <c r="M476" s="88" t="str">
        <f t="shared" si="5"/>
        <v>Perubahan Normal</v>
      </c>
    </row>
    <row r="477" ht="18.75" customHeight="1">
      <c r="A477" s="80" t="s">
        <v>378</v>
      </c>
      <c r="B477" s="81" t="str">
        <f t="shared" si="1"/>
        <v>Kab Berau</v>
      </c>
      <c r="C477" s="81" t="str">
        <f t="array" ref="C477">XLOOKUP(B477,Reference!$A$2:$A$152,Reference!$B$2:$B$152)</f>
        <v>Kalimantan Timur</v>
      </c>
      <c r="D477" s="82" t="s">
        <v>909</v>
      </c>
      <c r="E477" s="83">
        <v>45323.0</v>
      </c>
      <c r="F477" s="84" t="str">
        <f t="array" ref="F477">XLOOKUP(G477,Reference!$F:$F,Reference!$D:$D,"null")</f>
        <v>Makanan dan Pakaian </v>
      </c>
      <c r="G477" s="89" t="s">
        <v>72</v>
      </c>
      <c r="H477" s="90">
        <v>105.6</v>
      </c>
      <c r="I477" s="90">
        <v>105.14</v>
      </c>
      <c r="J477" s="87">
        <f t="shared" si="2"/>
        <v>0.4375118889</v>
      </c>
      <c r="K477" s="84" t="str">
        <f t="shared" si="3"/>
        <v>Inflasi Normal</v>
      </c>
      <c r="L477" s="91">
        <f t="shared" si="4"/>
        <v>0.46</v>
      </c>
      <c r="M477" s="88" t="str">
        <f t="shared" si="5"/>
        <v>Perubahan Normal</v>
      </c>
    </row>
    <row r="478" ht="18.75" customHeight="1">
      <c r="A478" s="80" t="s">
        <v>342</v>
      </c>
      <c r="B478" s="81" t="str">
        <f t="shared" si="1"/>
        <v>Kab Bandung</v>
      </c>
      <c r="C478" s="81" t="str">
        <f t="array" ref="C478">XLOOKUP(B478,Reference!$A$2:$A$152,Reference!$B$2:$B$152)</f>
        <v>Jawa Barat</v>
      </c>
      <c r="D478" s="82" t="s">
        <v>910</v>
      </c>
      <c r="E478" s="83">
        <v>45323.0</v>
      </c>
      <c r="F478" s="84" t="str">
        <f t="array" ref="F478">XLOOKUP(G478,Reference!$F:$F,Reference!$D:$D,"null")</f>
        <v>Makanan dan Pakaian </v>
      </c>
      <c r="G478" s="85" t="s">
        <v>48</v>
      </c>
      <c r="H478" s="86">
        <v>109.13</v>
      </c>
      <c r="I478" s="86">
        <v>108.01</v>
      </c>
      <c r="J478" s="87">
        <f t="shared" si="2"/>
        <v>1.036941024</v>
      </c>
      <c r="K478" s="84" t="str">
        <f t="shared" si="3"/>
        <v>Inflasi Tinggi</v>
      </c>
      <c r="L478" s="84">
        <f t="shared" si="4"/>
        <v>1.12</v>
      </c>
      <c r="M478" s="88" t="str">
        <f t="shared" si="5"/>
        <v>Akselerasi Persentase</v>
      </c>
    </row>
    <row r="479" ht="18.75" customHeight="1">
      <c r="A479" s="80" t="s">
        <v>308</v>
      </c>
      <c r="B479" s="81" t="str">
        <f t="shared" si="1"/>
        <v>Kab Sukamara</v>
      </c>
      <c r="C479" s="81" t="str">
        <f t="array" ref="C479">XLOOKUP(B479,Reference!$A$2:$A$152,Reference!$B$2:$B$152)</f>
        <v>Kalimantan Tengah</v>
      </c>
      <c r="D479" s="82" t="s">
        <v>911</v>
      </c>
      <c r="E479" s="83">
        <v>45323.0</v>
      </c>
      <c r="F479" s="84" t="str">
        <f t="array" ref="F479">XLOOKUP(G479,Reference!$F:$F,Reference!$D:$D,"null")</f>
        <v>Rekreasi dan Kendaraan</v>
      </c>
      <c r="G479" s="85" t="s">
        <v>102</v>
      </c>
      <c r="H479" s="86">
        <v>114.33</v>
      </c>
      <c r="I479" s="86">
        <v>114.33</v>
      </c>
      <c r="J479" s="87">
        <f t="shared" si="2"/>
        <v>0</v>
      </c>
      <c r="K479" s="84" t="str">
        <f t="shared" si="3"/>
        <v>Stabil</v>
      </c>
      <c r="L479" s="84">
        <f t="shared" si="4"/>
        <v>0</v>
      </c>
      <c r="M479" s="88" t="str">
        <f t="shared" si="5"/>
        <v>Perubahan Normal</v>
      </c>
    </row>
    <row r="480" ht="18.75" customHeight="1">
      <c r="A480" s="80" t="s">
        <v>384</v>
      </c>
      <c r="B480" s="81" t="str">
        <f t="shared" si="1"/>
        <v>Kab Lebak</v>
      </c>
      <c r="C480" s="81" t="str">
        <f t="array" ref="C480">XLOOKUP(B480,Reference!$A$2:$A$152,Reference!$B$2:$B$152)</f>
        <v>Banten</v>
      </c>
      <c r="D480" s="82" t="s">
        <v>912</v>
      </c>
      <c r="E480" s="83">
        <v>45352.0</v>
      </c>
      <c r="F480" s="84" t="str">
        <f t="array" ref="F480">XLOOKUP(G480,Reference!$F:$F,Reference!$D:$D,"null")</f>
        <v>Rumah Tangga</v>
      </c>
      <c r="G480" s="85" t="s">
        <v>80</v>
      </c>
      <c r="H480" s="86">
        <v>100.88</v>
      </c>
      <c r="I480" s="86">
        <v>100.88</v>
      </c>
      <c r="J480" s="87">
        <f t="shared" si="2"/>
        <v>0</v>
      </c>
      <c r="K480" s="84" t="str">
        <f t="shared" si="3"/>
        <v>Stabil</v>
      </c>
      <c r="L480" s="84">
        <f t="shared" si="4"/>
        <v>0</v>
      </c>
      <c r="M480" s="88" t="str">
        <f t="shared" si="5"/>
        <v>Perubahan Normal</v>
      </c>
    </row>
    <row r="481" ht="18.75" customHeight="1">
      <c r="A481" s="80" t="s">
        <v>360</v>
      </c>
      <c r="B481" s="81" t="str">
        <f t="shared" si="1"/>
        <v>Kab Wonosobo</v>
      </c>
      <c r="C481" s="81" t="str">
        <f t="array" ref="C481">XLOOKUP(B481,Reference!$A$2:$A$152,Reference!$B$2:$B$152)</f>
        <v>Jawa Tengah</v>
      </c>
      <c r="D481" s="82" t="s">
        <v>913</v>
      </c>
      <c r="E481" s="83">
        <v>45352.0</v>
      </c>
      <c r="F481" s="84" t="str">
        <f t="array" ref="F481">XLOOKUP(G481,Reference!$F:$F,Reference!$D:$D,"null")</f>
        <v>Rumah Tangga</v>
      </c>
      <c r="G481" s="85" t="s">
        <v>89</v>
      </c>
      <c r="H481" s="86">
        <v>101.86</v>
      </c>
      <c r="I481" s="86">
        <v>101.86</v>
      </c>
      <c r="J481" s="87">
        <f t="shared" si="2"/>
        <v>0</v>
      </c>
      <c r="K481" s="84" t="str">
        <f t="shared" si="3"/>
        <v>Stabil</v>
      </c>
      <c r="L481" s="84">
        <f t="shared" si="4"/>
        <v>0</v>
      </c>
      <c r="M481" s="88" t="str">
        <f t="shared" si="5"/>
        <v>Perubahan Normal</v>
      </c>
    </row>
    <row r="482" ht="18.75" customHeight="1">
      <c r="A482" s="80" t="s">
        <v>466</v>
      </c>
      <c r="B482" s="81" t="str">
        <f t="shared" si="1"/>
        <v>Kota Surabaya</v>
      </c>
      <c r="C482" s="81" t="str">
        <f t="array" ref="C482">XLOOKUP(B482,Reference!$A$2:$A$152,Reference!$B$2:$B$152)</f>
        <v>Jawa Timur</v>
      </c>
      <c r="D482" s="82" t="s">
        <v>914</v>
      </c>
      <c r="E482" s="83">
        <v>45352.0</v>
      </c>
      <c r="F482" s="84" t="str">
        <f t="array" ref="F482">XLOOKUP(G482,Reference!$F:$F,Reference!$D:$D,"null")</f>
        <v>Makanan dan Pakaian </v>
      </c>
      <c r="G482" s="85" t="s">
        <v>64</v>
      </c>
      <c r="H482" s="86">
        <v>104.98</v>
      </c>
      <c r="I482" s="86">
        <v>104.66</v>
      </c>
      <c r="J482" s="87">
        <f t="shared" si="2"/>
        <v>0.3057519587</v>
      </c>
      <c r="K482" s="84" t="str">
        <f t="shared" si="3"/>
        <v>Inflasi Normal</v>
      </c>
      <c r="L482" s="84">
        <f t="shared" si="4"/>
        <v>0.32</v>
      </c>
      <c r="M482" s="88" t="str">
        <f t="shared" si="5"/>
        <v>Perubahan Normal</v>
      </c>
    </row>
    <row r="483" ht="18.75" customHeight="1">
      <c r="A483" s="80" t="s">
        <v>764</v>
      </c>
      <c r="B483" s="81" t="str">
        <f t="shared" si="1"/>
        <v>Kota Madiun</v>
      </c>
      <c r="C483" s="81" t="str">
        <f t="array" ref="C483">XLOOKUP(B483,Reference!$A$2:$A$152,Reference!$B$2:$B$152)</f>
        <v>Jawa Timur</v>
      </c>
      <c r="D483" s="82" t="s">
        <v>915</v>
      </c>
      <c r="E483" s="83">
        <v>45352.0</v>
      </c>
      <c r="F483" s="84" t="str">
        <f t="array" ref="F483">XLOOKUP(G483,Reference!$F:$F,Reference!$D:$D,"null")</f>
        <v>Makanan dan Pakaian </v>
      </c>
      <c r="G483" s="85" t="s">
        <v>48</v>
      </c>
      <c r="H483" s="86">
        <v>114.15</v>
      </c>
      <c r="I483" s="86">
        <v>111.16</v>
      </c>
      <c r="J483" s="87">
        <f t="shared" si="2"/>
        <v>2.689816481</v>
      </c>
      <c r="K483" s="84" t="str">
        <f t="shared" si="3"/>
        <v>Inflasi Tinggi</v>
      </c>
      <c r="L483" s="84">
        <f t="shared" si="4"/>
        <v>2.99</v>
      </c>
      <c r="M483" s="88" t="str">
        <f t="shared" si="5"/>
        <v>Akselerasi Kuat</v>
      </c>
    </row>
    <row r="484" ht="18.75" customHeight="1">
      <c r="A484" s="80" t="s">
        <v>680</v>
      </c>
      <c r="B484" s="81" t="str">
        <f t="shared" si="1"/>
        <v>Kota Pekanbaru</v>
      </c>
      <c r="C484" s="81" t="str">
        <f t="array" ref="C484">XLOOKUP(B484,Reference!$A$2:$A$152,Reference!$B$2:$B$152)</f>
        <v>Riau</v>
      </c>
      <c r="D484" s="82" t="s">
        <v>916</v>
      </c>
      <c r="E484" s="83">
        <v>45323.0</v>
      </c>
      <c r="F484" s="84" t="str">
        <f t="array" ref="F484">XLOOKUP(G484,Reference!$F:$F,Reference!$D:$D,"null")</f>
        <v>Makanan dan Pakaian </v>
      </c>
      <c r="G484" s="85" t="s">
        <v>64</v>
      </c>
      <c r="H484" s="86">
        <v>101.45</v>
      </c>
      <c r="I484" s="86">
        <v>101.46</v>
      </c>
      <c r="J484" s="87">
        <f t="shared" si="2"/>
        <v>-0.009856100926</v>
      </c>
      <c r="K484" s="84" t="str">
        <f t="shared" si="3"/>
        <v>Deflasi</v>
      </c>
      <c r="L484" s="84">
        <f t="shared" si="4"/>
        <v>-0.01</v>
      </c>
      <c r="M484" s="88" t="str">
        <f t="shared" si="5"/>
        <v>Perubahan Normal</v>
      </c>
    </row>
    <row r="485" ht="18.75" customHeight="1">
      <c r="A485" s="80" t="s">
        <v>497</v>
      </c>
      <c r="B485" s="81" t="str">
        <f t="shared" si="1"/>
        <v>Tanjung Pandan</v>
      </c>
      <c r="C485" s="81" t="str">
        <f t="array" ref="C485">XLOOKUP(B485,Reference!$A$2:$A$152,Reference!$B$2:$B$152)</f>
        <v>Kepulauan Bangka Belitung</v>
      </c>
      <c r="D485" s="82" t="s">
        <v>917</v>
      </c>
      <c r="E485" s="83">
        <v>45323.0</v>
      </c>
      <c r="F485" s="84" t="str">
        <f t="array" ref="F485">XLOOKUP(G485,Reference!$F:$F,Reference!$D:$D,"null")</f>
        <v>Rekreasi dan Kendaraan</v>
      </c>
      <c r="G485" s="85" t="s">
        <v>105</v>
      </c>
      <c r="H485" s="86">
        <v>103.06</v>
      </c>
      <c r="I485" s="86">
        <v>102.26</v>
      </c>
      <c r="J485" s="87">
        <f t="shared" si="2"/>
        <v>0.7823195775</v>
      </c>
      <c r="K485" s="84" t="str">
        <f t="shared" si="3"/>
        <v>Inflasi Tinggi</v>
      </c>
      <c r="L485" s="84">
        <f t="shared" si="4"/>
        <v>0.8</v>
      </c>
      <c r="M485" s="88" t="str">
        <f t="shared" si="5"/>
        <v>Akselerasi Persentase</v>
      </c>
    </row>
    <row r="486" ht="18.75" customHeight="1">
      <c r="A486" s="80" t="s">
        <v>468</v>
      </c>
      <c r="B486" s="81" t="str">
        <f t="shared" si="1"/>
        <v>Timika</v>
      </c>
      <c r="C486" s="81" t="str">
        <f t="array" ref="C486">XLOOKUP(B486,Reference!$A$2:$A$152,Reference!$B$2:$B$152)</f>
        <v>Papua</v>
      </c>
      <c r="D486" s="82" t="s">
        <v>918</v>
      </c>
      <c r="E486" s="83">
        <v>45323.0</v>
      </c>
      <c r="F486" s="84" t="str">
        <f t="array" ref="F486">XLOOKUP(G486,Reference!$F:$F,Reference!$D:$D,"null")</f>
        <v>Makanan dan Pakaian </v>
      </c>
      <c r="G486" s="89" t="s">
        <v>48</v>
      </c>
      <c r="H486" s="90">
        <v>106.28</v>
      </c>
      <c r="I486" s="90">
        <v>109.21</v>
      </c>
      <c r="J486" s="87">
        <f t="shared" si="2"/>
        <v>-2.682904496</v>
      </c>
      <c r="K486" s="84" t="str">
        <f t="shared" si="3"/>
        <v>Deflasi</v>
      </c>
      <c r="L486" s="91">
        <f t="shared" si="4"/>
        <v>-2.93</v>
      </c>
      <c r="M486" s="88" t="str">
        <f t="shared" si="5"/>
        <v>Perubahan Normal</v>
      </c>
    </row>
    <row r="487" ht="18.75" customHeight="1">
      <c r="A487" s="80" t="s">
        <v>532</v>
      </c>
      <c r="B487" s="81" t="str">
        <f t="shared" si="1"/>
        <v>Kota Palembang</v>
      </c>
      <c r="C487" s="81" t="str">
        <f t="array" ref="C487">XLOOKUP(B487,Reference!$A$2:$A$152,Reference!$B$2:$B$152)</f>
        <v>Sumatera Selatan</v>
      </c>
      <c r="D487" s="82" t="s">
        <v>919</v>
      </c>
      <c r="E487" s="83">
        <v>45323.0</v>
      </c>
      <c r="F487" s="84" t="str">
        <f t="array" ref="F487">XLOOKUP(G487,Reference!$F:$F,Reference!$D:$D,"null")</f>
        <v>Makanan dan Pakaian </v>
      </c>
      <c r="G487" s="85" t="s">
        <v>72</v>
      </c>
      <c r="H487" s="86">
        <v>102.97</v>
      </c>
      <c r="I487" s="86">
        <v>102.97</v>
      </c>
      <c r="J487" s="87">
        <f t="shared" si="2"/>
        <v>0</v>
      </c>
      <c r="K487" s="84" t="str">
        <f t="shared" si="3"/>
        <v>Stabil</v>
      </c>
      <c r="L487" s="84">
        <f t="shared" si="4"/>
        <v>0</v>
      </c>
      <c r="M487" s="88" t="str">
        <f t="shared" si="5"/>
        <v>Perubahan Normal</v>
      </c>
    </row>
    <row r="488" ht="18.75" customHeight="1">
      <c r="A488" s="80" t="s">
        <v>920</v>
      </c>
      <c r="B488" s="81" t="str">
        <f t="shared" si="1"/>
        <v>Kab Deli Serdang</v>
      </c>
      <c r="C488" s="81" t="str">
        <f t="array" ref="C488">XLOOKUP(B488,Reference!$A$2:$A$152,Reference!$B$2:$B$152)</f>
        <v>Sumatera Utara</v>
      </c>
      <c r="D488" s="82" t="s">
        <v>921</v>
      </c>
      <c r="E488" s="83">
        <v>45323.0</v>
      </c>
      <c r="F488" s="84" t="str">
        <f t="array" ref="F488">XLOOKUP(G488,Reference!$F:$F,Reference!$D:$D,"null")</f>
        <v>Makanan dan Pakaian </v>
      </c>
      <c r="G488" s="89" t="s">
        <v>48</v>
      </c>
      <c r="H488" s="90">
        <v>111.35</v>
      </c>
      <c r="I488" s="90">
        <v>111.3</v>
      </c>
      <c r="J488" s="87">
        <f t="shared" si="2"/>
        <v>0.04492362983</v>
      </c>
      <c r="K488" s="84" t="str">
        <f t="shared" si="3"/>
        <v>Inflasi Normal</v>
      </c>
      <c r="L488" s="91">
        <f t="shared" si="4"/>
        <v>0.05</v>
      </c>
      <c r="M488" s="88" t="str">
        <f t="shared" si="5"/>
        <v>Perubahan Normal</v>
      </c>
    </row>
    <row r="489" ht="18.75" customHeight="1">
      <c r="A489" s="80" t="s">
        <v>458</v>
      </c>
      <c r="B489" s="81" t="str">
        <f t="shared" si="1"/>
        <v>Kota Dumai</v>
      </c>
      <c r="C489" s="81" t="str">
        <f t="array" ref="C489">XLOOKUP(B489,Reference!$A$2:$A$152,Reference!$B$2:$B$152)</f>
        <v>Riau</v>
      </c>
      <c r="D489" s="82" t="s">
        <v>922</v>
      </c>
      <c r="E489" s="83">
        <v>45352.0</v>
      </c>
      <c r="F489" s="84" t="str">
        <f t="array" ref="F489">XLOOKUP(G489,Reference!$F:$F,Reference!$D:$D,"null")</f>
        <v>Rekreasi dan Kendaraan</v>
      </c>
      <c r="G489" s="89" t="s">
        <v>102</v>
      </c>
      <c r="H489" s="90">
        <v>102.44</v>
      </c>
      <c r="I489" s="90">
        <v>102.44</v>
      </c>
      <c r="J489" s="87">
        <f t="shared" si="2"/>
        <v>0</v>
      </c>
      <c r="K489" s="84" t="str">
        <f t="shared" si="3"/>
        <v>Stabil</v>
      </c>
      <c r="L489" s="91">
        <f t="shared" si="4"/>
        <v>0</v>
      </c>
      <c r="M489" s="88" t="str">
        <f t="shared" si="5"/>
        <v>Perubahan Normal</v>
      </c>
    </row>
    <row r="490" ht="18.75" customHeight="1">
      <c r="A490" s="80" t="s">
        <v>532</v>
      </c>
      <c r="B490" s="81" t="str">
        <f t="shared" si="1"/>
        <v>Kota Palembang</v>
      </c>
      <c r="C490" s="81" t="str">
        <f t="array" ref="C490">XLOOKUP(B490,Reference!$A$2:$A$152,Reference!$B$2:$B$152)</f>
        <v>Sumatera Selatan</v>
      </c>
      <c r="D490" s="82" t="s">
        <v>923</v>
      </c>
      <c r="E490" s="83">
        <v>45352.0</v>
      </c>
      <c r="F490" s="84" t="str">
        <f t="array" ref="F490">XLOOKUP(G490,Reference!$F:$F,Reference!$D:$D,"null")</f>
        <v>Makanan dan Pakaian </v>
      </c>
      <c r="G490" s="85" t="s">
        <v>64</v>
      </c>
      <c r="H490" s="86">
        <v>101.74</v>
      </c>
      <c r="I490" s="86">
        <v>102.35</v>
      </c>
      <c r="J490" s="87">
        <f t="shared" si="2"/>
        <v>-0.5959941378</v>
      </c>
      <c r="K490" s="84" t="str">
        <f t="shared" si="3"/>
        <v>Deflasi</v>
      </c>
      <c r="L490" s="84">
        <f t="shared" si="4"/>
        <v>-0.61</v>
      </c>
      <c r="M490" s="88" t="str">
        <f t="shared" si="5"/>
        <v>Perubahan Normal</v>
      </c>
    </row>
    <row r="491" ht="18.75" customHeight="1">
      <c r="A491" s="80" t="s">
        <v>395</v>
      </c>
      <c r="B491" s="81" t="str">
        <f t="shared" si="1"/>
        <v>Kota Bukittinggi</v>
      </c>
      <c r="C491" s="81" t="str">
        <f t="array" ref="C491">XLOOKUP(B491,Reference!$A$2:$A$152,Reference!$B$2:$B$152)</f>
        <v>Sumatera Barat</v>
      </c>
      <c r="D491" s="82" t="s">
        <v>924</v>
      </c>
      <c r="E491" s="83">
        <v>45352.0</v>
      </c>
      <c r="F491" s="84" t="str">
        <f t="array" ref="F491">XLOOKUP(G491,Reference!$F:$F,Reference!$D:$D,"null")</f>
        <v>Rekreasi dan Kendaraan</v>
      </c>
      <c r="G491" s="85" t="s">
        <v>102</v>
      </c>
      <c r="H491" s="86">
        <v>101.39</v>
      </c>
      <c r="I491" s="86">
        <v>101.39</v>
      </c>
      <c r="J491" s="87">
        <f t="shared" si="2"/>
        <v>0</v>
      </c>
      <c r="K491" s="84" t="str">
        <f t="shared" si="3"/>
        <v>Stabil</v>
      </c>
      <c r="L491" s="84">
        <f t="shared" si="4"/>
        <v>0</v>
      </c>
      <c r="M491" s="88" t="str">
        <f t="shared" si="5"/>
        <v>Perubahan Normal</v>
      </c>
    </row>
    <row r="492" ht="18.75" customHeight="1">
      <c r="A492" s="80" t="s">
        <v>925</v>
      </c>
      <c r="B492" s="81" t="str">
        <f t="shared" si="1"/>
        <v>Kota Jakarta</v>
      </c>
      <c r="C492" s="81" t="str">
        <f t="array" ref="C492">XLOOKUP(B492,Reference!$A$2:$A$152,Reference!$B$2:$B$152)</f>
        <v>DKI Jakarta</v>
      </c>
      <c r="D492" s="82" t="s">
        <v>926</v>
      </c>
      <c r="E492" s="83">
        <v>45323.0</v>
      </c>
      <c r="F492" s="84" t="str">
        <f t="array" ref="F492">XLOOKUP(G492,Reference!$F:$F,Reference!$D:$D,"null")</f>
        <v>Rumah Tangga</v>
      </c>
      <c r="G492" s="85" t="s">
        <v>84</v>
      </c>
      <c r="H492" s="86">
        <v>102.21</v>
      </c>
      <c r="I492" s="86">
        <v>102.21</v>
      </c>
      <c r="J492" s="87">
        <f t="shared" si="2"/>
        <v>0</v>
      </c>
      <c r="K492" s="84" t="str">
        <f t="shared" si="3"/>
        <v>Stabil</v>
      </c>
      <c r="L492" s="84">
        <f t="shared" si="4"/>
        <v>0</v>
      </c>
      <c r="M492" s="88" t="str">
        <f t="shared" si="5"/>
        <v>Perubahan Normal</v>
      </c>
    </row>
    <row r="493" ht="18.75" customHeight="1">
      <c r="A493" s="80" t="s">
        <v>412</v>
      </c>
      <c r="B493" s="81" t="str">
        <f t="shared" si="1"/>
        <v>Cilacap</v>
      </c>
      <c r="C493" s="81" t="str">
        <f t="array" ref="C493">XLOOKUP(B493,Reference!$A$2:$A$152,Reference!$B$2:$B$152)</f>
        <v>Jawa Tengah</v>
      </c>
      <c r="D493" s="82" t="s">
        <v>927</v>
      </c>
      <c r="E493" s="83">
        <v>45323.0</v>
      </c>
      <c r="F493" s="84" t="str">
        <f t="array" ref="F493">XLOOKUP(G493,Reference!$F:$F,Reference!$D:$D,"null")</f>
        <v>Rekreasi dan Kendaraan</v>
      </c>
      <c r="G493" s="85" t="s">
        <v>105</v>
      </c>
      <c r="H493" s="86">
        <v>103.21</v>
      </c>
      <c r="I493" s="86">
        <v>103.33</v>
      </c>
      <c r="J493" s="87">
        <f t="shared" si="2"/>
        <v>-0.1161327785</v>
      </c>
      <c r="K493" s="84" t="str">
        <f t="shared" si="3"/>
        <v>Deflasi</v>
      </c>
      <c r="L493" s="84">
        <f t="shared" si="4"/>
        <v>-0.12</v>
      </c>
      <c r="M493" s="88" t="str">
        <f t="shared" si="5"/>
        <v>Perubahan Normal</v>
      </c>
    </row>
    <row r="494" ht="18.75" customHeight="1">
      <c r="A494" s="80" t="s">
        <v>490</v>
      </c>
      <c r="B494" s="81" t="str">
        <f t="shared" si="1"/>
        <v>Kab Kerinci</v>
      </c>
      <c r="C494" s="81" t="str">
        <f t="array" ref="C494">XLOOKUP(B494,Reference!$A$2:$A$152,Reference!$B$2:$B$152)</f>
        <v>Jambi</v>
      </c>
      <c r="D494" s="82" t="s">
        <v>928</v>
      </c>
      <c r="E494" s="83">
        <v>45323.0</v>
      </c>
      <c r="F494" s="84" t="str">
        <f t="array" ref="F494">XLOOKUP(G494,Reference!$F:$F,Reference!$D:$D,"null")</f>
        <v>Rekreasi dan Kendaraan</v>
      </c>
      <c r="G494" s="85" t="s">
        <v>105</v>
      </c>
      <c r="H494" s="86">
        <v>100.0</v>
      </c>
      <c r="I494" s="86">
        <v>100.0</v>
      </c>
      <c r="J494" s="87">
        <f t="shared" si="2"/>
        <v>0</v>
      </c>
      <c r="K494" s="84" t="str">
        <f t="shared" si="3"/>
        <v>Stabil</v>
      </c>
      <c r="L494" s="84">
        <f t="shared" si="4"/>
        <v>0</v>
      </c>
      <c r="M494" s="88" t="str">
        <f t="shared" si="5"/>
        <v>Perubahan Normal</v>
      </c>
    </row>
    <row r="495" ht="18.75" customHeight="1">
      <c r="A495" s="80" t="s">
        <v>814</v>
      </c>
      <c r="B495" s="81" t="str">
        <f t="shared" si="1"/>
        <v>Kota Samarinda</v>
      </c>
      <c r="C495" s="81" t="str">
        <f t="array" ref="C495">XLOOKUP(B495,Reference!$A$2:$A$152,Reference!$B$2:$B$152)</f>
        <v>Kalimantan Timur</v>
      </c>
      <c r="D495" s="82" t="s">
        <v>929</v>
      </c>
      <c r="E495" s="83">
        <v>45323.0</v>
      </c>
      <c r="F495" s="84" t="str">
        <f t="array" ref="F495">XLOOKUP(G495,Reference!$F:$F,Reference!$D:$D,"null")</f>
        <v>Rumah Tangga</v>
      </c>
      <c r="G495" s="85" t="s">
        <v>84</v>
      </c>
      <c r="H495" s="86">
        <v>99.71</v>
      </c>
      <c r="I495" s="86">
        <v>99.34</v>
      </c>
      <c r="J495" s="87">
        <f t="shared" si="2"/>
        <v>0.3724582243</v>
      </c>
      <c r="K495" s="84" t="str">
        <f t="shared" si="3"/>
        <v>Inflasi Normal</v>
      </c>
      <c r="L495" s="84">
        <f t="shared" si="4"/>
        <v>0.37</v>
      </c>
      <c r="M495" s="88" t="str">
        <f t="shared" si="5"/>
        <v>Perubahan Normal</v>
      </c>
    </row>
    <row r="496" ht="18.75" customHeight="1">
      <c r="A496" s="80" t="s">
        <v>576</v>
      </c>
      <c r="B496" s="81" t="str">
        <f t="shared" si="1"/>
        <v>Kab Tabanan</v>
      </c>
      <c r="C496" s="81" t="str">
        <f t="array" ref="C496">XLOOKUP(B496,Reference!$A$2:$A$152,Reference!$B$2:$B$152)</f>
        <v>Bali</v>
      </c>
      <c r="D496" s="82" t="s">
        <v>930</v>
      </c>
      <c r="E496" s="83">
        <v>45352.0</v>
      </c>
      <c r="F496" s="84" t="str">
        <f t="array" ref="F496">XLOOKUP(G496,Reference!$F:$F,Reference!$D:$D,"null")</f>
        <v>Rekreasi dan Kendaraan</v>
      </c>
      <c r="G496" s="85" t="s">
        <v>105</v>
      </c>
      <c r="H496" s="86">
        <v>104.2</v>
      </c>
      <c r="I496" s="86">
        <v>104.03</v>
      </c>
      <c r="J496" s="87">
        <f t="shared" si="2"/>
        <v>0.1634143997</v>
      </c>
      <c r="K496" s="84" t="str">
        <f t="shared" si="3"/>
        <v>Inflasi Normal</v>
      </c>
      <c r="L496" s="84">
        <f t="shared" si="4"/>
        <v>0.17</v>
      </c>
      <c r="M496" s="88" t="str">
        <f t="shared" si="5"/>
        <v>Perubahan Normal</v>
      </c>
    </row>
    <row r="497" ht="18.75" customHeight="1">
      <c r="A497" s="80" t="s">
        <v>715</v>
      </c>
      <c r="B497" s="81" t="str">
        <f t="shared" si="1"/>
        <v>Kab Bojonegoro</v>
      </c>
      <c r="C497" s="81" t="str">
        <f t="array" ref="C497">XLOOKUP(B497,Reference!$A$2:$A$152,Reference!$B$2:$B$152)</f>
        <v>Jawa Timur</v>
      </c>
      <c r="D497" s="82" t="s">
        <v>931</v>
      </c>
      <c r="E497" s="83">
        <v>45352.0</v>
      </c>
      <c r="F497" s="84" t="str">
        <f t="array" ref="F497">XLOOKUP(G497,Reference!$F:$F,Reference!$D:$D,"null")</f>
        <v>Makanan dan Pakaian </v>
      </c>
      <c r="G497" s="85" t="s">
        <v>48</v>
      </c>
      <c r="H497" s="86">
        <v>117.12</v>
      </c>
      <c r="I497" s="86">
        <v>115.95</v>
      </c>
      <c r="J497" s="87">
        <f t="shared" si="2"/>
        <v>1.009055627</v>
      </c>
      <c r="K497" s="84" t="str">
        <f t="shared" si="3"/>
        <v>Inflasi Tinggi</v>
      </c>
      <c r="L497" s="84">
        <f t="shared" si="4"/>
        <v>1.17</v>
      </c>
      <c r="M497" s="88" t="str">
        <f t="shared" si="5"/>
        <v>Akselerasi Persentase</v>
      </c>
    </row>
    <row r="498" ht="18.75" customHeight="1">
      <c r="A498" s="80" t="s">
        <v>618</v>
      </c>
      <c r="B498" s="81" t="str">
        <f t="shared" si="1"/>
        <v>Kota Tangerang</v>
      </c>
      <c r="C498" s="81" t="str">
        <f t="array" ref="C498">XLOOKUP(B498,Reference!$A$2:$A$152,Reference!$B$2:$B$152)</f>
        <v>Banten</v>
      </c>
      <c r="D498" s="82" t="s">
        <v>932</v>
      </c>
      <c r="E498" s="83">
        <v>45352.0</v>
      </c>
      <c r="F498" s="84" t="str">
        <f t="array" ref="F498">XLOOKUP(G498,Reference!$F:$F,Reference!$D:$D,"null")</f>
        <v>Pendidikan dan Kesehatan</v>
      </c>
      <c r="G498" s="85" t="s">
        <v>95</v>
      </c>
      <c r="H498" s="86">
        <v>100.85</v>
      </c>
      <c r="I498" s="86">
        <v>100.26</v>
      </c>
      <c r="J498" s="87">
        <f t="shared" si="2"/>
        <v>0.5884699781</v>
      </c>
      <c r="K498" s="84" t="str">
        <f t="shared" si="3"/>
        <v>Inflasi Tinggi</v>
      </c>
      <c r="L498" s="84">
        <f t="shared" si="4"/>
        <v>0.59</v>
      </c>
      <c r="M498" s="88" t="str">
        <f t="shared" si="5"/>
        <v>Akselerasi Persentase</v>
      </c>
    </row>
    <row r="499" ht="18.75" customHeight="1">
      <c r="A499" s="80" t="s">
        <v>302</v>
      </c>
      <c r="B499" s="81" t="str">
        <f t="shared" si="1"/>
        <v>Kota Lubuk Linggau</v>
      </c>
      <c r="C499" s="81" t="str">
        <f t="array" ref="C499">XLOOKUP(B499,Reference!$A$2:$A$152,Reference!$B$2:$B$152)</f>
        <v>Sumatera Selatan</v>
      </c>
      <c r="D499" s="82" t="s">
        <v>933</v>
      </c>
      <c r="E499" s="83">
        <v>45352.0</v>
      </c>
      <c r="F499" s="84" t="str">
        <f t="array" ref="F499">XLOOKUP(G499,Reference!$F:$F,Reference!$D:$D,"null")</f>
        <v>Rumah Tangga</v>
      </c>
      <c r="G499" s="85" t="s">
        <v>80</v>
      </c>
      <c r="H499" s="86">
        <v>100.39</v>
      </c>
      <c r="I499" s="86">
        <v>100.39</v>
      </c>
      <c r="J499" s="87">
        <f t="shared" si="2"/>
        <v>0</v>
      </c>
      <c r="K499" s="84" t="str">
        <f t="shared" si="3"/>
        <v>Stabil</v>
      </c>
      <c r="L499" s="84">
        <f t="shared" si="4"/>
        <v>0</v>
      </c>
      <c r="M499" s="88" t="str">
        <f t="shared" si="5"/>
        <v>Perubahan Normal</v>
      </c>
    </row>
    <row r="500" ht="18.75" customHeight="1">
      <c r="A500" s="80" t="s">
        <v>934</v>
      </c>
      <c r="B500" s="81" t="str">
        <f t="shared" si="1"/>
        <v>Kab Kolaka</v>
      </c>
      <c r="C500" s="81" t="str">
        <f t="array" ref="C500">XLOOKUP(B500,Reference!$A$2:$A$152,Reference!$B$2:$B$152)</f>
        <v>Sulawesi Tenggara</v>
      </c>
      <c r="D500" s="82" t="s">
        <v>935</v>
      </c>
      <c r="E500" s="83">
        <v>45323.0</v>
      </c>
      <c r="F500" s="84" t="str">
        <f t="array" ref="F500">XLOOKUP(G500,Reference!$F:$F,Reference!$D:$D,"null")</f>
        <v>Pendidikan dan Kesehatan</v>
      </c>
      <c r="G500" s="85" t="s">
        <v>95</v>
      </c>
      <c r="H500" s="86">
        <v>100.44</v>
      </c>
      <c r="I500" s="86">
        <v>100.44</v>
      </c>
      <c r="J500" s="87">
        <f t="shared" si="2"/>
        <v>0</v>
      </c>
      <c r="K500" s="84" t="str">
        <f t="shared" si="3"/>
        <v>Stabil</v>
      </c>
      <c r="L500" s="84">
        <f t="shared" si="4"/>
        <v>0</v>
      </c>
      <c r="M500" s="88" t="str">
        <f t="shared" si="5"/>
        <v>Perubahan Normal</v>
      </c>
    </row>
    <row r="501" ht="18.75" customHeight="1">
      <c r="A501" s="80" t="s">
        <v>490</v>
      </c>
      <c r="B501" s="81" t="str">
        <f t="shared" si="1"/>
        <v>Kab Kerinci</v>
      </c>
      <c r="C501" s="81" t="str">
        <f t="array" ref="C501">XLOOKUP(B501,Reference!$A$2:$A$152,Reference!$B$2:$B$152)</f>
        <v>Jambi</v>
      </c>
      <c r="D501" s="82" t="s">
        <v>936</v>
      </c>
      <c r="E501" s="83">
        <v>45323.0</v>
      </c>
      <c r="F501" s="84" t="str">
        <f t="array" ref="F501">XLOOKUP(G501,Reference!$F:$F,Reference!$D:$D,"null")</f>
        <v>Makanan dan Pakaian </v>
      </c>
      <c r="G501" s="85" t="s">
        <v>48</v>
      </c>
      <c r="H501" s="86">
        <v>107.26</v>
      </c>
      <c r="I501" s="86">
        <v>108.84</v>
      </c>
      <c r="J501" s="87">
        <f t="shared" si="2"/>
        <v>-1.451672179</v>
      </c>
      <c r="K501" s="84" t="str">
        <f t="shared" si="3"/>
        <v>Deflasi</v>
      </c>
      <c r="L501" s="84">
        <f t="shared" si="4"/>
        <v>-1.58</v>
      </c>
      <c r="M501" s="88" t="str">
        <f t="shared" si="5"/>
        <v>Perubahan Normal</v>
      </c>
    </row>
    <row r="502" ht="18.75" customHeight="1">
      <c r="A502" s="80" t="s">
        <v>296</v>
      </c>
      <c r="B502" s="81" t="str">
        <f t="shared" si="1"/>
        <v>Kota Bogor</v>
      </c>
      <c r="C502" s="81" t="str">
        <f t="array" ref="C502">XLOOKUP(B502,Reference!$A$2:$A$152,Reference!$B$2:$B$152)</f>
        <v>Jawa Barat</v>
      </c>
      <c r="D502" s="82" t="s">
        <v>937</v>
      </c>
      <c r="E502" s="83">
        <v>45323.0</v>
      </c>
      <c r="F502" s="84" t="str">
        <f t="array" ref="F502">XLOOKUP(G502,Reference!$F:$F,Reference!$D:$D,"null")</f>
        <v>Rekreasi dan Kendaraan</v>
      </c>
      <c r="G502" s="89" t="s">
        <v>102</v>
      </c>
      <c r="H502" s="90">
        <v>101.37</v>
      </c>
      <c r="I502" s="90">
        <v>101.38</v>
      </c>
      <c r="J502" s="87">
        <f t="shared" si="2"/>
        <v>-0.009863878477</v>
      </c>
      <c r="K502" s="84" t="str">
        <f t="shared" si="3"/>
        <v>Deflasi</v>
      </c>
      <c r="L502" s="91">
        <f t="shared" si="4"/>
        <v>-0.01</v>
      </c>
      <c r="M502" s="88" t="str">
        <f t="shared" si="5"/>
        <v>Perubahan Normal</v>
      </c>
    </row>
    <row r="503" ht="18.75" customHeight="1">
      <c r="A503" s="80" t="s">
        <v>389</v>
      </c>
      <c r="B503" s="81" t="str">
        <f t="shared" si="1"/>
        <v>Tembilahan</v>
      </c>
      <c r="C503" s="81" t="str">
        <f t="array" ref="C503">XLOOKUP(B503,Reference!$A$2:$A$152,Reference!$B$2:$B$152)</f>
        <v>Riau</v>
      </c>
      <c r="D503" s="82" t="s">
        <v>938</v>
      </c>
      <c r="E503" s="83">
        <v>45352.0</v>
      </c>
      <c r="F503" s="84" t="str">
        <f t="array" ref="F503">XLOOKUP(G503,Reference!$F:$F,Reference!$D:$D,"null")</f>
        <v>Makanan dan Pakaian </v>
      </c>
      <c r="G503" s="85" t="s">
        <v>48</v>
      </c>
      <c r="H503" s="86">
        <v>109.33</v>
      </c>
      <c r="I503" s="86">
        <v>105.98</v>
      </c>
      <c r="J503" s="87">
        <f t="shared" si="2"/>
        <v>3.160973769</v>
      </c>
      <c r="K503" s="84" t="str">
        <f t="shared" si="3"/>
        <v>Inflasi Tinggi</v>
      </c>
      <c r="L503" s="84">
        <f t="shared" si="4"/>
        <v>3.35</v>
      </c>
      <c r="M503" s="88" t="str">
        <f t="shared" si="5"/>
        <v>Akselerasi Kuat</v>
      </c>
    </row>
    <row r="504" ht="18.75" customHeight="1">
      <c r="A504" s="80" t="s">
        <v>395</v>
      </c>
      <c r="B504" s="81" t="str">
        <f t="shared" si="1"/>
        <v>Kota Bukittinggi</v>
      </c>
      <c r="C504" s="81" t="str">
        <f t="array" ref="C504">XLOOKUP(B504,Reference!$A$2:$A$152,Reference!$B$2:$B$152)</f>
        <v>Sumatera Barat</v>
      </c>
      <c r="D504" s="82" t="s">
        <v>939</v>
      </c>
      <c r="E504" s="83">
        <v>45352.0</v>
      </c>
      <c r="F504" s="84" t="str">
        <f t="array" ref="F504">XLOOKUP(G504,Reference!$F:$F,Reference!$D:$D,"null")</f>
        <v>Makanan dan Pakaian </v>
      </c>
      <c r="G504" s="85" t="s">
        <v>72</v>
      </c>
      <c r="H504" s="86">
        <v>101.53</v>
      </c>
      <c r="I504" s="86">
        <v>101.23</v>
      </c>
      <c r="J504" s="87">
        <f t="shared" si="2"/>
        <v>0.2963548355</v>
      </c>
      <c r="K504" s="84" t="str">
        <f t="shared" si="3"/>
        <v>Inflasi Normal</v>
      </c>
      <c r="L504" s="84">
        <f t="shared" si="4"/>
        <v>0.3</v>
      </c>
      <c r="M504" s="88" t="str">
        <f t="shared" si="5"/>
        <v>Perubahan Normal</v>
      </c>
    </row>
    <row r="505" ht="18.75" customHeight="1">
      <c r="A505" s="80" t="s">
        <v>353</v>
      </c>
      <c r="B505" s="81" t="str">
        <f t="shared" si="1"/>
        <v>Kota Bau Bau</v>
      </c>
      <c r="C505" s="81" t="str">
        <f t="array" ref="C505">XLOOKUP(B505,Reference!$A$2:$A$152,Reference!$B$2:$B$152)</f>
        <v>Sulawesi Tenggara</v>
      </c>
      <c r="D505" s="82" t="s">
        <v>940</v>
      </c>
      <c r="E505" s="83">
        <v>45323.0</v>
      </c>
      <c r="F505" s="84" t="str">
        <f t="array" ref="F505">XLOOKUP(G505,Reference!$F:$F,Reference!$D:$D,"null")</f>
        <v>Makanan dan Pakaian </v>
      </c>
      <c r="G505" s="85" t="s">
        <v>48</v>
      </c>
      <c r="H505" s="86">
        <v>111.45</v>
      </c>
      <c r="I505" s="86">
        <v>113.62</v>
      </c>
      <c r="J505" s="87">
        <f t="shared" si="2"/>
        <v>-1.909875022</v>
      </c>
      <c r="K505" s="84" t="str">
        <f t="shared" si="3"/>
        <v>Deflasi</v>
      </c>
      <c r="L505" s="84">
        <f t="shared" si="4"/>
        <v>-2.17</v>
      </c>
      <c r="M505" s="88" t="str">
        <f t="shared" si="5"/>
        <v>Perubahan Normal</v>
      </c>
    </row>
    <row r="506" ht="18.75" customHeight="1">
      <c r="A506" s="80" t="s">
        <v>370</v>
      </c>
      <c r="B506" s="81" t="str">
        <f t="shared" si="1"/>
        <v>Jember</v>
      </c>
      <c r="C506" s="81" t="str">
        <f t="array" ref="C506">XLOOKUP(B506,Reference!$A$2:$A$152,Reference!$B$2:$B$152)</f>
        <v>Jawa Timur</v>
      </c>
      <c r="D506" s="82" t="s">
        <v>941</v>
      </c>
      <c r="E506" s="83">
        <v>45323.0</v>
      </c>
      <c r="F506" s="84" t="str">
        <f t="array" ref="F506">XLOOKUP(G506,Reference!$F:$F,Reference!$D:$D,"null")</f>
        <v>Makanan dan Pakaian </v>
      </c>
      <c r="G506" s="85" t="s">
        <v>72</v>
      </c>
      <c r="H506" s="86">
        <v>105.47</v>
      </c>
      <c r="I506" s="86">
        <v>105.47</v>
      </c>
      <c r="J506" s="87">
        <f t="shared" si="2"/>
        <v>0</v>
      </c>
      <c r="K506" s="84" t="str">
        <f t="shared" si="3"/>
        <v>Stabil</v>
      </c>
      <c r="L506" s="84">
        <f t="shared" si="4"/>
        <v>0</v>
      </c>
      <c r="M506" s="88" t="str">
        <f t="shared" si="5"/>
        <v>Perubahan Normal</v>
      </c>
    </row>
    <row r="507" ht="18.75" customHeight="1">
      <c r="A507" s="80" t="s">
        <v>731</v>
      </c>
      <c r="B507" s="81" t="str">
        <f t="shared" si="1"/>
        <v>Kab Hulu Sungai Tengah</v>
      </c>
      <c r="C507" s="81" t="str">
        <f t="array" ref="C507">XLOOKUP(B507,Reference!$A$2:$A$152,Reference!$B$2:$B$152)</f>
        <v>Kalimantan Selatan</v>
      </c>
      <c r="D507" s="82" t="s">
        <v>942</v>
      </c>
      <c r="E507" s="83">
        <v>45323.0</v>
      </c>
      <c r="F507" s="84" t="str">
        <f t="array" ref="F507">XLOOKUP(G507,Reference!$F:$F,Reference!$D:$D,"null")</f>
        <v>Makanan dan Pakaian </v>
      </c>
      <c r="G507" s="85" t="s">
        <v>56</v>
      </c>
      <c r="H507" s="86">
        <v>105.22</v>
      </c>
      <c r="I507" s="86">
        <v>105.22</v>
      </c>
      <c r="J507" s="87">
        <f t="shared" si="2"/>
        <v>0</v>
      </c>
      <c r="K507" s="84" t="str">
        <f t="shared" si="3"/>
        <v>Stabil</v>
      </c>
      <c r="L507" s="84">
        <f t="shared" si="4"/>
        <v>0</v>
      </c>
      <c r="M507" s="88" t="str">
        <f t="shared" si="5"/>
        <v>Perubahan Normal</v>
      </c>
    </row>
    <row r="508" ht="18.75" customHeight="1">
      <c r="A508" s="80" t="s">
        <v>362</v>
      </c>
      <c r="B508" s="81" t="str">
        <f t="shared" si="1"/>
        <v>Sumenep</v>
      </c>
      <c r="C508" s="81" t="str">
        <f t="array" ref="C508">XLOOKUP(B508,Reference!$A$2:$A$152,Reference!$B$2:$B$152)</f>
        <v>Jawa Timur</v>
      </c>
      <c r="D508" s="82" t="s">
        <v>943</v>
      </c>
      <c r="E508" s="83">
        <v>45323.0</v>
      </c>
      <c r="F508" s="84" t="str">
        <f t="array" ref="F508">XLOOKUP(G508,Reference!$F:$F,Reference!$D:$D,"null")</f>
        <v>Rekreasi dan Kendaraan</v>
      </c>
      <c r="G508" s="85" t="s">
        <v>102</v>
      </c>
      <c r="H508" s="86">
        <v>102.16</v>
      </c>
      <c r="I508" s="86">
        <v>102.16</v>
      </c>
      <c r="J508" s="87">
        <f t="shared" si="2"/>
        <v>0</v>
      </c>
      <c r="K508" s="84" t="str">
        <f t="shared" si="3"/>
        <v>Stabil</v>
      </c>
      <c r="L508" s="84">
        <f t="shared" si="4"/>
        <v>0</v>
      </c>
      <c r="M508" s="88" t="str">
        <f t="shared" si="5"/>
        <v>Perubahan Normal</v>
      </c>
    </row>
    <row r="509" ht="18.75" customHeight="1">
      <c r="A509" s="80" t="s">
        <v>438</v>
      </c>
      <c r="B509" s="81" t="str">
        <f t="shared" si="1"/>
        <v>Kab Muara Enim</v>
      </c>
      <c r="C509" s="81" t="str">
        <f t="array" ref="C509">XLOOKUP(B509,Reference!$A$2:$A$152,Reference!$B$2:$B$152)</f>
        <v>Sumatera Selatan</v>
      </c>
      <c r="D509" s="82" t="s">
        <v>944</v>
      </c>
      <c r="E509" s="83">
        <v>45323.0</v>
      </c>
      <c r="F509" s="84" t="str">
        <f t="array" ref="F509">XLOOKUP(G509,Reference!$F:$F,Reference!$D:$D,"null")</f>
        <v>Makanan dan Pakaian </v>
      </c>
      <c r="G509" s="85" t="s">
        <v>56</v>
      </c>
      <c r="H509" s="86">
        <v>123.78</v>
      </c>
      <c r="I509" s="86">
        <v>120.59</v>
      </c>
      <c r="J509" s="87">
        <f t="shared" si="2"/>
        <v>2.645327142</v>
      </c>
      <c r="K509" s="84" t="str">
        <f t="shared" si="3"/>
        <v>Inflasi Tinggi</v>
      </c>
      <c r="L509" s="84">
        <f t="shared" si="4"/>
        <v>3.19</v>
      </c>
      <c r="M509" s="88" t="str">
        <f t="shared" si="5"/>
        <v>Akselerasi Kuat</v>
      </c>
    </row>
    <row r="510" ht="18.75" customHeight="1">
      <c r="A510" s="80" t="s">
        <v>762</v>
      </c>
      <c r="B510" s="81" t="str">
        <f t="shared" si="1"/>
        <v>Kota Pangkal Pinang</v>
      </c>
      <c r="C510" s="81" t="str">
        <f t="array" ref="C510">XLOOKUP(B510,Reference!$A$2:$A$152,Reference!$B$2:$B$152)</f>
        <v>Kepulauan Bangka Belitung</v>
      </c>
      <c r="D510" s="82" t="s">
        <v>945</v>
      </c>
      <c r="E510" s="83">
        <v>45352.0</v>
      </c>
      <c r="F510" s="84" t="str">
        <f t="array" ref="F510">XLOOKUP(G510,Reference!$F:$F,Reference!$D:$D,"null")</f>
        <v>Makanan dan Pakaian </v>
      </c>
      <c r="G510" s="89" t="s">
        <v>56</v>
      </c>
      <c r="H510" s="90">
        <v>106.85</v>
      </c>
      <c r="I510" s="90">
        <v>106.88</v>
      </c>
      <c r="J510" s="87">
        <f t="shared" si="2"/>
        <v>-0.02806886228</v>
      </c>
      <c r="K510" s="84" t="str">
        <f t="shared" si="3"/>
        <v>Deflasi</v>
      </c>
      <c r="L510" s="91">
        <f t="shared" si="4"/>
        <v>-0.03</v>
      </c>
      <c r="M510" s="88" t="str">
        <f t="shared" si="5"/>
        <v>Perubahan Normal</v>
      </c>
    </row>
    <row r="511" ht="18.75" customHeight="1">
      <c r="A511" s="80" t="s">
        <v>310</v>
      </c>
      <c r="B511" s="81" t="str">
        <f t="shared" si="1"/>
        <v>Kab Kampar</v>
      </c>
      <c r="C511" s="81" t="str">
        <f t="array" ref="C511">XLOOKUP(B511,Reference!$A$2:$A$152,Reference!$B$2:$B$152)</f>
        <v>Riau</v>
      </c>
      <c r="D511" s="82" t="s">
        <v>946</v>
      </c>
      <c r="E511" s="83">
        <v>45323.0</v>
      </c>
      <c r="F511" s="84" t="str">
        <f t="array" ref="F511">XLOOKUP(G511,Reference!$F:$F,Reference!$D:$D,"null")</f>
        <v>Rekreasi dan Kendaraan</v>
      </c>
      <c r="G511" s="85" t="s">
        <v>102</v>
      </c>
      <c r="H511" s="86">
        <v>106.28</v>
      </c>
      <c r="I511" s="86">
        <v>106.28</v>
      </c>
      <c r="J511" s="87">
        <f t="shared" si="2"/>
        <v>0</v>
      </c>
      <c r="K511" s="84" t="str">
        <f t="shared" si="3"/>
        <v>Stabil</v>
      </c>
      <c r="L511" s="84">
        <f t="shared" si="4"/>
        <v>0</v>
      </c>
      <c r="M511" s="88" t="str">
        <f t="shared" si="5"/>
        <v>Perubahan Normal</v>
      </c>
    </row>
    <row r="512" ht="18.75" customHeight="1">
      <c r="A512" s="80" t="s">
        <v>473</v>
      </c>
      <c r="B512" s="81" t="str">
        <f t="shared" si="1"/>
        <v>Kab Wajo</v>
      </c>
      <c r="C512" s="81" t="str">
        <f t="array" ref="C512">XLOOKUP(B512,Reference!$A$2:$A$152,Reference!$B$2:$B$152)</f>
        <v>Sulawesi Selatan</v>
      </c>
      <c r="D512" s="82" t="s">
        <v>947</v>
      </c>
      <c r="E512" s="83">
        <v>45323.0</v>
      </c>
      <c r="F512" s="84" t="str">
        <f t="array" ref="F512">XLOOKUP(G512,Reference!$F:$F,Reference!$D:$D,"null")</f>
        <v>Pendidikan dan Kesehatan</v>
      </c>
      <c r="G512" s="85" t="s">
        <v>98</v>
      </c>
      <c r="H512" s="86">
        <v>105.63</v>
      </c>
      <c r="I512" s="86">
        <v>105.63</v>
      </c>
      <c r="J512" s="87">
        <f t="shared" si="2"/>
        <v>0</v>
      </c>
      <c r="K512" s="84" t="str">
        <f t="shared" si="3"/>
        <v>Stabil</v>
      </c>
      <c r="L512" s="84">
        <f t="shared" si="4"/>
        <v>0</v>
      </c>
      <c r="M512" s="88" t="str">
        <f t="shared" si="5"/>
        <v>Perubahan Normal</v>
      </c>
    </row>
    <row r="513" ht="18.75" customHeight="1">
      <c r="A513" s="80" t="s">
        <v>576</v>
      </c>
      <c r="B513" s="81" t="str">
        <f t="shared" si="1"/>
        <v>Kab Tabanan</v>
      </c>
      <c r="C513" s="81" t="str">
        <f t="array" ref="C513">XLOOKUP(B513,Reference!$A$2:$A$152,Reference!$B$2:$B$152)</f>
        <v>Bali</v>
      </c>
      <c r="D513" s="82" t="s">
        <v>948</v>
      </c>
      <c r="E513" s="83">
        <v>45352.0</v>
      </c>
      <c r="F513" s="84" t="str">
        <f t="array" ref="F513">XLOOKUP(G513,Reference!$F:$F,Reference!$D:$D,"null")</f>
        <v>Makanan dan Pakaian </v>
      </c>
      <c r="G513" s="85" t="s">
        <v>56</v>
      </c>
      <c r="H513" s="86">
        <v>107.22</v>
      </c>
      <c r="I513" s="86">
        <v>107.22</v>
      </c>
      <c r="J513" s="87">
        <f t="shared" si="2"/>
        <v>0</v>
      </c>
      <c r="K513" s="84" t="str">
        <f t="shared" si="3"/>
        <v>Stabil</v>
      </c>
      <c r="L513" s="84">
        <f t="shared" si="4"/>
        <v>0</v>
      </c>
      <c r="M513" s="88" t="str">
        <f t="shared" si="5"/>
        <v>Perubahan Normal</v>
      </c>
    </row>
    <row r="514" ht="18.75" customHeight="1">
      <c r="A514" s="80" t="s">
        <v>539</v>
      </c>
      <c r="B514" s="81" t="str">
        <f t="shared" si="1"/>
        <v>Kab Sorong Selatan</v>
      </c>
      <c r="C514" s="81" t="str">
        <f t="array" ref="C514">XLOOKUP(B514,Reference!$A$2:$A$152,Reference!$B$2:$B$152)</f>
        <v>Papua Barat Daya</v>
      </c>
      <c r="D514" s="82" t="s">
        <v>949</v>
      </c>
      <c r="E514" s="83">
        <v>45323.0</v>
      </c>
      <c r="F514" s="84" t="str">
        <f t="array" ref="F514">XLOOKUP(G514,Reference!$F:$F,Reference!$D:$D,"null")</f>
        <v>Rekreasi dan Kendaraan</v>
      </c>
      <c r="G514" s="85" t="s">
        <v>105</v>
      </c>
      <c r="H514" s="86">
        <v>95.28</v>
      </c>
      <c r="I514" s="86">
        <v>95.28</v>
      </c>
      <c r="J514" s="87">
        <f t="shared" si="2"/>
        <v>0</v>
      </c>
      <c r="K514" s="84" t="str">
        <f t="shared" si="3"/>
        <v>Stabil</v>
      </c>
      <c r="L514" s="84">
        <f t="shared" si="4"/>
        <v>0</v>
      </c>
      <c r="M514" s="88" t="str">
        <f t="shared" si="5"/>
        <v>Perubahan Normal</v>
      </c>
    </row>
    <row r="515" ht="18.75" customHeight="1">
      <c r="A515" s="80" t="s">
        <v>550</v>
      </c>
      <c r="B515" s="81" t="str">
        <f t="shared" si="1"/>
        <v>Kota Sukabumi</v>
      </c>
      <c r="C515" s="81" t="str">
        <f t="array" ref="C515">XLOOKUP(B515,Reference!$A$2:$A$152,Reference!$B$2:$B$152)</f>
        <v>Jawa Barat</v>
      </c>
      <c r="D515" s="82" t="s">
        <v>950</v>
      </c>
      <c r="E515" s="83">
        <v>45352.0</v>
      </c>
      <c r="F515" s="84" t="str">
        <f t="array" ref="F515">XLOOKUP(G515,Reference!$F:$F,Reference!$D:$D,"null")</f>
        <v>Pendidikan dan Kesehatan</v>
      </c>
      <c r="G515" s="85" t="s">
        <v>95</v>
      </c>
      <c r="H515" s="86">
        <v>101.05</v>
      </c>
      <c r="I515" s="86">
        <v>101.05</v>
      </c>
      <c r="J515" s="87">
        <f t="shared" si="2"/>
        <v>0</v>
      </c>
      <c r="K515" s="84" t="str">
        <f t="shared" si="3"/>
        <v>Stabil</v>
      </c>
      <c r="L515" s="84">
        <f t="shared" si="4"/>
        <v>0</v>
      </c>
      <c r="M515" s="88" t="str">
        <f t="shared" si="5"/>
        <v>Perubahan Normal</v>
      </c>
    </row>
    <row r="516" ht="18.75" customHeight="1">
      <c r="A516" s="80" t="s">
        <v>376</v>
      </c>
      <c r="B516" s="81" t="str">
        <f t="shared" si="1"/>
        <v>Bulukumba</v>
      </c>
      <c r="C516" s="81" t="str">
        <f t="array" ref="C516">XLOOKUP(B516,Reference!$A$2:$A$152,Reference!$B$2:$B$152)</f>
        <v>Sulawesi Selatan</v>
      </c>
      <c r="D516" s="82" t="s">
        <v>951</v>
      </c>
      <c r="E516" s="83">
        <v>45323.0</v>
      </c>
      <c r="F516" s="84" t="str">
        <f t="array" ref="F516">XLOOKUP(G516,Reference!$F:$F,Reference!$D:$D,"null")</f>
        <v>Makanan dan Pakaian </v>
      </c>
      <c r="G516" s="85" t="s">
        <v>48</v>
      </c>
      <c r="H516" s="86">
        <v>107.8</v>
      </c>
      <c r="I516" s="86">
        <v>107.75</v>
      </c>
      <c r="J516" s="87">
        <f t="shared" si="2"/>
        <v>0.0464037123</v>
      </c>
      <c r="K516" s="84" t="str">
        <f t="shared" si="3"/>
        <v>Inflasi Normal</v>
      </c>
      <c r="L516" s="84">
        <f t="shared" si="4"/>
        <v>0.05</v>
      </c>
      <c r="M516" s="88" t="str">
        <f t="shared" si="5"/>
        <v>Perubahan Normal</v>
      </c>
    </row>
    <row r="517" ht="18.75" customHeight="1">
      <c r="A517" s="80" t="s">
        <v>532</v>
      </c>
      <c r="B517" s="81" t="str">
        <f t="shared" si="1"/>
        <v>Kota Palembang</v>
      </c>
      <c r="C517" s="81" t="str">
        <f t="array" ref="C517">XLOOKUP(B517,Reference!$A$2:$A$152,Reference!$B$2:$B$152)</f>
        <v>Sumatera Selatan</v>
      </c>
      <c r="D517" s="82" t="s">
        <v>952</v>
      </c>
      <c r="E517" s="83">
        <v>45352.0</v>
      </c>
      <c r="F517" s="84" t="str">
        <f t="array" ref="F517">XLOOKUP(G517,Reference!$F:$F,Reference!$D:$D,"null")</f>
        <v>Makanan dan Pakaian </v>
      </c>
      <c r="G517" s="85" t="s">
        <v>72</v>
      </c>
      <c r="H517" s="86">
        <v>101.87</v>
      </c>
      <c r="I517" s="86">
        <v>102.97</v>
      </c>
      <c r="J517" s="87">
        <f t="shared" si="2"/>
        <v>-1.068272312</v>
      </c>
      <c r="K517" s="84" t="str">
        <f t="shared" si="3"/>
        <v>Deflasi</v>
      </c>
      <c r="L517" s="84">
        <f t="shared" si="4"/>
        <v>-1.1</v>
      </c>
      <c r="M517" s="88" t="str">
        <f t="shared" si="5"/>
        <v>Perubahan Normal</v>
      </c>
    </row>
    <row r="518" ht="18.75" customHeight="1">
      <c r="A518" s="80" t="s">
        <v>680</v>
      </c>
      <c r="B518" s="81" t="str">
        <f t="shared" si="1"/>
        <v>Kota Pekanbaru</v>
      </c>
      <c r="C518" s="81" t="str">
        <f t="array" ref="C518">XLOOKUP(B518,Reference!$A$2:$A$152,Reference!$B$2:$B$152)</f>
        <v>Riau</v>
      </c>
      <c r="D518" s="82" t="s">
        <v>953</v>
      </c>
      <c r="E518" s="83">
        <v>45352.0</v>
      </c>
      <c r="F518" s="84" t="str">
        <f t="array" ref="F518">XLOOKUP(G518,Reference!$F:$F,Reference!$D:$D,"null")</f>
        <v>Makanan dan Pakaian </v>
      </c>
      <c r="G518" s="85" t="s">
        <v>48</v>
      </c>
      <c r="H518" s="86">
        <v>110.15</v>
      </c>
      <c r="I518" s="86">
        <v>107.46</v>
      </c>
      <c r="J518" s="87">
        <f t="shared" si="2"/>
        <v>2.503257026</v>
      </c>
      <c r="K518" s="84" t="str">
        <f t="shared" si="3"/>
        <v>Inflasi Tinggi</v>
      </c>
      <c r="L518" s="84">
        <f t="shared" si="4"/>
        <v>2.69</v>
      </c>
      <c r="M518" s="88" t="str">
        <f t="shared" si="5"/>
        <v>Akselerasi Kuat</v>
      </c>
    </row>
    <row r="519" ht="18.75" customHeight="1">
      <c r="A519" s="80" t="s">
        <v>715</v>
      </c>
      <c r="B519" s="81" t="str">
        <f t="shared" si="1"/>
        <v>Kab Bojonegoro</v>
      </c>
      <c r="C519" s="81" t="str">
        <f t="array" ref="C519">XLOOKUP(B519,Reference!$A$2:$A$152,Reference!$B$2:$B$152)</f>
        <v>Jawa Timur</v>
      </c>
      <c r="D519" s="82" t="s">
        <v>954</v>
      </c>
      <c r="E519" s="83">
        <v>45323.0</v>
      </c>
      <c r="F519" s="84" t="str">
        <f t="array" ref="F519">XLOOKUP(G519,Reference!$F:$F,Reference!$D:$D,"null")</f>
        <v>Makanan dan Pakaian </v>
      </c>
      <c r="G519" s="85" t="s">
        <v>56</v>
      </c>
      <c r="H519" s="86">
        <v>101.19</v>
      </c>
      <c r="I519" s="86">
        <v>101.09</v>
      </c>
      <c r="J519" s="87">
        <f t="shared" si="2"/>
        <v>0.09892175289</v>
      </c>
      <c r="K519" s="84" t="str">
        <f t="shared" si="3"/>
        <v>Inflasi Normal</v>
      </c>
      <c r="L519" s="84">
        <f t="shared" si="4"/>
        <v>0.1</v>
      </c>
      <c r="M519" s="88" t="str">
        <f t="shared" si="5"/>
        <v>Perubahan Normal</v>
      </c>
    </row>
    <row r="520" ht="18.75" customHeight="1">
      <c r="A520" s="80" t="s">
        <v>505</v>
      </c>
      <c r="B520" s="81" t="str">
        <f t="shared" si="1"/>
        <v>Kota Denpasar</v>
      </c>
      <c r="C520" s="81" t="str">
        <f t="array" ref="C520">XLOOKUP(B520,Reference!$A$2:$A$152,Reference!$B$2:$B$152)</f>
        <v>Bali</v>
      </c>
      <c r="D520" s="82" t="s">
        <v>955</v>
      </c>
      <c r="E520" s="83">
        <v>45323.0</v>
      </c>
      <c r="F520" s="84" t="str">
        <f t="array" ref="F520">XLOOKUP(G520,Reference!$F:$F,Reference!$D:$D,"null")</f>
        <v>Makanan dan Pakaian </v>
      </c>
      <c r="G520" s="85" t="s">
        <v>56</v>
      </c>
      <c r="H520" s="86">
        <v>104.58</v>
      </c>
      <c r="I520" s="86">
        <v>104.25</v>
      </c>
      <c r="J520" s="87">
        <f t="shared" si="2"/>
        <v>0.3165467626</v>
      </c>
      <c r="K520" s="84" t="str">
        <f t="shared" si="3"/>
        <v>Inflasi Normal</v>
      </c>
      <c r="L520" s="84">
        <f t="shared" si="4"/>
        <v>0.33</v>
      </c>
      <c r="M520" s="88" t="str">
        <f t="shared" si="5"/>
        <v>Perubahan Normal</v>
      </c>
    </row>
    <row r="521" ht="18.75" customHeight="1">
      <c r="A521" s="80" t="s">
        <v>468</v>
      </c>
      <c r="B521" s="81" t="str">
        <f t="shared" si="1"/>
        <v>Timika</v>
      </c>
      <c r="C521" s="81" t="str">
        <f t="array" ref="C521">XLOOKUP(B521,Reference!$A$2:$A$152,Reference!$B$2:$B$152)</f>
        <v>Papua</v>
      </c>
      <c r="D521" s="82" t="s">
        <v>956</v>
      </c>
      <c r="E521" s="83">
        <v>45352.0</v>
      </c>
      <c r="F521" s="84" t="str">
        <f t="array" ref="F521">XLOOKUP(G521,Reference!$F:$F,Reference!$D:$D,"null")</f>
        <v>Rekreasi dan Kendaraan</v>
      </c>
      <c r="G521" s="89" t="s">
        <v>102</v>
      </c>
      <c r="H521" s="90">
        <v>103.94</v>
      </c>
      <c r="I521" s="90">
        <v>103.94</v>
      </c>
      <c r="J521" s="87">
        <f t="shared" si="2"/>
        <v>0</v>
      </c>
      <c r="K521" s="84" t="str">
        <f t="shared" si="3"/>
        <v>Stabil</v>
      </c>
      <c r="L521" s="91">
        <f t="shared" si="4"/>
        <v>0</v>
      </c>
      <c r="M521" s="88" t="str">
        <f t="shared" si="5"/>
        <v>Perubahan Normal</v>
      </c>
    </row>
    <row r="522" ht="18.75" customHeight="1">
      <c r="A522" s="80" t="s">
        <v>382</v>
      </c>
      <c r="B522" s="81" t="str">
        <f t="shared" si="1"/>
        <v>Kab Ngada</v>
      </c>
      <c r="C522" s="81" t="str">
        <f t="array" ref="C522">XLOOKUP(B522,Reference!$A$2:$A$152,Reference!$B$2:$B$152)</f>
        <v>Nusa Tenggara Timur (NTT)</v>
      </c>
      <c r="D522" s="82" t="s">
        <v>957</v>
      </c>
      <c r="E522" s="83">
        <v>45323.0</v>
      </c>
      <c r="F522" s="84" t="str">
        <f t="array" ref="F522">XLOOKUP(G522,Reference!$F:$F,Reference!$D:$D,"null")</f>
        <v>Rekreasi dan Kendaraan</v>
      </c>
      <c r="G522" s="85" t="s">
        <v>105</v>
      </c>
      <c r="H522" s="86">
        <v>94.72</v>
      </c>
      <c r="I522" s="86">
        <v>94.72</v>
      </c>
      <c r="J522" s="87">
        <f t="shared" si="2"/>
        <v>0</v>
      </c>
      <c r="K522" s="84" t="str">
        <f t="shared" si="3"/>
        <v>Stabil</v>
      </c>
      <c r="L522" s="84">
        <f t="shared" si="4"/>
        <v>0</v>
      </c>
      <c r="M522" s="88" t="str">
        <f t="shared" si="5"/>
        <v>Perubahan Normal</v>
      </c>
    </row>
    <row r="523" ht="18.75" customHeight="1">
      <c r="A523" s="80" t="s">
        <v>384</v>
      </c>
      <c r="B523" s="81" t="str">
        <f t="shared" si="1"/>
        <v>Kab Lebak</v>
      </c>
      <c r="C523" s="81" t="str">
        <f t="array" ref="C523">XLOOKUP(B523,Reference!$A$2:$A$152,Reference!$B$2:$B$152)</f>
        <v>Banten</v>
      </c>
      <c r="D523" s="82" t="s">
        <v>958</v>
      </c>
      <c r="E523" s="83">
        <v>45352.0</v>
      </c>
      <c r="F523" s="84" t="str">
        <f t="array" ref="F523">XLOOKUP(G523,Reference!$F:$F,Reference!$D:$D,"null")</f>
        <v>Makanan dan Pakaian </v>
      </c>
      <c r="G523" s="85" t="s">
        <v>56</v>
      </c>
      <c r="H523" s="86">
        <v>105.82</v>
      </c>
      <c r="I523" s="86">
        <v>105.62</v>
      </c>
      <c r="J523" s="87">
        <f t="shared" si="2"/>
        <v>0.1893580761</v>
      </c>
      <c r="K523" s="84" t="str">
        <f t="shared" si="3"/>
        <v>Inflasi Normal</v>
      </c>
      <c r="L523" s="84">
        <f t="shared" si="4"/>
        <v>0.2</v>
      </c>
      <c r="M523" s="88" t="str">
        <f t="shared" si="5"/>
        <v>Perubahan Normal</v>
      </c>
    </row>
    <row r="524" ht="18.75" customHeight="1">
      <c r="A524" s="80" t="s">
        <v>316</v>
      </c>
      <c r="B524" s="81" t="str">
        <f t="shared" si="1"/>
        <v>Singaraja</v>
      </c>
      <c r="C524" s="81" t="str">
        <f t="array" ref="C524">XLOOKUP(B524,Reference!$A$2:$A$152,Reference!$B$2:$B$152)</f>
        <v>Bali</v>
      </c>
      <c r="D524" s="82" t="s">
        <v>959</v>
      </c>
      <c r="E524" s="83">
        <v>45323.0</v>
      </c>
      <c r="F524" s="84" t="str">
        <f t="array" ref="F524">XLOOKUP(G524,Reference!$F:$F,Reference!$D:$D,"null")</f>
        <v>Makanan dan Pakaian </v>
      </c>
      <c r="G524" s="85" t="s">
        <v>64</v>
      </c>
      <c r="H524" s="86">
        <v>102.13</v>
      </c>
      <c r="I524" s="86">
        <v>102.05</v>
      </c>
      <c r="J524" s="87">
        <f t="shared" si="2"/>
        <v>0.07839294463</v>
      </c>
      <c r="K524" s="84" t="str">
        <f t="shared" si="3"/>
        <v>Inflasi Normal</v>
      </c>
      <c r="L524" s="84">
        <f t="shared" si="4"/>
        <v>0.08</v>
      </c>
      <c r="M524" s="88" t="str">
        <f t="shared" si="5"/>
        <v>Perubahan Normal</v>
      </c>
    </row>
    <row r="525" ht="18.75" customHeight="1">
      <c r="A525" s="80" t="s">
        <v>727</v>
      </c>
      <c r="B525" s="81" t="str">
        <f t="shared" si="1"/>
        <v>Kab Badung</v>
      </c>
      <c r="C525" s="81" t="str">
        <f t="array" ref="C525">XLOOKUP(B525,Reference!$A$2:$A$152,Reference!$B$2:$B$152)</f>
        <v>Bali</v>
      </c>
      <c r="D525" s="82" t="s">
        <v>960</v>
      </c>
      <c r="E525" s="83">
        <v>45352.0</v>
      </c>
      <c r="F525" s="84" t="str">
        <f t="array" ref="F525">XLOOKUP(G525,Reference!$F:$F,Reference!$D:$D,"null")</f>
        <v>Rumah Tangga</v>
      </c>
      <c r="G525" s="85" t="s">
        <v>89</v>
      </c>
      <c r="H525" s="86">
        <v>101.92</v>
      </c>
      <c r="I525" s="86">
        <v>101.92</v>
      </c>
      <c r="J525" s="87">
        <f t="shared" si="2"/>
        <v>0</v>
      </c>
      <c r="K525" s="84" t="str">
        <f t="shared" si="3"/>
        <v>Stabil</v>
      </c>
      <c r="L525" s="84">
        <f t="shared" si="4"/>
        <v>0</v>
      </c>
      <c r="M525" s="88" t="str">
        <f t="shared" si="5"/>
        <v>Perubahan Normal</v>
      </c>
    </row>
    <row r="526" ht="18.75" customHeight="1">
      <c r="A526" s="80" t="s">
        <v>380</v>
      </c>
      <c r="B526" s="81" t="str">
        <f t="shared" si="1"/>
        <v>Kota Bengkulu</v>
      </c>
      <c r="C526" s="81" t="str">
        <f t="array" ref="C526">XLOOKUP(B526,Reference!$A$2:$A$152,Reference!$B$2:$B$152)</f>
        <v>Bengkulu</v>
      </c>
      <c r="D526" s="82" t="s">
        <v>961</v>
      </c>
      <c r="E526" s="83">
        <v>45323.0</v>
      </c>
      <c r="F526" s="84" t="str">
        <f t="array" ref="F526">XLOOKUP(G526,Reference!$F:$F,Reference!$D:$D,"null")</f>
        <v>Makanan dan Pakaian </v>
      </c>
      <c r="G526" s="85" t="s">
        <v>56</v>
      </c>
      <c r="H526" s="86">
        <v>107.29</v>
      </c>
      <c r="I526" s="86">
        <v>106.15</v>
      </c>
      <c r="J526" s="87">
        <f t="shared" si="2"/>
        <v>1.073951955</v>
      </c>
      <c r="K526" s="84" t="str">
        <f t="shared" si="3"/>
        <v>Inflasi Tinggi</v>
      </c>
      <c r="L526" s="84">
        <f t="shared" si="4"/>
        <v>1.14</v>
      </c>
      <c r="M526" s="88" t="str">
        <f t="shared" si="5"/>
        <v>Akselerasi Persentase</v>
      </c>
    </row>
    <row r="527" ht="18.75" customHeight="1">
      <c r="A527" s="80" t="s">
        <v>410</v>
      </c>
      <c r="B527" s="81" t="str">
        <f t="shared" si="1"/>
        <v>Meulaboh</v>
      </c>
      <c r="C527" s="81" t="str">
        <f t="array" ref="C527">XLOOKUP(B527,Reference!$A$2:$A$152,Reference!$B$2:$B$152)</f>
        <v>Aceh</v>
      </c>
      <c r="D527" s="82" t="s">
        <v>962</v>
      </c>
      <c r="E527" s="83">
        <v>45352.0</v>
      </c>
      <c r="F527" s="84" t="str">
        <f t="array" ref="F527">XLOOKUP(G527,Reference!$F:$F,Reference!$D:$D,"null")</f>
        <v>Makanan dan Pakaian </v>
      </c>
      <c r="G527" s="85" t="s">
        <v>72</v>
      </c>
      <c r="H527" s="86">
        <v>100.91</v>
      </c>
      <c r="I527" s="86">
        <v>100.74</v>
      </c>
      <c r="J527" s="87">
        <f t="shared" si="2"/>
        <v>0.1687512408</v>
      </c>
      <c r="K527" s="84" t="str">
        <f t="shared" si="3"/>
        <v>Inflasi Normal</v>
      </c>
      <c r="L527" s="84">
        <f t="shared" si="4"/>
        <v>0.17</v>
      </c>
      <c r="M527" s="88" t="str">
        <f t="shared" si="5"/>
        <v>Perubahan Normal</v>
      </c>
    </row>
    <row r="528" ht="18.75" customHeight="1">
      <c r="A528" s="80" t="s">
        <v>490</v>
      </c>
      <c r="B528" s="81" t="str">
        <f t="shared" si="1"/>
        <v>Kab Kerinci</v>
      </c>
      <c r="C528" s="81" t="str">
        <f t="array" ref="C528">XLOOKUP(B528,Reference!$A$2:$A$152,Reference!$B$2:$B$152)</f>
        <v>Jambi</v>
      </c>
      <c r="D528" s="82" t="s">
        <v>963</v>
      </c>
      <c r="E528" s="83">
        <v>45352.0</v>
      </c>
      <c r="F528" s="84" t="str">
        <f t="array" ref="F528">XLOOKUP(G528,Reference!$F:$F,Reference!$D:$D,"null")</f>
        <v>Pendidikan dan Kesehatan</v>
      </c>
      <c r="G528" s="85" t="s">
        <v>98</v>
      </c>
      <c r="H528" s="86">
        <v>97.21</v>
      </c>
      <c r="I528" s="86">
        <v>97.21</v>
      </c>
      <c r="J528" s="87">
        <f t="shared" si="2"/>
        <v>0</v>
      </c>
      <c r="K528" s="84" t="str">
        <f t="shared" si="3"/>
        <v>Stabil</v>
      </c>
      <c r="L528" s="84">
        <f t="shared" si="4"/>
        <v>0</v>
      </c>
      <c r="M528" s="88" t="str">
        <f t="shared" si="5"/>
        <v>Perubahan Normal</v>
      </c>
    </row>
    <row r="529" ht="18.75" customHeight="1">
      <c r="A529" s="80" t="s">
        <v>600</v>
      </c>
      <c r="B529" s="81" t="str">
        <f t="shared" si="1"/>
        <v>Kota Banda Aceh</v>
      </c>
      <c r="C529" s="81" t="str">
        <f t="array" ref="C529">XLOOKUP(B529,Reference!$A$2:$A$152,Reference!$B$2:$B$152)</f>
        <v>Aceh</v>
      </c>
      <c r="D529" s="82" t="s">
        <v>964</v>
      </c>
      <c r="E529" s="83">
        <v>45323.0</v>
      </c>
      <c r="F529" s="84" t="str">
        <f t="array" ref="F529">XLOOKUP(G529,Reference!$F:$F,Reference!$D:$D,"null")</f>
        <v>Rekreasi dan Kendaraan</v>
      </c>
      <c r="G529" s="89" t="s">
        <v>105</v>
      </c>
      <c r="H529" s="90">
        <v>102.39</v>
      </c>
      <c r="I529" s="90">
        <v>102.39</v>
      </c>
      <c r="J529" s="87">
        <f t="shared" si="2"/>
        <v>0</v>
      </c>
      <c r="K529" s="84" t="str">
        <f t="shared" si="3"/>
        <v>Stabil</v>
      </c>
      <c r="L529" s="91">
        <f t="shared" si="4"/>
        <v>0</v>
      </c>
      <c r="M529" s="88" t="str">
        <f t="shared" si="5"/>
        <v>Perubahan Normal</v>
      </c>
    </row>
    <row r="530" ht="18.75" customHeight="1">
      <c r="A530" s="80" t="s">
        <v>965</v>
      </c>
      <c r="B530" s="81" t="str">
        <f t="shared" si="1"/>
        <v>Kab Konawe</v>
      </c>
      <c r="C530" s="81" t="str">
        <f t="array" ref="C530">XLOOKUP(B530,Reference!$A$2:$A$152,Reference!$B$2:$B$152)</f>
        <v>Sulawesi Tenggara</v>
      </c>
      <c r="D530" s="82" t="s">
        <v>966</v>
      </c>
      <c r="E530" s="83">
        <v>45323.0</v>
      </c>
      <c r="F530" s="84" t="str">
        <f t="array" ref="F530">XLOOKUP(G530,Reference!$F:$F,Reference!$D:$D,"null")</f>
        <v>Rumah Tangga</v>
      </c>
      <c r="G530" s="85" t="s">
        <v>80</v>
      </c>
      <c r="H530" s="86">
        <v>100.16</v>
      </c>
      <c r="I530" s="86">
        <v>100.0</v>
      </c>
      <c r="J530" s="87">
        <f t="shared" si="2"/>
        <v>0.16</v>
      </c>
      <c r="K530" s="84" t="str">
        <f t="shared" si="3"/>
        <v>Inflasi Normal</v>
      </c>
      <c r="L530" s="84">
        <f t="shared" si="4"/>
        <v>0.16</v>
      </c>
      <c r="M530" s="88" t="str">
        <f t="shared" si="5"/>
        <v>Perubahan Normal</v>
      </c>
    </row>
    <row r="531" ht="18.75" customHeight="1">
      <c r="A531" s="80" t="s">
        <v>535</v>
      </c>
      <c r="B531" s="81" t="str">
        <f t="shared" si="1"/>
        <v>Kota Tarakan</v>
      </c>
      <c r="C531" s="81" t="str">
        <f t="array" ref="C531">XLOOKUP(B531,Reference!$A$2:$A$152,Reference!$B$2:$B$152)</f>
        <v>Kalimantan Utara</v>
      </c>
      <c r="D531" s="82" t="s">
        <v>967</v>
      </c>
      <c r="E531" s="83">
        <v>45352.0</v>
      </c>
      <c r="F531" s="84" t="str">
        <f t="array" ref="F531">XLOOKUP(G531,Reference!$F:$F,Reference!$D:$D,"null")</f>
        <v>Rumah Tangga</v>
      </c>
      <c r="G531" s="85" t="s">
        <v>89</v>
      </c>
      <c r="H531" s="86">
        <v>101.13</v>
      </c>
      <c r="I531" s="86">
        <v>101.19</v>
      </c>
      <c r="J531" s="87">
        <f t="shared" si="2"/>
        <v>-0.05929439668</v>
      </c>
      <c r="K531" s="84" t="str">
        <f t="shared" si="3"/>
        <v>Deflasi</v>
      </c>
      <c r="L531" s="84">
        <f t="shared" si="4"/>
        <v>-0.06</v>
      </c>
      <c r="M531" s="88" t="str">
        <f t="shared" si="5"/>
        <v>Perubahan Normal</v>
      </c>
    </row>
    <row r="532" ht="18.75" customHeight="1">
      <c r="A532" s="80" t="s">
        <v>473</v>
      </c>
      <c r="B532" s="81" t="str">
        <f t="shared" si="1"/>
        <v>Kab Wajo</v>
      </c>
      <c r="C532" s="81" t="str">
        <f t="array" ref="C532">XLOOKUP(B532,Reference!$A$2:$A$152,Reference!$B$2:$B$152)</f>
        <v>Sulawesi Selatan</v>
      </c>
      <c r="D532" s="82" t="s">
        <v>968</v>
      </c>
      <c r="E532" s="83">
        <v>45352.0</v>
      </c>
      <c r="F532" s="84" t="str">
        <f t="array" ref="F532">XLOOKUP(G532,Reference!$F:$F,Reference!$D:$D,"null")</f>
        <v>Pendidikan dan Kesehatan</v>
      </c>
      <c r="G532" s="85" t="s">
        <v>95</v>
      </c>
      <c r="H532" s="86">
        <v>100.0</v>
      </c>
      <c r="I532" s="86">
        <v>100.0</v>
      </c>
      <c r="J532" s="87">
        <f t="shared" si="2"/>
        <v>0</v>
      </c>
      <c r="K532" s="84" t="str">
        <f t="shared" si="3"/>
        <v>Stabil</v>
      </c>
      <c r="L532" s="84">
        <f t="shared" si="4"/>
        <v>0</v>
      </c>
      <c r="M532" s="88" t="str">
        <f t="shared" si="5"/>
        <v>Perubahan Normal</v>
      </c>
    </row>
    <row r="533" ht="18.75" customHeight="1">
      <c r="A533" s="80" t="s">
        <v>715</v>
      </c>
      <c r="B533" s="81" t="str">
        <f t="shared" si="1"/>
        <v>Kab Bojonegoro</v>
      </c>
      <c r="C533" s="81" t="str">
        <f t="array" ref="C533">XLOOKUP(B533,Reference!$A$2:$A$152,Reference!$B$2:$B$152)</f>
        <v>Jawa Timur</v>
      </c>
      <c r="D533" s="82" t="s">
        <v>969</v>
      </c>
      <c r="E533" s="83">
        <v>45352.0</v>
      </c>
      <c r="F533" s="84" t="str">
        <f t="array" ref="F533">XLOOKUP(G533,Reference!$F:$F,Reference!$D:$D,"null")</f>
        <v>Pendidikan dan Kesehatan</v>
      </c>
      <c r="G533" s="85" t="s">
        <v>98</v>
      </c>
      <c r="H533" s="86">
        <v>106.77</v>
      </c>
      <c r="I533" s="86">
        <v>106.73</v>
      </c>
      <c r="J533" s="87">
        <f t="shared" si="2"/>
        <v>0.03747774759</v>
      </c>
      <c r="K533" s="84" t="str">
        <f t="shared" si="3"/>
        <v>Inflasi Normal</v>
      </c>
      <c r="L533" s="84">
        <f t="shared" si="4"/>
        <v>0.04</v>
      </c>
      <c r="M533" s="88" t="str">
        <f t="shared" si="5"/>
        <v>Perubahan Normal</v>
      </c>
    </row>
    <row r="534" ht="18.75" customHeight="1">
      <c r="A534" s="80" t="s">
        <v>410</v>
      </c>
      <c r="B534" s="81" t="str">
        <f t="shared" si="1"/>
        <v>Meulaboh</v>
      </c>
      <c r="C534" s="81" t="str">
        <f t="array" ref="C534">XLOOKUP(B534,Reference!$A$2:$A$152,Reference!$B$2:$B$152)</f>
        <v>Aceh</v>
      </c>
      <c r="D534" s="82" t="s">
        <v>970</v>
      </c>
      <c r="E534" s="83">
        <v>45323.0</v>
      </c>
      <c r="F534" s="84" t="str">
        <f t="array" ref="F534">XLOOKUP(G534,Reference!$F:$F,Reference!$D:$D,"null")</f>
        <v>Rekreasi dan Kendaraan</v>
      </c>
      <c r="G534" s="85" t="s">
        <v>102</v>
      </c>
      <c r="H534" s="86">
        <v>101.66</v>
      </c>
      <c r="I534" s="86">
        <v>101.66</v>
      </c>
      <c r="J534" s="87">
        <f t="shared" si="2"/>
        <v>0</v>
      </c>
      <c r="K534" s="84" t="str">
        <f t="shared" si="3"/>
        <v>Stabil</v>
      </c>
      <c r="L534" s="84">
        <f t="shared" si="4"/>
        <v>0</v>
      </c>
      <c r="M534" s="88" t="str">
        <f t="shared" si="5"/>
        <v>Perubahan Normal</v>
      </c>
    </row>
    <row r="535" ht="18.75" customHeight="1">
      <c r="A535" s="80" t="s">
        <v>370</v>
      </c>
      <c r="B535" s="81" t="str">
        <f t="shared" si="1"/>
        <v>Jember</v>
      </c>
      <c r="C535" s="81" t="str">
        <f t="array" ref="C535">XLOOKUP(B535,Reference!$A$2:$A$152,Reference!$B$2:$B$152)</f>
        <v>Jawa Timur</v>
      </c>
      <c r="D535" s="82" t="s">
        <v>971</v>
      </c>
      <c r="E535" s="83">
        <v>45352.0</v>
      </c>
      <c r="F535" s="84" t="str">
        <f t="array" ref="F535">XLOOKUP(G535,Reference!$F:$F,Reference!$D:$D,"null")</f>
        <v>Makanan dan Pakaian </v>
      </c>
      <c r="G535" s="85" t="s">
        <v>48</v>
      </c>
      <c r="H535" s="86">
        <v>112.32</v>
      </c>
      <c r="I535" s="86">
        <v>110.13</v>
      </c>
      <c r="J535" s="87">
        <f t="shared" si="2"/>
        <v>1.988558976</v>
      </c>
      <c r="K535" s="84" t="str">
        <f t="shared" si="3"/>
        <v>Inflasi Tinggi</v>
      </c>
      <c r="L535" s="84">
        <f t="shared" si="4"/>
        <v>2.19</v>
      </c>
      <c r="M535" s="88" t="str">
        <f t="shared" si="5"/>
        <v>Akselerasi Kuat</v>
      </c>
    </row>
    <row r="536" ht="18.75" customHeight="1">
      <c r="A536" s="80" t="s">
        <v>631</v>
      </c>
      <c r="B536" s="81" t="str">
        <f t="shared" si="1"/>
        <v>Kab Toli Toli</v>
      </c>
      <c r="C536" s="81" t="str">
        <f t="array" ref="C536">XLOOKUP(B536,Reference!$A$2:$A$152,Reference!$B$2:$B$152)</f>
        <v>Sulawesi Tengah</v>
      </c>
      <c r="D536" s="82" t="s">
        <v>972</v>
      </c>
      <c r="E536" s="83">
        <v>45352.0</v>
      </c>
      <c r="F536" s="84" t="str">
        <f t="array" ref="F536">XLOOKUP(G536,Reference!$F:$F,Reference!$D:$D,"null")</f>
        <v>Rumah Tangga</v>
      </c>
      <c r="G536" s="85" t="s">
        <v>84</v>
      </c>
      <c r="H536" s="86">
        <v>99.4</v>
      </c>
      <c r="I536" s="86">
        <v>99.8</v>
      </c>
      <c r="J536" s="87">
        <f t="shared" si="2"/>
        <v>-0.4008016032</v>
      </c>
      <c r="K536" s="84" t="str">
        <f t="shared" si="3"/>
        <v>Deflasi</v>
      </c>
      <c r="L536" s="84">
        <f t="shared" si="4"/>
        <v>-0.4</v>
      </c>
      <c r="M536" s="88" t="str">
        <f t="shared" si="5"/>
        <v>Perubahan Normal</v>
      </c>
    </row>
    <row r="537" ht="18.75" customHeight="1">
      <c r="A537" s="80" t="s">
        <v>320</v>
      </c>
      <c r="B537" s="81" t="str">
        <f t="shared" si="1"/>
        <v>Kota Manado</v>
      </c>
      <c r="C537" s="81" t="str">
        <f t="array" ref="C537">XLOOKUP(B537,Reference!$A$2:$A$152,Reference!$B$2:$B$152)</f>
        <v>Sulawesi Utara</v>
      </c>
      <c r="D537" s="82" t="s">
        <v>973</v>
      </c>
      <c r="E537" s="83">
        <v>45352.0</v>
      </c>
      <c r="F537" s="84" t="str">
        <f t="array" ref="F537">XLOOKUP(G537,Reference!$F:$F,Reference!$D:$D,"null")</f>
        <v>Makanan dan Pakaian </v>
      </c>
      <c r="G537" s="89" t="s">
        <v>64</v>
      </c>
      <c r="H537" s="90">
        <v>102.15</v>
      </c>
      <c r="I537" s="90">
        <v>102.96</v>
      </c>
      <c r="J537" s="87">
        <f t="shared" si="2"/>
        <v>-0.7867132867</v>
      </c>
      <c r="K537" s="84" t="str">
        <f t="shared" si="3"/>
        <v>Deflasi</v>
      </c>
      <c r="L537" s="91">
        <f t="shared" si="4"/>
        <v>-0.81</v>
      </c>
      <c r="M537" s="88" t="str">
        <f t="shared" si="5"/>
        <v>Perubahan Normal</v>
      </c>
    </row>
    <row r="538" ht="18.75" customHeight="1">
      <c r="A538" s="80" t="s">
        <v>425</v>
      </c>
      <c r="B538" s="81" t="str">
        <f t="shared" si="1"/>
        <v>Kab Gorontalo</v>
      </c>
      <c r="C538" s="81" t="str">
        <f t="array" ref="C538">XLOOKUP(B538,Reference!$A$2:$A$152,Reference!$B$2:$B$152)</f>
        <v>Gorontalo</v>
      </c>
      <c r="D538" s="82" t="s">
        <v>974</v>
      </c>
      <c r="E538" s="83">
        <v>45323.0</v>
      </c>
      <c r="F538" s="84" t="str">
        <f t="array" ref="F538">XLOOKUP(G538,Reference!$F:$F,Reference!$D:$D,"null")</f>
        <v>Pendidikan dan Kesehatan</v>
      </c>
      <c r="G538" s="85" t="s">
        <v>98</v>
      </c>
      <c r="H538" s="86">
        <v>99.74</v>
      </c>
      <c r="I538" s="86">
        <v>100.95</v>
      </c>
      <c r="J538" s="87">
        <f t="shared" si="2"/>
        <v>-1.198613175</v>
      </c>
      <c r="K538" s="84" t="str">
        <f t="shared" si="3"/>
        <v>Deflasi</v>
      </c>
      <c r="L538" s="84">
        <f t="shared" si="4"/>
        <v>-1.21</v>
      </c>
      <c r="M538" s="88" t="str">
        <f t="shared" si="5"/>
        <v>Perubahan Normal</v>
      </c>
    </row>
    <row r="539" ht="18.75" customHeight="1">
      <c r="A539" s="80" t="s">
        <v>920</v>
      </c>
      <c r="B539" s="81" t="str">
        <f t="shared" si="1"/>
        <v>Kab Deli Serdang</v>
      </c>
      <c r="C539" s="81" t="str">
        <f t="array" ref="C539">XLOOKUP(B539,Reference!$A$2:$A$152,Reference!$B$2:$B$152)</f>
        <v>Sumatera Utara</v>
      </c>
      <c r="D539" s="82" t="s">
        <v>975</v>
      </c>
      <c r="E539" s="83">
        <v>45352.0</v>
      </c>
      <c r="F539" s="84" t="str">
        <f t="array" ref="F539">XLOOKUP(G539,Reference!$F:$F,Reference!$D:$D,"null")</f>
        <v>Makanan dan Pakaian </v>
      </c>
      <c r="G539" s="85" t="s">
        <v>56</v>
      </c>
      <c r="H539" s="86">
        <v>102.59</v>
      </c>
      <c r="I539" s="86">
        <v>102.52</v>
      </c>
      <c r="J539" s="87">
        <f t="shared" si="2"/>
        <v>0.06827936012</v>
      </c>
      <c r="K539" s="84" t="str">
        <f t="shared" si="3"/>
        <v>Inflasi Normal</v>
      </c>
      <c r="L539" s="84">
        <f t="shared" si="4"/>
        <v>0.07</v>
      </c>
      <c r="M539" s="88" t="str">
        <f t="shared" si="5"/>
        <v>Perubahan Normal</v>
      </c>
    </row>
    <row r="540" ht="18.75" customHeight="1">
      <c r="A540" s="80" t="s">
        <v>764</v>
      </c>
      <c r="B540" s="81" t="str">
        <f t="shared" si="1"/>
        <v>Kota Madiun</v>
      </c>
      <c r="C540" s="81" t="str">
        <f t="array" ref="C540">XLOOKUP(B540,Reference!$A$2:$A$152,Reference!$B$2:$B$152)</f>
        <v>Jawa Timur</v>
      </c>
      <c r="D540" s="82" t="s">
        <v>976</v>
      </c>
      <c r="E540" s="83">
        <v>45323.0</v>
      </c>
      <c r="F540" s="84" t="str">
        <f t="array" ref="F540">XLOOKUP(G540,Reference!$F:$F,Reference!$D:$D,"null")</f>
        <v>Makanan dan Pakaian </v>
      </c>
      <c r="G540" s="85" t="s">
        <v>48</v>
      </c>
      <c r="H540" s="86">
        <v>111.16</v>
      </c>
      <c r="I540" s="86">
        <v>108.62</v>
      </c>
      <c r="J540" s="87">
        <f t="shared" si="2"/>
        <v>2.338427546</v>
      </c>
      <c r="K540" s="84" t="str">
        <f t="shared" si="3"/>
        <v>Inflasi Tinggi</v>
      </c>
      <c r="L540" s="84">
        <f t="shared" si="4"/>
        <v>2.54</v>
      </c>
      <c r="M540" s="88" t="str">
        <f t="shared" si="5"/>
        <v>Akselerasi Kuat</v>
      </c>
    </row>
    <row r="541" ht="18.75" customHeight="1">
      <c r="A541" s="80" t="s">
        <v>806</v>
      </c>
      <c r="B541" s="81" t="str">
        <f t="shared" si="1"/>
        <v>Kab Subang</v>
      </c>
      <c r="C541" s="81" t="str">
        <f t="array" ref="C541">XLOOKUP(B541,Reference!$A$2:$A$152,Reference!$B$2:$B$152)</f>
        <v>Jawa Barat</v>
      </c>
      <c r="D541" s="82" t="s">
        <v>977</v>
      </c>
      <c r="E541" s="83">
        <v>45323.0</v>
      </c>
      <c r="F541" s="84" t="str">
        <f t="array" ref="F541">XLOOKUP(G541,Reference!$F:$F,Reference!$D:$D,"null")</f>
        <v>Makanan dan Pakaian </v>
      </c>
      <c r="G541" s="85" t="s">
        <v>64</v>
      </c>
      <c r="H541" s="86">
        <v>106.96</v>
      </c>
      <c r="I541" s="86">
        <v>106.97</v>
      </c>
      <c r="J541" s="87">
        <f t="shared" si="2"/>
        <v>-0.009348415444</v>
      </c>
      <c r="K541" s="84" t="str">
        <f t="shared" si="3"/>
        <v>Deflasi</v>
      </c>
      <c r="L541" s="84">
        <f t="shared" si="4"/>
        <v>-0.01</v>
      </c>
      <c r="M541" s="88" t="str">
        <f t="shared" si="5"/>
        <v>Perubahan Normal</v>
      </c>
    </row>
    <row r="542" ht="18.75" customHeight="1">
      <c r="A542" s="80" t="s">
        <v>663</v>
      </c>
      <c r="B542" s="81" t="str">
        <f t="shared" si="1"/>
        <v>Kota Serang</v>
      </c>
      <c r="C542" s="81" t="str">
        <f t="array" ref="C542">XLOOKUP(B542,Reference!$A$2:$A$152,Reference!$B$2:$B$152)</f>
        <v>Banten</v>
      </c>
      <c r="D542" s="82" t="s">
        <v>978</v>
      </c>
      <c r="E542" s="83">
        <v>45352.0</v>
      </c>
      <c r="F542" s="84" t="str">
        <f t="array" ref="F542">XLOOKUP(G542,Reference!$F:$F,Reference!$D:$D,"null")</f>
        <v>Makanan dan Pakaian </v>
      </c>
      <c r="G542" s="85" t="s">
        <v>64</v>
      </c>
      <c r="H542" s="86">
        <v>101.51</v>
      </c>
      <c r="I542" s="86">
        <v>100.92</v>
      </c>
      <c r="J542" s="87">
        <f t="shared" si="2"/>
        <v>0.5846214824</v>
      </c>
      <c r="K542" s="84" t="str">
        <f t="shared" si="3"/>
        <v>Inflasi Tinggi</v>
      </c>
      <c r="L542" s="84">
        <f t="shared" si="4"/>
        <v>0.59</v>
      </c>
      <c r="M542" s="88" t="str">
        <f t="shared" si="5"/>
        <v>Akselerasi Persentase</v>
      </c>
    </row>
    <row r="543" ht="18.75" customHeight="1">
      <c r="A543" s="80" t="s">
        <v>322</v>
      </c>
      <c r="B543" s="81" t="str">
        <f t="shared" si="1"/>
        <v>Purwokerto</v>
      </c>
      <c r="C543" s="81" t="str">
        <f t="array" ref="C543">XLOOKUP(B543,Reference!$A$2:$A$152,Reference!$B$2:$B$152)</f>
        <v>Jawa Tengah</v>
      </c>
      <c r="D543" s="82" t="s">
        <v>979</v>
      </c>
      <c r="E543" s="83">
        <v>45352.0</v>
      </c>
      <c r="F543" s="84" t="str">
        <f t="array" ref="F543">XLOOKUP(G543,Reference!$F:$F,Reference!$D:$D,"null")</f>
        <v>Makanan dan Pakaian </v>
      </c>
      <c r="G543" s="85" t="s">
        <v>48</v>
      </c>
      <c r="H543" s="86">
        <v>111.94</v>
      </c>
      <c r="I543" s="86">
        <v>110.13</v>
      </c>
      <c r="J543" s="87">
        <f t="shared" si="2"/>
        <v>1.643512213</v>
      </c>
      <c r="K543" s="84" t="str">
        <f t="shared" si="3"/>
        <v>Inflasi Tinggi</v>
      </c>
      <c r="L543" s="84">
        <f t="shared" si="4"/>
        <v>1.81</v>
      </c>
      <c r="M543" s="88" t="str">
        <f t="shared" si="5"/>
        <v>Akselerasi Persentase</v>
      </c>
    </row>
    <row r="544" ht="18.75" customHeight="1">
      <c r="A544" s="80" t="s">
        <v>592</v>
      </c>
      <c r="B544" s="81" t="str">
        <f t="shared" si="1"/>
        <v>Kab Lampung Timur</v>
      </c>
      <c r="C544" s="81" t="str">
        <f t="array" ref="C544">XLOOKUP(B544,Reference!$A$2:$A$152,Reference!$B$2:$B$152)</f>
        <v>Lampung</v>
      </c>
      <c r="D544" s="82" t="s">
        <v>980</v>
      </c>
      <c r="E544" s="83">
        <v>45352.0</v>
      </c>
      <c r="F544" s="84" t="str">
        <f t="array" ref="F544">XLOOKUP(G544,Reference!$F:$F,Reference!$D:$D,"null")</f>
        <v>Makanan dan Pakaian </v>
      </c>
      <c r="G544" s="85" t="s">
        <v>48</v>
      </c>
      <c r="H544" s="86">
        <v>118.66</v>
      </c>
      <c r="I544" s="86">
        <v>117.67</v>
      </c>
      <c r="J544" s="87">
        <f t="shared" si="2"/>
        <v>0.8413359395</v>
      </c>
      <c r="K544" s="84" t="str">
        <f t="shared" si="3"/>
        <v>Inflasi Tinggi</v>
      </c>
      <c r="L544" s="84">
        <f t="shared" si="4"/>
        <v>0.99</v>
      </c>
      <c r="M544" s="88" t="str">
        <f t="shared" si="5"/>
        <v>Akselerasi Persentase</v>
      </c>
    </row>
    <row r="545" ht="18.75" customHeight="1">
      <c r="A545" s="80" t="s">
        <v>358</v>
      </c>
      <c r="B545" s="81" t="str">
        <f t="shared" si="1"/>
        <v>Kab Minahasa Utara</v>
      </c>
      <c r="C545" s="81" t="str">
        <f t="array" ref="C545">XLOOKUP(B545,Reference!$A$2:$A$152,Reference!$B$2:$B$152)</f>
        <v>Sulawesi Utara</v>
      </c>
      <c r="D545" s="82" t="s">
        <v>981</v>
      </c>
      <c r="E545" s="83">
        <v>45352.0</v>
      </c>
      <c r="F545" s="84" t="str">
        <f t="array" ref="F545">XLOOKUP(G545,Reference!$F:$F,Reference!$D:$D,"null")</f>
        <v>Makanan dan Pakaian </v>
      </c>
      <c r="G545" s="85" t="s">
        <v>72</v>
      </c>
      <c r="H545" s="86">
        <v>114.71</v>
      </c>
      <c r="I545" s="86">
        <v>114.71</v>
      </c>
      <c r="J545" s="87">
        <f t="shared" si="2"/>
        <v>0</v>
      </c>
      <c r="K545" s="84" t="str">
        <f t="shared" si="3"/>
        <v>Stabil</v>
      </c>
      <c r="L545" s="84">
        <f t="shared" si="4"/>
        <v>0</v>
      </c>
      <c r="M545" s="88" t="str">
        <f t="shared" si="5"/>
        <v>Perubahan Normal</v>
      </c>
    </row>
    <row r="546" ht="18.75" customHeight="1">
      <c r="A546" s="80" t="s">
        <v>731</v>
      </c>
      <c r="B546" s="81" t="str">
        <f t="shared" si="1"/>
        <v>Kab Hulu Sungai Tengah</v>
      </c>
      <c r="C546" s="81" t="str">
        <f t="array" ref="C546">XLOOKUP(B546,Reference!$A$2:$A$152,Reference!$B$2:$B$152)</f>
        <v>Kalimantan Selatan</v>
      </c>
      <c r="D546" s="82" t="s">
        <v>982</v>
      </c>
      <c r="E546" s="83">
        <v>45352.0</v>
      </c>
      <c r="F546" s="84" t="str">
        <f t="array" ref="F546">XLOOKUP(G546,Reference!$F:$F,Reference!$D:$D,"null")</f>
        <v>Makanan dan Pakaian </v>
      </c>
      <c r="G546" s="85" t="s">
        <v>64</v>
      </c>
      <c r="H546" s="86">
        <v>104.67</v>
      </c>
      <c r="I546" s="86">
        <v>104.7</v>
      </c>
      <c r="J546" s="87">
        <f t="shared" si="2"/>
        <v>-0.02865329513</v>
      </c>
      <c r="K546" s="84" t="str">
        <f t="shared" si="3"/>
        <v>Deflasi</v>
      </c>
      <c r="L546" s="84">
        <f t="shared" si="4"/>
        <v>-0.03</v>
      </c>
      <c r="M546" s="88" t="str">
        <f t="shared" si="5"/>
        <v>Perubahan Normal</v>
      </c>
    </row>
    <row r="547" ht="18.75" customHeight="1">
      <c r="A547" s="80" t="s">
        <v>384</v>
      </c>
      <c r="B547" s="81" t="str">
        <f t="shared" si="1"/>
        <v>Kab Lebak</v>
      </c>
      <c r="C547" s="81" t="str">
        <f t="array" ref="C547">XLOOKUP(B547,Reference!$A$2:$A$152,Reference!$B$2:$B$152)</f>
        <v>Banten</v>
      </c>
      <c r="D547" s="82" t="s">
        <v>983</v>
      </c>
      <c r="E547" s="83">
        <v>45352.0</v>
      </c>
      <c r="F547" s="84" t="str">
        <f t="array" ref="F547">XLOOKUP(G547,Reference!$F:$F,Reference!$D:$D,"null")</f>
        <v>Makanan dan Pakaian </v>
      </c>
      <c r="G547" s="85" t="s">
        <v>48</v>
      </c>
      <c r="H547" s="86">
        <v>111.41</v>
      </c>
      <c r="I547" s="86">
        <v>109.24</v>
      </c>
      <c r="J547" s="87">
        <f t="shared" si="2"/>
        <v>1.986451849</v>
      </c>
      <c r="K547" s="84" t="str">
        <f t="shared" si="3"/>
        <v>Inflasi Tinggi</v>
      </c>
      <c r="L547" s="84">
        <f t="shared" si="4"/>
        <v>2.17</v>
      </c>
      <c r="M547" s="88" t="str">
        <f t="shared" si="5"/>
        <v>Akselerasi Kuat</v>
      </c>
    </row>
    <row r="548" ht="18.75" customHeight="1">
      <c r="A548" s="80" t="s">
        <v>389</v>
      </c>
      <c r="B548" s="81" t="str">
        <f t="shared" si="1"/>
        <v>Tembilahan</v>
      </c>
      <c r="C548" s="81" t="str">
        <f t="array" ref="C548">XLOOKUP(B548,Reference!$A$2:$A$152,Reference!$B$2:$B$152)</f>
        <v>Riau</v>
      </c>
      <c r="D548" s="82" t="s">
        <v>984</v>
      </c>
      <c r="E548" s="83">
        <v>45352.0</v>
      </c>
      <c r="F548" s="84" t="str">
        <f t="array" ref="F548">XLOOKUP(G548,Reference!$F:$F,Reference!$D:$D,"null")</f>
        <v>Makanan dan Pakaian </v>
      </c>
      <c r="G548" s="85" t="s">
        <v>64</v>
      </c>
      <c r="H548" s="86">
        <v>100.81</v>
      </c>
      <c r="I548" s="86">
        <v>100.29</v>
      </c>
      <c r="J548" s="87">
        <f t="shared" si="2"/>
        <v>0.5184963606</v>
      </c>
      <c r="K548" s="84" t="str">
        <f t="shared" si="3"/>
        <v>Inflasi Tinggi</v>
      </c>
      <c r="L548" s="84">
        <f t="shared" si="4"/>
        <v>0.52</v>
      </c>
      <c r="M548" s="88" t="str">
        <f t="shared" si="5"/>
        <v>Akselerasi Persentase</v>
      </c>
    </row>
    <row r="549" ht="18.75" customHeight="1">
      <c r="A549" s="80" t="s">
        <v>837</v>
      </c>
      <c r="B549" s="81" t="str">
        <f t="shared" si="1"/>
        <v>Kab Luwu Timur</v>
      </c>
      <c r="C549" s="81" t="str">
        <f t="array" ref="C549">XLOOKUP(B549,Reference!$A$2:$A$152,Reference!$B$2:$B$152)</f>
        <v>Sulawesi Selatan</v>
      </c>
      <c r="D549" s="82" t="s">
        <v>985</v>
      </c>
      <c r="E549" s="83">
        <v>45323.0</v>
      </c>
      <c r="F549" s="84" t="str">
        <f t="array" ref="F549">XLOOKUP(G549,Reference!$F:$F,Reference!$D:$D,"null")</f>
        <v>Makanan dan Pakaian </v>
      </c>
      <c r="G549" s="85" t="s">
        <v>56</v>
      </c>
      <c r="H549" s="86">
        <v>110.93</v>
      </c>
      <c r="I549" s="86">
        <v>109.87</v>
      </c>
      <c r="J549" s="87">
        <f t="shared" si="2"/>
        <v>0.9647765541</v>
      </c>
      <c r="K549" s="84" t="str">
        <f t="shared" si="3"/>
        <v>Inflasi Tinggi</v>
      </c>
      <c r="L549" s="84">
        <f t="shared" si="4"/>
        <v>1.06</v>
      </c>
      <c r="M549" s="88" t="str">
        <f t="shared" si="5"/>
        <v>Akselerasi Persentase</v>
      </c>
    </row>
    <row r="550" ht="18.75" customHeight="1">
      <c r="A550" s="80" t="s">
        <v>814</v>
      </c>
      <c r="B550" s="81" t="str">
        <f t="shared" si="1"/>
        <v>Kota Samarinda</v>
      </c>
      <c r="C550" s="81" t="str">
        <f t="array" ref="C550">XLOOKUP(B550,Reference!$A$2:$A$152,Reference!$B$2:$B$152)</f>
        <v>Kalimantan Timur</v>
      </c>
      <c r="D550" s="82" t="s">
        <v>986</v>
      </c>
      <c r="E550" s="83">
        <v>45323.0</v>
      </c>
      <c r="F550" s="84" t="str">
        <f t="array" ref="F550">XLOOKUP(G550,Reference!$F:$F,Reference!$D:$D,"null")</f>
        <v>Rumah Tangga</v>
      </c>
      <c r="G550" s="85" t="s">
        <v>89</v>
      </c>
      <c r="H550" s="86">
        <v>103.51</v>
      </c>
      <c r="I550" s="86">
        <v>103.51</v>
      </c>
      <c r="J550" s="87">
        <f t="shared" si="2"/>
        <v>0</v>
      </c>
      <c r="K550" s="84" t="str">
        <f t="shared" si="3"/>
        <v>Stabil</v>
      </c>
      <c r="L550" s="84">
        <f t="shared" si="4"/>
        <v>0</v>
      </c>
      <c r="M550" s="88" t="str">
        <f t="shared" si="5"/>
        <v>Perubahan Normal</v>
      </c>
    </row>
    <row r="551" ht="18.75" customHeight="1">
      <c r="A551" s="80" t="s">
        <v>550</v>
      </c>
      <c r="B551" s="81" t="str">
        <f t="shared" si="1"/>
        <v>Kota Sukabumi</v>
      </c>
      <c r="C551" s="81" t="str">
        <f t="array" ref="C551">XLOOKUP(B551,Reference!$A$2:$A$152,Reference!$B$2:$B$152)</f>
        <v>Jawa Barat</v>
      </c>
      <c r="D551" s="82" t="s">
        <v>987</v>
      </c>
      <c r="E551" s="83">
        <v>45352.0</v>
      </c>
      <c r="F551" s="84" t="str">
        <f t="array" ref="F551">XLOOKUP(G551,Reference!$F:$F,Reference!$D:$D,"null")</f>
        <v>Rekreasi dan Kendaraan</v>
      </c>
      <c r="G551" s="85" t="s">
        <v>102</v>
      </c>
      <c r="H551" s="86">
        <v>105.79</v>
      </c>
      <c r="I551" s="86">
        <v>104.39</v>
      </c>
      <c r="J551" s="87">
        <f t="shared" si="2"/>
        <v>1.341124629</v>
      </c>
      <c r="K551" s="84" t="str">
        <f t="shared" si="3"/>
        <v>Inflasi Tinggi</v>
      </c>
      <c r="L551" s="84">
        <f t="shared" si="4"/>
        <v>1.4</v>
      </c>
      <c r="M551" s="88" t="str">
        <f t="shared" si="5"/>
        <v>Akselerasi Persentase</v>
      </c>
    </row>
    <row r="552" ht="18.75" customHeight="1">
      <c r="A552" s="80" t="s">
        <v>618</v>
      </c>
      <c r="B552" s="81" t="str">
        <f t="shared" si="1"/>
        <v>Kota Tangerang</v>
      </c>
      <c r="C552" s="81" t="str">
        <f t="array" ref="C552">XLOOKUP(B552,Reference!$A$2:$A$152,Reference!$B$2:$B$152)</f>
        <v>Banten</v>
      </c>
      <c r="D552" s="82" t="s">
        <v>988</v>
      </c>
      <c r="E552" s="83">
        <v>45323.0</v>
      </c>
      <c r="F552" s="84" t="str">
        <f t="array" ref="F552">XLOOKUP(G552,Reference!$F:$F,Reference!$D:$D,"null")</f>
        <v>Pendidikan dan Kesehatan</v>
      </c>
      <c r="G552" s="85" t="s">
        <v>98</v>
      </c>
      <c r="H552" s="86">
        <v>97.95</v>
      </c>
      <c r="I552" s="86">
        <v>96.95</v>
      </c>
      <c r="J552" s="87">
        <f t="shared" si="2"/>
        <v>1.031459515</v>
      </c>
      <c r="K552" s="84" t="str">
        <f t="shared" si="3"/>
        <v>Inflasi Tinggi</v>
      </c>
      <c r="L552" s="84">
        <f t="shared" si="4"/>
        <v>1</v>
      </c>
      <c r="M552" s="88" t="str">
        <f t="shared" si="5"/>
        <v>Akselerasi Persentase</v>
      </c>
    </row>
    <row r="553" ht="18.75" customHeight="1">
      <c r="A553" s="80" t="s">
        <v>427</v>
      </c>
      <c r="B553" s="81" t="str">
        <f t="shared" si="1"/>
        <v>Kota Malang</v>
      </c>
      <c r="C553" s="81" t="str">
        <f t="array" ref="C553">XLOOKUP(B553,Reference!$A$2:$A$152,Reference!$B$2:$B$152)</f>
        <v>Jawa Timur</v>
      </c>
      <c r="D553" s="82" t="s">
        <v>989</v>
      </c>
      <c r="E553" s="83">
        <v>45352.0</v>
      </c>
      <c r="F553" s="84" t="str">
        <f t="array" ref="F553">XLOOKUP(G553,Reference!$F:$F,Reference!$D:$D,"null")</f>
        <v>Rumah Tangga</v>
      </c>
      <c r="G553" s="85" t="s">
        <v>84</v>
      </c>
      <c r="H553" s="86">
        <v>100.59</v>
      </c>
      <c r="I553" s="86">
        <v>100.59</v>
      </c>
      <c r="J553" s="87">
        <f t="shared" si="2"/>
        <v>0</v>
      </c>
      <c r="K553" s="84" t="str">
        <f t="shared" si="3"/>
        <v>Stabil</v>
      </c>
      <c r="L553" s="84">
        <f t="shared" si="4"/>
        <v>0</v>
      </c>
      <c r="M553" s="88" t="str">
        <f t="shared" si="5"/>
        <v>Perubahan Normal</v>
      </c>
    </row>
    <row r="554" ht="18.75" customHeight="1">
      <c r="A554" s="80" t="s">
        <v>990</v>
      </c>
      <c r="B554" s="81" t="str">
        <f t="shared" si="1"/>
        <v>Kab Pandeglang</v>
      </c>
      <c r="C554" s="81" t="str">
        <f t="array" ref="C554">XLOOKUP(B554,Reference!$A$2:$A$152,Reference!$B$2:$B$152)</f>
        <v>Banten</v>
      </c>
      <c r="D554" s="82" t="s">
        <v>991</v>
      </c>
      <c r="E554" s="83">
        <v>45352.0</v>
      </c>
      <c r="F554" s="84" t="str">
        <f t="array" ref="F554">XLOOKUP(G554,Reference!$F:$F,Reference!$D:$D,"null")</f>
        <v>Rumah Tangga</v>
      </c>
      <c r="G554" s="85" t="s">
        <v>89</v>
      </c>
      <c r="H554" s="86">
        <v>99.32</v>
      </c>
      <c r="I554" s="86">
        <v>99.32</v>
      </c>
      <c r="J554" s="87">
        <f t="shared" si="2"/>
        <v>0</v>
      </c>
      <c r="K554" s="84" t="str">
        <f t="shared" si="3"/>
        <v>Stabil</v>
      </c>
      <c r="L554" s="84">
        <f t="shared" si="4"/>
        <v>0</v>
      </c>
      <c r="M554" s="88" t="str">
        <f t="shared" si="5"/>
        <v>Perubahan Normal</v>
      </c>
    </row>
    <row r="555" ht="18.75" customHeight="1">
      <c r="A555" s="80" t="s">
        <v>382</v>
      </c>
      <c r="B555" s="81" t="str">
        <f t="shared" si="1"/>
        <v>Kab Ngada</v>
      </c>
      <c r="C555" s="81" t="str">
        <f t="array" ref="C555">XLOOKUP(B555,Reference!$A$2:$A$152,Reference!$B$2:$B$152)</f>
        <v>Nusa Tenggara Timur (NTT)</v>
      </c>
      <c r="D555" s="82" t="s">
        <v>992</v>
      </c>
      <c r="E555" s="83">
        <v>45323.0</v>
      </c>
      <c r="F555" s="84" t="str">
        <f t="array" ref="F555">XLOOKUP(G555,Reference!$F:$F,Reference!$D:$D,"null")</f>
        <v>Rumah Tangga</v>
      </c>
      <c r="G555" s="85" t="s">
        <v>84</v>
      </c>
      <c r="H555" s="86">
        <v>101.09</v>
      </c>
      <c r="I555" s="86">
        <v>101.09</v>
      </c>
      <c r="J555" s="87">
        <f t="shared" si="2"/>
        <v>0</v>
      </c>
      <c r="K555" s="84" t="str">
        <f t="shared" si="3"/>
        <v>Stabil</v>
      </c>
      <c r="L555" s="84">
        <f t="shared" si="4"/>
        <v>0</v>
      </c>
      <c r="M555" s="88" t="str">
        <f t="shared" si="5"/>
        <v>Perubahan Normal</v>
      </c>
    </row>
    <row r="556" ht="18.75" customHeight="1">
      <c r="A556" s="80" t="s">
        <v>581</v>
      </c>
      <c r="B556" s="81" t="str">
        <f t="shared" si="1"/>
        <v>Kab Dharmasraya</v>
      </c>
      <c r="C556" s="81" t="str">
        <f t="array" ref="C556">XLOOKUP(B556,Reference!$A$2:$A$152,Reference!$B$2:$B$152)</f>
        <v>Sumatera Barat</v>
      </c>
      <c r="D556" s="82" t="s">
        <v>993</v>
      </c>
      <c r="E556" s="83">
        <v>45352.0</v>
      </c>
      <c r="F556" s="84" t="str">
        <f t="array" ref="F556">XLOOKUP(G556,Reference!$F:$F,Reference!$D:$D,"null")</f>
        <v>Makanan dan Pakaian </v>
      </c>
      <c r="G556" s="85" t="s">
        <v>56</v>
      </c>
      <c r="H556" s="86">
        <v>99.9</v>
      </c>
      <c r="I556" s="86">
        <v>99.9</v>
      </c>
      <c r="J556" s="87">
        <f t="shared" si="2"/>
        <v>0</v>
      </c>
      <c r="K556" s="84" t="str">
        <f t="shared" si="3"/>
        <v>Stabil</v>
      </c>
      <c r="L556" s="84">
        <f t="shared" si="4"/>
        <v>0</v>
      </c>
      <c r="M556" s="88" t="str">
        <f t="shared" si="5"/>
        <v>Perubahan Normal</v>
      </c>
    </row>
    <row r="557" ht="18.75" customHeight="1">
      <c r="A557" s="80" t="s">
        <v>524</v>
      </c>
      <c r="B557" s="81" t="str">
        <f t="shared" si="1"/>
        <v>Kudus</v>
      </c>
      <c r="C557" s="81" t="str">
        <f t="array" ref="C557">XLOOKUP(B557,Reference!$A$2:$A$152,Reference!$B$2:$B$152)</f>
        <v>Jawa Tengah</v>
      </c>
      <c r="D557" s="82" t="s">
        <v>994</v>
      </c>
      <c r="E557" s="83">
        <v>45352.0</v>
      </c>
      <c r="F557" s="84" t="str">
        <f t="array" ref="F557">XLOOKUP(G557,Reference!$F:$F,Reference!$D:$D,"null")</f>
        <v>Makanan dan Pakaian </v>
      </c>
      <c r="G557" s="85" t="s">
        <v>64</v>
      </c>
      <c r="H557" s="86">
        <v>103.77</v>
      </c>
      <c r="I557" s="86">
        <v>103.58</v>
      </c>
      <c r="J557" s="87">
        <f t="shared" si="2"/>
        <v>0.1834330952</v>
      </c>
      <c r="K557" s="84" t="str">
        <f t="shared" si="3"/>
        <v>Inflasi Normal</v>
      </c>
      <c r="L557" s="84">
        <f t="shared" si="4"/>
        <v>0.19</v>
      </c>
      <c r="M557" s="88" t="str">
        <f t="shared" si="5"/>
        <v>Perubahan Normal</v>
      </c>
    </row>
    <row r="558" ht="18.75" customHeight="1">
      <c r="A558" s="80" t="s">
        <v>628</v>
      </c>
      <c r="B558" s="81" t="str">
        <f t="shared" si="1"/>
        <v>Watampone</v>
      </c>
      <c r="C558" s="81" t="str">
        <f t="array" ref="C558">XLOOKUP(B558,Reference!$A$2:$A$152,Reference!$B$2:$B$152)</f>
        <v>Sulawesi Selatan</v>
      </c>
      <c r="D558" s="82" t="s">
        <v>995</v>
      </c>
      <c r="E558" s="83">
        <v>45352.0</v>
      </c>
      <c r="F558" s="84" t="str">
        <f t="array" ref="F558">XLOOKUP(G558,Reference!$F:$F,Reference!$D:$D,"null")</f>
        <v>Makanan dan Pakaian </v>
      </c>
      <c r="G558" s="85" t="s">
        <v>72</v>
      </c>
      <c r="H558" s="86">
        <v>100.02</v>
      </c>
      <c r="I558" s="86">
        <v>100.02</v>
      </c>
      <c r="J558" s="87">
        <f t="shared" si="2"/>
        <v>0</v>
      </c>
      <c r="K558" s="84" t="str">
        <f t="shared" si="3"/>
        <v>Stabil</v>
      </c>
      <c r="L558" s="84">
        <f t="shared" si="4"/>
        <v>0</v>
      </c>
      <c r="M558" s="88" t="str">
        <f t="shared" si="5"/>
        <v>Perubahan Normal</v>
      </c>
    </row>
    <row r="559" ht="18.75" customHeight="1">
      <c r="A559" s="80" t="s">
        <v>326</v>
      </c>
      <c r="B559" s="81" t="str">
        <f t="shared" si="1"/>
        <v>Luwuk</v>
      </c>
      <c r="C559" s="81" t="str">
        <f t="array" ref="C559">XLOOKUP(B559,Reference!$A$2:$A$152,Reference!$B$2:$B$152)</f>
        <v>Sulawesi Tengah</v>
      </c>
      <c r="D559" s="82" t="s">
        <v>996</v>
      </c>
      <c r="E559" s="83">
        <v>45323.0</v>
      </c>
      <c r="F559" s="84" t="str">
        <f t="array" ref="F559">XLOOKUP(G559,Reference!$F:$F,Reference!$D:$D,"null")</f>
        <v>Rekreasi dan Kendaraan</v>
      </c>
      <c r="G559" s="85" t="s">
        <v>105</v>
      </c>
      <c r="H559" s="86">
        <v>105.32</v>
      </c>
      <c r="I559" s="86">
        <v>104.83</v>
      </c>
      <c r="J559" s="87">
        <f t="shared" si="2"/>
        <v>0.4674234475</v>
      </c>
      <c r="K559" s="84" t="str">
        <f t="shared" si="3"/>
        <v>Inflasi Normal</v>
      </c>
      <c r="L559" s="84">
        <f t="shared" si="4"/>
        <v>0.49</v>
      </c>
      <c r="M559" s="88" t="str">
        <f t="shared" si="5"/>
        <v>Perubahan Normal</v>
      </c>
    </row>
    <row r="560" ht="18.75" customHeight="1">
      <c r="A560" s="80" t="s">
        <v>616</v>
      </c>
      <c r="B560" s="81" t="str">
        <f t="shared" si="1"/>
        <v>Kab Sorong</v>
      </c>
      <c r="C560" s="81" t="str">
        <f t="array" ref="C560">XLOOKUP(B560,Reference!$A$2:$A$152,Reference!$B$2:$B$152)</f>
        <v>Papua Barat Daya</v>
      </c>
      <c r="D560" s="82" t="s">
        <v>997</v>
      </c>
      <c r="E560" s="83">
        <v>45352.0</v>
      </c>
      <c r="F560" s="84" t="str">
        <f t="array" ref="F560">XLOOKUP(G560,Reference!$F:$F,Reference!$D:$D,"null")</f>
        <v>Rekreasi dan Kendaraan</v>
      </c>
      <c r="G560" s="89" t="s">
        <v>105</v>
      </c>
      <c r="H560" s="90">
        <v>100.11</v>
      </c>
      <c r="I560" s="90">
        <v>100.11</v>
      </c>
      <c r="J560" s="87">
        <f t="shared" si="2"/>
        <v>0</v>
      </c>
      <c r="K560" s="84" t="str">
        <f t="shared" si="3"/>
        <v>Stabil</v>
      </c>
      <c r="L560" s="91">
        <f t="shared" si="4"/>
        <v>0</v>
      </c>
      <c r="M560" s="88" t="str">
        <f t="shared" si="5"/>
        <v>Perubahan Normal</v>
      </c>
    </row>
    <row r="561" ht="18.75" customHeight="1">
      <c r="A561" s="80" t="s">
        <v>294</v>
      </c>
      <c r="B561" s="81" t="str">
        <f t="shared" si="1"/>
        <v>Kab Labuhanbatu</v>
      </c>
      <c r="C561" s="81" t="str">
        <f t="array" ref="C561">XLOOKUP(B561,Reference!$A$2:$A$152,Reference!$B$2:$B$152)</f>
        <v>Sumatera Utara</v>
      </c>
      <c r="D561" s="82" t="s">
        <v>998</v>
      </c>
      <c r="E561" s="83">
        <v>45352.0</v>
      </c>
      <c r="F561" s="84" t="str">
        <f t="array" ref="F561">XLOOKUP(G561,Reference!$F:$F,Reference!$D:$D,"null")</f>
        <v>Pendidikan dan Kesehatan</v>
      </c>
      <c r="G561" s="85" t="s">
        <v>95</v>
      </c>
      <c r="H561" s="86">
        <v>100.54</v>
      </c>
      <c r="I561" s="86">
        <v>100.54</v>
      </c>
      <c r="J561" s="87">
        <f t="shared" si="2"/>
        <v>0</v>
      </c>
      <c r="K561" s="84" t="str">
        <f t="shared" si="3"/>
        <v>Stabil</v>
      </c>
      <c r="L561" s="84">
        <f t="shared" si="4"/>
        <v>0</v>
      </c>
      <c r="M561" s="88" t="str">
        <f t="shared" si="5"/>
        <v>Perubahan Normal</v>
      </c>
    </row>
    <row r="562" ht="18.75" customHeight="1">
      <c r="A562" s="80" t="s">
        <v>656</v>
      </c>
      <c r="B562" s="81" t="str">
        <f t="shared" si="1"/>
        <v>Kota Palopo</v>
      </c>
      <c r="C562" s="81" t="str">
        <f t="array" ref="C562">XLOOKUP(B562,Reference!$A$2:$A$152,Reference!$B$2:$B$152)</f>
        <v>Sulawesi Selatan</v>
      </c>
      <c r="D562" s="82" t="s">
        <v>999</v>
      </c>
      <c r="E562" s="83">
        <v>45352.0</v>
      </c>
      <c r="F562" s="84" t="str">
        <f t="array" ref="F562">XLOOKUP(G562,Reference!$F:$F,Reference!$D:$D,"null")</f>
        <v>Makanan dan Pakaian </v>
      </c>
      <c r="G562" s="85" t="s">
        <v>64</v>
      </c>
      <c r="H562" s="86">
        <v>102.35</v>
      </c>
      <c r="I562" s="86">
        <v>102.35</v>
      </c>
      <c r="J562" s="87">
        <f t="shared" si="2"/>
        <v>0</v>
      </c>
      <c r="K562" s="84" t="str">
        <f t="shared" si="3"/>
        <v>Stabil</v>
      </c>
      <c r="L562" s="84">
        <f t="shared" si="4"/>
        <v>0</v>
      </c>
      <c r="M562" s="88" t="str">
        <f t="shared" si="5"/>
        <v>Perubahan Normal</v>
      </c>
    </row>
    <row r="563" ht="18.75" customHeight="1">
      <c r="A563" s="80" t="s">
        <v>571</v>
      </c>
      <c r="B563" s="81" t="str">
        <f t="shared" si="1"/>
        <v>Kota Sorong</v>
      </c>
      <c r="C563" s="81" t="str">
        <f t="array" ref="C563">XLOOKUP(B563,Reference!$A$2:$A$152,Reference!$B$2:$B$152)</f>
        <v>Papua Barat Daya</v>
      </c>
      <c r="D563" s="82" t="s">
        <v>1000</v>
      </c>
      <c r="E563" s="83">
        <v>45323.0</v>
      </c>
      <c r="F563" s="84" t="str">
        <f t="array" ref="F563">XLOOKUP(G563,Reference!$F:$F,Reference!$D:$D,"null")</f>
        <v>Pendidikan dan Kesehatan</v>
      </c>
      <c r="G563" s="85" t="s">
        <v>95</v>
      </c>
      <c r="H563" s="86">
        <v>97.08</v>
      </c>
      <c r="I563" s="86">
        <v>97.08</v>
      </c>
      <c r="J563" s="87">
        <f t="shared" si="2"/>
        <v>0</v>
      </c>
      <c r="K563" s="84" t="str">
        <f t="shared" si="3"/>
        <v>Stabil</v>
      </c>
      <c r="L563" s="84">
        <f t="shared" si="4"/>
        <v>0</v>
      </c>
      <c r="M563" s="88" t="str">
        <f t="shared" si="5"/>
        <v>Perubahan Normal</v>
      </c>
    </row>
    <row r="564" ht="18.75" customHeight="1">
      <c r="A564" s="80" t="s">
        <v>586</v>
      </c>
      <c r="B564" s="81" t="str">
        <f t="shared" si="1"/>
        <v>Kab Karimun</v>
      </c>
      <c r="C564" s="81" t="str">
        <f t="array" ref="C564">XLOOKUP(B564,Reference!$A$2:$A$152,Reference!$B$2:$B$152)</f>
        <v>Kepulauan Riau</v>
      </c>
      <c r="D564" s="82" t="s">
        <v>1001</v>
      </c>
      <c r="E564" s="83">
        <v>45352.0</v>
      </c>
      <c r="F564" s="84" t="str">
        <f t="array" ref="F564">XLOOKUP(G564,Reference!$F:$F,Reference!$D:$D,"null")</f>
        <v>Rekreasi dan Kendaraan</v>
      </c>
      <c r="G564" s="85" t="s">
        <v>105</v>
      </c>
      <c r="H564" s="86">
        <v>100.69</v>
      </c>
      <c r="I564" s="86">
        <v>100.29</v>
      </c>
      <c r="J564" s="87">
        <f t="shared" si="2"/>
        <v>0.3988433543</v>
      </c>
      <c r="K564" s="84" t="str">
        <f t="shared" si="3"/>
        <v>Inflasi Normal</v>
      </c>
      <c r="L564" s="84">
        <f t="shared" si="4"/>
        <v>0.4</v>
      </c>
      <c r="M564" s="88" t="str">
        <f t="shared" si="5"/>
        <v>Perubahan Normal</v>
      </c>
    </row>
    <row r="565" ht="18.75" customHeight="1">
      <c r="A565" s="80" t="s">
        <v>316</v>
      </c>
      <c r="B565" s="81" t="str">
        <f t="shared" si="1"/>
        <v>Singaraja</v>
      </c>
      <c r="C565" s="81" t="str">
        <f t="array" ref="C565">XLOOKUP(B565,Reference!$A$2:$A$152,Reference!$B$2:$B$152)</f>
        <v>Bali</v>
      </c>
      <c r="D565" s="82" t="s">
        <v>1002</v>
      </c>
      <c r="E565" s="83">
        <v>45323.0</v>
      </c>
      <c r="F565" s="84" t="str">
        <f t="array" ref="F565">XLOOKUP(G565,Reference!$F:$F,Reference!$D:$D,"null")</f>
        <v>Pendidikan dan Kesehatan</v>
      </c>
      <c r="G565" s="89" t="s">
        <v>98</v>
      </c>
      <c r="H565" s="90">
        <v>100.93</v>
      </c>
      <c r="I565" s="90">
        <v>100.9</v>
      </c>
      <c r="J565" s="87">
        <f t="shared" si="2"/>
        <v>0.02973240833</v>
      </c>
      <c r="K565" s="84" t="str">
        <f t="shared" si="3"/>
        <v>Inflasi Normal</v>
      </c>
      <c r="L565" s="91">
        <f t="shared" si="4"/>
        <v>0.03</v>
      </c>
      <c r="M565" s="88" t="str">
        <f t="shared" si="5"/>
        <v>Perubahan Normal</v>
      </c>
    </row>
    <row r="566" ht="18.75" customHeight="1">
      <c r="A566" s="80" t="s">
        <v>505</v>
      </c>
      <c r="B566" s="81" t="str">
        <f t="shared" si="1"/>
        <v>Kota Denpasar</v>
      </c>
      <c r="C566" s="81" t="str">
        <f t="array" ref="C566">XLOOKUP(B566,Reference!$A$2:$A$152,Reference!$B$2:$B$152)</f>
        <v>Bali</v>
      </c>
      <c r="D566" s="82" t="s">
        <v>1003</v>
      </c>
      <c r="E566" s="83">
        <v>45323.0</v>
      </c>
      <c r="F566" s="84" t="str">
        <f t="array" ref="F566">XLOOKUP(G566,Reference!$F:$F,Reference!$D:$D,"null")</f>
        <v>Rumah Tangga</v>
      </c>
      <c r="G566" s="85" t="s">
        <v>80</v>
      </c>
      <c r="H566" s="86">
        <v>100.95</v>
      </c>
      <c r="I566" s="86">
        <v>100.95</v>
      </c>
      <c r="J566" s="87">
        <f t="shared" si="2"/>
        <v>0</v>
      </c>
      <c r="K566" s="84" t="str">
        <f t="shared" si="3"/>
        <v>Stabil</v>
      </c>
      <c r="L566" s="84">
        <f t="shared" si="4"/>
        <v>0</v>
      </c>
      <c r="M566" s="88" t="str">
        <f t="shared" si="5"/>
        <v>Perubahan Normal</v>
      </c>
    </row>
    <row r="567" ht="18.75" customHeight="1">
      <c r="A567" s="80" t="s">
        <v>492</v>
      </c>
      <c r="B567" s="81" t="str">
        <f t="shared" si="1"/>
        <v>Kota Cilegon</v>
      </c>
      <c r="C567" s="81" t="str">
        <f t="array" ref="C567">XLOOKUP(B567,Reference!$A$2:$A$152,Reference!$B$2:$B$152)</f>
        <v>Banten</v>
      </c>
      <c r="D567" s="82" t="s">
        <v>1004</v>
      </c>
      <c r="E567" s="83">
        <v>45323.0</v>
      </c>
      <c r="F567" s="84" t="str">
        <f t="array" ref="F567">XLOOKUP(G567,Reference!$F:$F,Reference!$D:$D,"null")</f>
        <v>Makanan dan Pakaian </v>
      </c>
      <c r="G567" s="85" t="s">
        <v>64</v>
      </c>
      <c r="H567" s="86">
        <v>102.45</v>
      </c>
      <c r="I567" s="86">
        <v>102.48</v>
      </c>
      <c r="J567" s="87">
        <f t="shared" si="2"/>
        <v>-0.02927400468</v>
      </c>
      <c r="K567" s="84" t="str">
        <f t="shared" si="3"/>
        <v>Deflasi</v>
      </c>
      <c r="L567" s="84">
        <f t="shared" si="4"/>
        <v>-0.03</v>
      </c>
      <c r="M567" s="88" t="str">
        <f t="shared" si="5"/>
        <v>Perubahan Normal</v>
      </c>
    </row>
    <row r="568" ht="18.75" customHeight="1">
      <c r="A568" s="80" t="s">
        <v>399</v>
      </c>
      <c r="B568" s="81" t="str">
        <f t="shared" si="1"/>
        <v>Sampit</v>
      </c>
      <c r="C568" s="81" t="str">
        <f t="array" ref="C568">XLOOKUP(B568,Reference!$A$2:$A$152,Reference!$B$2:$B$152)</f>
        <v>Kalimantan Tengah</v>
      </c>
      <c r="D568" s="82" t="s">
        <v>1005</v>
      </c>
      <c r="E568" s="83">
        <v>45352.0</v>
      </c>
      <c r="F568" s="84" t="str">
        <f t="array" ref="F568">XLOOKUP(G568,Reference!$F:$F,Reference!$D:$D,"null")</f>
        <v>Rumah Tangga</v>
      </c>
      <c r="G568" s="85" t="s">
        <v>84</v>
      </c>
      <c r="H568" s="86">
        <v>101.44</v>
      </c>
      <c r="I568" s="86">
        <v>101.47</v>
      </c>
      <c r="J568" s="87">
        <f t="shared" si="2"/>
        <v>-0.02956538878</v>
      </c>
      <c r="K568" s="84" t="str">
        <f t="shared" si="3"/>
        <v>Deflasi</v>
      </c>
      <c r="L568" s="84">
        <f t="shared" si="4"/>
        <v>-0.03</v>
      </c>
      <c r="M568" s="88" t="str">
        <f t="shared" si="5"/>
        <v>Perubahan Normal</v>
      </c>
    </row>
    <row r="569" ht="18.75" customHeight="1">
      <c r="A569" s="80" t="s">
        <v>374</v>
      </c>
      <c r="B569" s="81" t="str">
        <f t="shared" si="1"/>
        <v>Kab Majalengka</v>
      </c>
      <c r="C569" s="81" t="str">
        <f t="array" ref="C569">XLOOKUP(B569,Reference!$A$2:$A$152,Reference!$B$2:$B$152)</f>
        <v>Jawa Barat</v>
      </c>
      <c r="D569" s="82" t="s">
        <v>1006</v>
      </c>
      <c r="E569" s="83">
        <v>45352.0</v>
      </c>
      <c r="F569" s="84" t="str">
        <f t="array" ref="F569">XLOOKUP(G569,Reference!$F:$F,Reference!$D:$D,"null")</f>
        <v>Makanan dan Pakaian </v>
      </c>
      <c r="G569" s="85" t="s">
        <v>56</v>
      </c>
      <c r="H569" s="86">
        <v>107.45</v>
      </c>
      <c r="I569" s="86">
        <v>107.24</v>
      </c>
      <c r="J569" s="87">
        <f t="shared" si="2"/>
        <v>0.1958224543</v>
      </c>
      <c r="K569" s="84" t="str">
        <f t="shared" si="3"/>
        <v>Inflasi Normal</v>
      </c>
      <c r="L569" s="84">
        <f t="shared" si="4"/>
        <v>0.21</v>
      </c>
      <c r="M569" s="88" t="str">
        <f t="shared" si="5"/>
        <v>Perubahan Normal</v>
      </c>
    </row>
    <row r="570" ht="18.75" customHeight="1">
      <c r="A570" s="80" t="s">
        <v>329</v>
      </c>
      <c r="B570" s="81" t="str">
        <f t="shared" si="1"/>
        <v>Kab Penajam Paser Utara</v>
      </c>
      <c r="C570" s="81" t="str">
        <f t="array" ref="C570">XLOOKUP(B570,Reference!$A$2:$A$152,Reference!$B$2:$B$152)</f>
        <v>Kalimantan Timur</v>
      </c>
      <c r="D570" s="82" t="s">
        <v>1007</v>
      </c>
      <c r="E570" s="83">
        <v>45352.0</v>
      </c>
      <c r="F570" s="84" t="str">
        <f t="array" ref="F570">XLOOKUP(G570,Reference!$F:$F,Reference!$D:$D,"null")</f>
        <v>Pendidikan dan Kesehatan</v>
      </c>
      <c r="G570" s="85" t="s">
        <v>95</v>
      </c>
      <c r="H570" s="86">
        <v>100.0</v>
      </c>
      <c r="I570" s="86">
        <v>100.0</v>
      </c>
      <c r="J570" s="87">
        <f t="shared" si="2"/>
        <v>0</v>
      </c>
      <c r="K570" s="84" t="str">
        <f t="shared" si="3"/>
        <v>Stabil</v>
      </c>
      <c r="L570" s="84">
        <f t="shared" si="4"/>
        <v>0</v>
      </c>
      <c r="M570" s="88" t="str">
        <f t="shared" si="5"/>
        <v>Perubahan Normal</v>
      </c>
    </row>
    <row r="571" ht="18.75" customHeight="1">
      <c r="A571" s="80" t="s">
        <v>594</v>
      </c>
      <c r="B571" s="81" t="str">
        <f t="shared" si="1"/>
        <v>Kota Kendari</v>
      </c>
      <c r="C571" s="81" t="str">
        <f t="array" ref="C571">XLOOKUP(B571,Reference!$A$2:$A$152,Reference!$B$2:$B$152)</f>
        <v>Sulawesi Tenggara</v>
      </c>
      <c r="D571" s="82" t="s">
        <v>1008</v>
      </c>
      <c r="E571" s="83">
        <v>45323.0</v>
      </c>
      <c r="F571" s="84" t="str">
        <f t="array" ref="F571">XLOOKUP(G571,Reference!$F:$F,Reference!$D:$D,"null")</f>
        <v>Makanan dan Pakaian </v>
      </c>
      <c r="G571" s="85" t="s">
        <v>64</v>
      </c>
      <c r="H571" s="86">
        <v>101.59</v>
      </c>
      <c r="I571" s="86">
        <v>101.06</v>
      </c>
      <c r="J571" s="87">
        <f t="shared" si="2"/>
        <v>0.5244409262</v>
      </c>
      <c r="K571" s="84" t="str">
        <f t="shared" si="3"/>
        <v>Inflasi Tinggi</v>
      </c>
      <c r="L571" s="84">
        <f t="shared" si="4"/>
        <v>0.53</v>
      </c>
      <c r="M571" s="88" t="str">
        <f t="shared" si="5"/>
        <v>Akselerasi Persentase</v>
      </c>
    </row>
    <row r="572" ht="18.75" customHeight="1">
      <c r="A572" s="80" t="s">
        <v>542</v>
      </c>
      <c r="B572" s="81" t="str">
        <f t="shared" si="1"/>
        <v>Kab Karo</v>
      </c>
      <c r="C572" s="81" t="str">
        <f t="array" ref="C572">XLOOKUP(B572,Reference!$A$2:$A$152,Reference!$B$2:$B$152)</f>
        <v>Sumatera Utara</v>
      </c>
      <c r="D572" s="82" t="s">
        <v>1009</v>
      </c>
      <c r="E572" s="83">
        <v>45323.0</v>
      </c>
      <c r="F572" s="84" t="str">
        <f t="array" ref="F572">XLOOKUP(G572,Reference!$F:$F,Reference!$D:$D,"null")</f>
        <v>Rumah Tangga</v>
      </c>
      <c r="G572" s="85" t="s">
        <v>89</v>
      </c>
      <c r="H572" s="86">
        <v>98.19</v>
      </c>
      <c r="I572" s="86">
        <v>103.02</v>
      </c>
      <c r="J572" s="87">
        <f t="shared" si="2"/>
        <v>-4.688410017</v>
      </c>
      <c r="K572" s="84" t="str">
        <f t="shared" si="3"/>
        <v>Deflasi</v>
      </c>
      <c r="L572" s="84">
        <f t="shared" si="4"/>
        <v>-4.83</v>
      </c>
      <c r="M572" s="88" t="str">
        <f t="shared" si="5"/>
        <v>Perubahan Normal</v>
      </c>
    </row>
    <row r="573" ht="18.75" customHeight="1">
      <c r="A573" s="80" t="s">
        <v>488</v>
      </c>
      <c r="B573" s="81" t="str">
        <f t="shared" si="1"/>
        <v>Kab Muko Muko</v>
      </c>
      <c r="C573" s="81" t="str">
        <f t="array" ref="C573">XLOOKUP(B573,Reference!$A$2:$A$152,Reference!$B$2:$B$152)</f>
        <v>Bengkulu</v>
      </c>
      <c r="D573" s="82" t="s">
        <v>1010</v>
      </c>
      <c r="E573" s="83">
        <v>45352.0</v>
      </c>
      <c r="F573" s="84" t="str">
        <f t="array" ref="F573">XLOOKUP(G573,Reference!$F:$F,Reference!$D:$D,"null")</f>
        <v>Rekreasi dan Kendaraan</v>
      </c>
      <c r="G573" s="85" t="s">
        <v>105</v>
      </c>
      <c r="H573" s="86">
        <v>100.88</v>
      </c>
      <c r="I573" s="86">
        <v>100.88</v>
      </c>
      <c r="J573" s="87">
        <f t="shared" si="2"/>
        <v>0</v>
      </c>
      <c r="K573" s="84" t="str">
        <f t="shared" si="3"/>
        <v>Stabil</v>
      </c>
      <c r="L573" s="84">
        <f t="shared" si="4"/>
        <v>0</v>
      </c>
      <c r="M573" s="88" t="str">
        <f t="shared" si="5"/>
        <v>Perubahan Normal</v>
      </c>
    </row>
    <row r="574" ht="18.75" customHeight="1">
      <c r="A574" s="80" t="s">
        <v>471</v>
      </c>
      <c r="B574" s="81" t="str">
        <f t="shared" si="1"/>
        <v>Kab Gunungkidul</v>
      </c>
      <c r="C574" s="81" t="str">
        <f t="array" ref="C574">XLOOKUP(B574,Reference!$A$2:$A$152,Reference!$B$2:$B$152)</f>
        <v>D.I. Yogyakarta</v>
      </c>
      <c r="D574" s="82" t="s">
        <v>1011</v>
      </c>
      <c r="E574" s="83">
        <v>45352.0</v>
      </c>
      <c r="F574" s="84" t="str">
        <f t="array" ref="F574">XLOOKUP(G574,Reference!$F:$F,Reference!$D:$D,"null")</f>
        <v>Rumah Tangga</v>
      </c>
      <c r="G574" s="85" t="s">
        <v>84</v>
      </c>
      <c r="H574" s="86">
        <v>100.06</v>
      </c>
      <c r="I574" s="86">
        <v>100.06</v>
      </c>
      <c r="J574" s="87">
        <f t="shared" si="2"/>
        <v>0</v>
      </c>
      <c r="K574" s="84" t="str">
        <f t="shared" si="3"/>
        <v>Stabil</v>
      </c>
      <c r="L574" s="84">
        <f t="shared" si="4"/>
        <v>0</v>
      </c>
      <c r="M574" s="88" t="str">
        <f t="shared" si="5"/>
        <v>Perubahan Normal</v>
      </c>
    </row>
    <row r="575" ht="18.75" customHeight="1">
      <c r="A575" s="80" t="s">
        <v>329</v>
      </c>
      <c r="B575" s="81" t="str">
        <f t="shared" si="1"/>
        <v>Kab Penajam Paser Utara</v>
      </c>
      <c r="C575" s="81" t="str">
        <f t="array" ref="C575">XLOOKUP(B575,Reference!$A$2:$A$152,Reference!$B$2:$B$152)</f>
        <v>Kalimantan Timur</v>
      </c>
      <c r="D575" s="82" t="s">
        <v>1012</v>
      </c>
      <c r="E575" s="83">
        <v>45352.0</v>
      </c>
      <c r="F575" s="84" t="str">
        <f t="array" ref="F575">XLOOKUP(G575,Reference!$F:$F,Reference!$D:$D,"null")</f>
        <v>Makanan dan Pakaian </v>
      </c>
      <c r="G575" s="85" t="s">
        <v>56</v>
      </c>
      <c r="H575" s="86">
        <v>92.86</v>
      </c>
      <c r="I575" s="86">
        <v>92.41</v>
      </c>
      <c r="J575" s="87">
        <f t="shared" si="2"/>
        <v>0.4869602857</v>
      </c>
      <c r="K575" s="84" t="str">
        <f t="shared" si="3"/>
        <v>Inflasi Normal</v>
      </c>
      <c r="L575" s="84">
        <f t="shared" si="4"/>
        <v>0.45</v>
      </c>
      <c r="M575" s="88" t="str">
        <f t="shared" si="5"/>
        <v>Perubahan Normal</v>
      </c>
    </row>
    <row r="576" ht="18.75" customHeight="1">
      <c r="A576" s="80" t="s">
        <v>488</v>
      </c>
      <c r="B576" s="81" t="str">
        <f t="shared" si="1"/>
        <v>Kab Muko Muko</v>
      </c>
      <c r="C576" s="81" t="str">
        <f t="array" ref="C576">XLOOKUP(B576,Reference!$A$2:$A$152,Reference!$B$2:$B$152)</f>
        <v>Bengkulu</v>
      </c>
      <c r="D576" s="82" t="s">
        <v>1013</v>
      </c>
      <c r="E576" s="83">
        <v>45323.0</v>
      </c>
      <c r="F576" s="84" t="str">
        <f t="array" ref="F576">XLOOKUP(G576,Reference!$F:$F,Reference!$D:$D,"null")</f>
        <v>Makanan dan Pakaian </v>
      </c>
      <c r="G576" s="85" t="s">
        <v>48</v>
      </c>
      <c r="H576" s="86">
        <v>107.83</v>
      </c>
      <c r="I576" s="86">
        <v>103.69</v>
      </c>
      <c r="J576" s="87">
        <f t="shared" si="2"/>
        <v>3.99267046</v>
      </c>
      <c r="K576" s="84" t="str">
        <f t="shared" si="3"/>
        <v>Inflasi Tinggi</v>
      </c>
      <c r="L576" s="84">
        <f t="shared" si="4"/>
        <v>4.14</v>
      </c>
      <c r="M576" s="88" t="str">
        <f t="shared" si="5"/>
        <v>Akselerasi Kuat</v>
      </c>
    </row>
    <row r="577" ht="18.75" customHeight="1">
      <c r="A577" s="80" t="s">
        <v>429</v>
      </c>
      <c r="B577" s="81" t="str">
        <f t="shared" si="1"/>
        <v>Kab Nabire</v>
      </c>
      <c r="C577" s="81" t="str">
        <f t="array" ref="C577">XLOOKUP(B577,Reference!$A$2:$A$152,Reference!$B$2:$B$152)</f>
        <v>Papua</v>
      </c>
      <c r="D577" s="82" t="s">
        <v>1014</v>
      </c>
      <c r="E577" s="83">
        <v>45323.0</v>
      </c>
      <c r="F577" s="84" t="str">
        <f t="array" ref="F577">XLOOKUP(G577,Reference!$F:$F,Reference!$D:$D,"null")</f>
        <v>Pendidikan dan Kesehatan</v>
      </c>
      <c r="G577" s="85" t="s">
        <v>95</v>
      </c>
      <c r="H577" s="86">
        <v>100.21</v>
      </c>
      <c r="I577" s="86">
        <v>100.54</v>
      </c>
      <c r="J577" s="87">
        <f t="shared" si="2"/>
        <v>-0.3282275711</v>
      </c>
      <c r="K577" s="84" t="str">
        <f t="shared" si="3"/>
        <v>Deflasi</v>
      </c>
      <c r="L577" s="84">
        <f t="shared" si="4"/>
        <v>-0.33</v>
      </c>
      <c r="M577" s="88" t="str">
        <f t="shared" si="5"/>
        <v>Perubahan Normal</v>
      </c>
    </row>
    <row r="578" ht="18.75" customHeight="1">
      <c r="A578" s="80" t="s">
        <v>466</v>
      </c>
      <c r="B578" s="81" t="str">
        <f t="shared" si="1"/>
        <v>Kota Surabaya</v>
      </c>
      <c r="C578" s="81" t="str">
        <f t="array" ref="C578">XLOOKUP(B578,Reference!$A$2:$A$152,Reference!$B$2:$B$152)</f>
        <v>Jawa Timur</v>
      </c>
      <c r="D578" s="82" t="s">
        <v>1015</v>
      </c>
      <c r="E578" s="83">
        <v>45323.0</v>
      </c>
      <c r="F578" s="84" t="str">
        <f t="array" ref="F578">XLOOKUP(G578,Reference!$F:$F,Reference!$D:$D,"null")</f>
        <v>Makanan dan Pakaian </v>
      </c>
      <c r="G578" s="85" t="s">
        <v>56</v>
      </c>
      <c r="H578" s="86">
        <v>104.94</v>
      </c>
      <c r="I578" s="86">
        <v>104.94</v>
      </c>
      <c r="J578" s="87">
        <f t="shared" si="2"/>
        <v>0</v>
      </c>
      <c r="K578" s="84" t="str">
        <f t="shared" si="3"/>
        <v>Stabil</v>
      </c>
      <c r="L578" s="84">
        <f t="shared" si="4"/>
        <v>0</v>
      </c>
      <c r="M578" s="88" t="str">
        <f t="shared" si="5"/>
        <v>Perubahan Normal</v>
      </c>
    </row>
    <row r="579" ht="18.75" customHeight="1">
      <c r="A579" s="80" t="s">
        <v>466</v>
      </c>
      <c r="B579" s="81" t="str">
        <f t="shared" si="1"/>
        <v>Kota Surabaya</v>
      </c>
      <c r="C579" s="81" t="str">
        <f t="array" ref="C579">XLOOKUP(B579,Reference!$A$2:$A$152,Reference!$B$2:$B$152)</f>
        <v>Jawa Timur</v>
      </c>
      <c r="D579" s="82" t="s">
        <v>1016</v>
      </c>
      <c r="E579" s="83">
        <v>45323.0</v>
      </c>
      <c r="F579" s="84" t="str">
        <f t="array" ref="F579">XLOOKUP(G579,Reference!$F:$F,Reference!$D:$D,"null")</f>
        <v>Pendidikan dan Kesehatan</v>
      </c>
      <c r="G579" s="85" t="s">
        <v>95</v>
      </c>
      <c r="H579" s="86">
        <v>105.0</v>
      </c>
      <c r="I579" s="86">
        <v>105.0</v>
      </c>
      <c r="J579" s="87">
        <f t="shared" si="2"/>
        <v>0</v>
      </c>
      <c r="K579" s="84" t="str">
        <f t="shared" si="3"/>
        <v>Stabil</v>
      </c>
      <c r="L579" s="84">
        <f t="shared" si="4"/>
        <v>0</v>
      </c>
      <c r="M579" s="88" t="str">
        <f t="shared" si="5"/>
        <v>Perubahan Normal</v>
      </c>
    </row>
    <row r="580" ht="18.75" customHeight="1">
      <c r="A580" s="80" t="s">
        <v>517</v>
      </c>
      <c r="B580" s="81" t="str">
        <f t="shared" si="1"/>
        <v>Kota Kupang</v>
      </c>
      <c r="C580" s="81" t="str">
        <f t="array" ref="C580">XLOOKUP(B580,Reference!$A$2:$A$152,Reference!$B$2:$B$152)</f>
        <v>Nusa Tenggara Timur (NTT)</v>
      </c>
      <c r="D580" s="82" t="s">
        <v>1017</v>
      </c>
      <c r="E580" s="83">
        <v>45352.0</v>
      </c>
      <c r="F580" s="84" t="str">
        <f t="array" ref="F580">XLOOKUP(G580,Reference!$F:$F,Reference!$D:$D,"null")</f>
        <v>Pendidikan dan Kesehatan</v>
      </c>
      <c r="G580" s="85" t="s">
        <v>95</v>
      </c>
      <c r="H580" s="86">
        <v>100.18</v>
      </c>
      <c r="I580" s="86">
        <v>100.18</v>
      </c>
      <c r="J580" s="87">
        <f t="shared" si="2"/>
        <v>0</v>
      </c>
      <c r="K580" s="84" t="str">
        <f t="shared" si="3"/>
        <v>Stabil</v>
      </c>
      <c r="L580" s="84">
        <f t="shared" si="4"/>
        <v>0</v>
      </c>
      <c r="M580" s="88" t="str">
        <f t="shared" si="5"/>
        <v>Perubahan Normal</v>
      </c>
    </row>
    <row r="581" ht="18.75" customHeight="1">
      <c r="A581" s="80" t="s">
        <v>990</v>
      </c>
      <c r="B581" s="81" t="str">
        <f t="shared" si="1"/>
        <v>Kab Pandeglang</v>
      </c>
      <c r="C581" s="81" t="str">
        <f t="array" ref="C581">XLOOKUP(B581,Reference!$A$2:$A$152,Reference!$B$2:$B$152)</f>
        <v>Banten</v>
      </c>
      <c r="D581" s="82" t="s">
        <v>1018</v>
      </c>
      <c r="E581" s="83">
        <v>45323.0</v>
      </c>
      <c r="F581" s="84" t="str">
        <f t="array" ref="F581">XLOOKUP(G581,Reference!$F:$F,Reference!$D:$D,"null")</f>
        <v>Rumah Tangga</v>
      </c>
      <c r="G581" s="85" t="s">
        <v>84</v>
      </c>
      <c r="H581" s="86">
        <v>100.28</v>
      </c>
      <c r="I581" s="86">
        <v>100.28</v>
      </c>
      <c r="J581" s="87">
        <f t="shared" si="2"/>
        <v>0</v>
      </c>
      <c r="K581" s="84" t="str">
        <f t="shared" si="3"/>
        <v>Stabil</v>
      </c>
      <c r="L581" s="84">
        <f t="shared" si="4"/>
        <v>0</v>
      </c>
      <c r="M581" s="88" t="str">
        <f t="shared" si="5"/>
        <v>Perubahan Normal</v>
      </c>
    </row>
    <row r="582" ht="18.75" customHeight="1">
      <c r="A582" s="80" t="s">
        <v>404</v>
      </c>
      <c r="B582" s="81" t="str">
        <f t="shared" si="1"/>
        <v>Kab Mesuji</v>
      </c>
      <c r="C582" s="81" t="str">
        <f t="array" ref="C582">XLOOKUP(B582,Reference!$A$2:$A$152,Reference!$B$2:$B$152)</f>
        <v>Lampung</v>
      </c>
      <c r="D582" s="82" t="s">
        <v>1019</v>
      </c>
      <c r="E582" s="83">
        <v>45352.0</v>
      </c>
      <c r="F582" s="84" t="str">
        <f t="array" ref="F582">XLOOKUP(G582,Reference!$F:$F,Reference!$D:$D,"null")</f>
        <v>Rumah Tangga</v>
      </c>
      <c r="G582" s="85" t="s">
        <v>80</v>
      </c>
      <c r="H582" s="86">
        <v>101.16</v>
      </c>
      <c r="I582" s="86">
        <v>101.16</v>
      </c>
      <c r="J582" s="87">
        <f t="shared" si="2"/>
        <v>0</v>
      </c>
      <c r="K582" s="84" t="str">
        <f t="shared" si="3"/>
        <v>Stabil</v>
      </c>
      <c r="L582" s="84">
        <f t="shared" si="4"/>
        <v>0</v>
      </c>
      <c r="M582" s="88" t="str">
        <f t="shared" si="5"/>
        <v>Perubahan Normal</v>
      </c>
    </row>
    <row r="583" ht="18.75" customHeight="1">
      <c r="A583" s="80" t="s">
        <v>841</v>
      </c>
      <c r="B583" s="81" t="str">
        <f t="shared" si="1"/>
        <v>Kab Morowali</v>
      </c>
      <c r="C583" s="81" t="str">
        <f t="array" ref="C583">XLOOKUP(B583,Reference!$A$2:$A$152,Reference!$B$2:$B$152)</f>
        <v>Sulawesi Tengah</v>
      </c>
      <c r="D583" s="82" t="s">
        <v>1020</v>
      </c>
      <c r="E583" s="83">
        <v>45352.0</v>
      </c>
      <c r="F583" s="84" t="str">
        <f t="array" ref="F583">XLOOKUP(G583,Reference!$F:$F,Reference!$D:$D,"null")</f>
        <v>Makanan dan Pakaian </v>
      </c>
      <c r="G583" s="89" t="s">
        <v>72</v>
      </c>
      <c r="H583" s="90">
        <v>97.97</v>
      </c>
      <c r="I583" s="90">
        <v>97.97</v>
      </c>
      <c r="J583" s="87">
        <f t="shared" si="2"/>
        <v>0</v>
      </c>
      <c r="K583" s="84" t="str">
        <f t="shared" si="3"/>
        <v>Stabil</v>
      </c>
      <c r="L583" s="91">
        <f t="shared" si="4"/>
        <v>0</v>
      </c>
      <c r="M583" s="88" t="str">
        <f t="shared" si="5"/>
        <v>Perubahan Normal</v>
      </c>
    </row>
    <row r="584" ht="18.75" customHeight="1">
      <c r="A584" s="80" t="s">
        <v>351</v>
      </c>
      <c r="B584" s="81" t="str">
        <f t="shared" si="1"/>
        <v>Kota Balikpapan</v>
      </c>
      <c r="C584" s="81" t="str">
        <f t="array" ref="C584">XLOOKUP(B584,Reference!$A$2:$A$152,Reference!$B$2:$B$152)</f>
        <v>Kalimantan Timur</v>
      </c>
      <c r="D584" s="82" t="s">
        <v>1021</v>
      </c>
      <c r="E584" s="83">
        <v>45323.0</v>
      </c>
      <c r="F584" s="84" t="str">
        <f t="array" ref="F584">XLOOKUP(G584,Reference!$F:$F,Reference!$D:$D,"null")</f>
        <v>Pendidikan dan Kesehatan</v>
      </c>
      <c r="G584" s="85" t="s">
        <v>98</v>
      </c>
      <c r="H584" s="86">
        <v>105.64</v>
      </c>
      <c r="I584" s="86">
        <v>105.69</v>
      </c>
      <c r="J584" s="87">
        <f t="shared" si="2"/>
        <v>-0.04730816539</v>
      </c>
      <c r="K584" s="84" t="str">
        <f t="shared" si="3"/>
        <v>Deflasi</v>
      </c>
      <c r="L584" s="84">
        <f t="shared" si="4"/>
        <v>-0.05</v>
      </c>
      <c r="M584" s="88" t="str">
        <f t="shared" si="5"/>
        <v>Perubahan Normal</v>
      </c>
    </row>
    <row r="585" ht="18.75" customHeight="1">
      <c r="A585" s="80" t="s">
        <v>734</v>
      </c>
      <c r="B585" s="81" t="str">
        <f t="shared" si="1"/>
        <v>Kota Tegal</v>
      </c>
      <c r="C585" s="81" t="str">
        <f t="array" ref="C585">XLOOKUP(B585,Reference!$A$2:$A$152,Reference!$B$2:$B$152)</f>
        <v>Jawa Tengah</v>
      </c>
      <c r="D585" s="82" t="s">
        <v>1022</v>
      </c>
      <c r="E585" s="83">
        <v>45352.0</v>
      </c>
      <c r="F585" s="84" t="str">
        <f t="array" ref="F585">XLOOKUP(G585,Reference!$F:$F,Reference!$D:$D,"null")</f>
        <v>Pendidikan dan Kesehatan</v>
      </c>
      <c r="G585" s="85" t="s">
        <v>98</v>
      </c>
      <c r="H585" s="86">
        <v>103.58</v>
      </c>
      <c r="I585" s="86">
        <v>103.61</v>
      </c>
      <c r="J585" s="87">
        <f t="shared" si="2"/>
        <v>-0.0289547341</v>
      </c>
      <c r="K585" s="84" t="str">
        <f t="shared" si="3"/>
        <v>Deflasi</v>
      </c>
      <c r="L585" s="84">
        <f t="shared" si="4"/>
        <v>-0.03</v>
      </c>
      <c r="M585" s="88" t="str">
        <f t="shared" si="5"/>
        <v>Perubahan Normal</v>
      </c>
    </row>
    <row r="586" ht="18.75" customHeight="1">
      <c r="A586" s="80" t="s">
        <v>410</v>
      </c>
      <c r="B586" s="81" t="str">
        <f t="shared" si="1"/>
        <v>Meulaboh</v>
      </c>
      <c r="C586" s="81" t="str">
        <f t="array" ref="C586">XLOOKUP(B586,Reference!$A$2:$A$152,Reference!$B$2:$B$152)</f>
        <v>Aceh</v>
      </c>
      <c r="D586" s="82" t="s">
        <v>1023</v>
      </c>
      <c r="E586" s="83">
        <v>45352.0</v>
      </c>
      <c r="F586" s="84" t="str">
        <f t="array" ref="F586">XLOOKUP(G586,Reference!$F:$F,Reference!$D:$D,"null")</f>
        <v>Makanan dan Pakaian </v>
      </c>
      <c r="G586" s="85" t="s">
        <v>56</v>
      </c>
      <c r="H586" s="86">
        <v>101.5</v>
      </c>
      <c r="I586" s="86">
        <v>101.5</v>
      </c>
      <c r="J586" s="87">
        <f t="shared" si="2"/>
        <v>0</v>
      </c>
      <c r="K586" s="84" t="str">
        <f t="shared" si="3"/>
        <v>Stabil</v>
      </c>
      <c r="L586" s="84">
        <f t="shared" si="4"/>
        <v>0</v>
      </c>
      <c r="M586" s="88" t="str">
        <f t="shared" si="5"/>
        <v>Perubahan Normal</v>
      </c>
    </row>
    <row r="587" ht="18.75" customHeight="1">
      <c r="A587" s="80" t="s">
        <v>672</v>
      </c>
      <c r="B587" s="81" t="str">
        <f t="shared" si="1"/>
        <v>Kab Ogan Komering Ilir</v>
      </c>
      <c r="C587" s="81" t="str">
        <f t="array" ref="C587">XLOOKUP(B587,Reference!$A$2:$A$152,Reference!$B$2:$B$152)</f>
        <v>Sumatera Selatan</v>
      </c>
      <c r="D587" s="82" t="s">
        <v>1024</v>
      </c>
      <c r="E587" s="83">
        <v>45323.0</v>
      </c>
      <c r="F587" s="84" t="str">
        <f t="array" ref="F587">XLOOKUP(G587,Reference!$F:$F,Reference!$D:$D,"null")</f>
        <v>Rekreasi dan Kendaraan</v>
      </c>
      <c r="G587" s="85" t="s">
        <v>105</v>
      </c>
      <c r="H587" s="86">
        <v>100.37</v>
      </c>
      <c r="I587" s="86">
        <v>100.37</v>
      </c>
      <c r="J587" s="87">
        <f t="shared" si="2"/>
        <v>0</v>
      </c>
      <c r="K587" s="84" t="str">
        <f t="shared" si="3"/>
        <v>Stabil</v>
      </c>
      <c r="L587" s="84">
        <f t="shared" si="4"/>
        <v>0</v>
      </c>
      <c r="M587" s="88" t="str">
        <f t="shared" si="5"/>
        <v>Perubahan Normal</v>
      </c>
    </row>
    <row r="588" ht="18.75" customHeight="1">
      <c r="A588" s="80" t="s">
        <v>326</v>
      </c>
      <c r="B588" s="81" t="str">
        <f t="shared" si="1"/>
        <v>Luwuk</v>
      </c>
      <c r="C588" s="81" t="str">
        <f t="array" ref="C588">XLOOKUP(B588,Reference!$A$2:$A$152,Reference!$B$2:$B$152)</f>
        <v>Sulawesi Tengah</v>
      </c>
      <c r="D588" s="82" t="s">
        <v>1025</v>
      </c>
      <c r="E588" s="83">
        <v>45352.0</v>
      </c>
      <c r="F588" s="84" t="str">
        <f t="array" ref="F588">XLOOKUP(G588,Reference!$F:$F,Reference!$D:$D,"null")</f>
        <v>Pendidikan dan Kesehatan</v>
      </c>
      <c r="G588" s="85" t="s">
        <v>98</v>
      </c>
      <c r="H588" s="86">
        <v>98.47</v>
      </c>
      <c r="I588" s="86">
        <v>98.99</v>
      </c>
      <c r="J588" s="87">
        <f t="shared" si="2"/>
        <v>-0.5253055864</v>
      </c>
      <c r="K588" s="84" t="str">
        <f t="shared" si="3"/>
        <v>Deflasi</v>
      </c>
      <c r="L588" s="84">
        <f t="shared" si="4"/>
        <v>-0.52</v>
      </c>
      <c r="M588" s="88" t="str">
        <f t="shared" si="5"/>
        <v>Perubahan Normal</v>
      </c>
    </row>
    <row r="589" ht="18.75" customHeight="1">
      <c r="A589" s="80" t="s">
        <v>731</v>
      </c>
      <c r="B589" s="81" t="str">
        <f t="shared" si="1"/>
        <v>Kab Hulu Sungai Tengah</v>
      </c>
      <c r="C589" s="81" t="str">
        <f t="array" ref="C589">XLOOKUP(B589,Reference!$A$2:$A$152,Reference!$B$2:$B$152)</f>
        <v>Kalimantan Selatan</v>
      </c>
      <c r="D589" s="82" t="s">
        <v>1026</v>
      </c>
      <c r="E589" s="83">
        <v>45323.0</v>
      </c>
      <c r="F589" s="84" t="str">
        <f t="array" ref="F589">XLOOKUP(G589,Reference!$F:$F,Reference!$D:$D,"null")</f>
        <v>Makanan dan Pakaian </v>
      </c>
      <c r="G589" s="85" t="s">
        <v>48</v>
      </c>
      <c r="H589" s="86">
        <v>113.6</v>
      </c>
      <c r="I589" s="86">
        <v>114.67</v>
      </c>
      <c r="J589" s="87">
        <f t="shared" si="2"/>
        <v>-0.9331124095</v>
      </c>
      <c r="K589" s="84" t="str">
        <f t="shared" si="3"/>
        <v>Deflasi</v>
      </c>
      <c r="L589" s="84">
        <f t="shared" si="4"/>
        <v>-1.07</v>
      </c>
      <c r="M589" s="88" t="str">
        <f t="shared" si="5"/>
        <v>Perubahan Normal</v>
      </c>
    </row>
    <row r="590" ht="18.75" customHeight="1">
      <c r="A590" s="80" t="s">
        <v>488</v>
      </c>
      <c r="B590" s="81" t="str">
        <f t="shared" si="1"/>
        <v>Kab Muko Muko</v>
      </c>
      <c r="C590" s="81" t="str">
        <f t="array" ref="C590">XLOOKUP(B590,Reference!$A$2:$A$152,Reference!$B$2:$B$152)</f>
        <v>Bengkulu</v>
      </c>
      <c r="D590" s="82" t="s">
        <v>1027</v>
      </c>
      <c r="E590" s="83">
        <v>45323.0</v>
      </c>
      <c r="F590" s="84" t="str">
        <f t="array" ref="F590">XLOOKUP(G590,Reference!$F:$F,Reference!$D:$D,"null")</f>
        <v>Makanan dan Pakaian </v>
      </c>
      <c r="G590" s="85" t="s">
        <v>56</v>
      </c>
      <c r="H590" s="86">
        <v>116.7</v>
      </c>
      <c r="I590" s="86">
        <v>116.71</v>
      </c>
      <c r="J590" s="87">
        <f t="shared" si="2"/>
        <v>-0.00856824608</v>
      </c>
      <c r="K590" s="84" t="str">
        <f t="shared" si="3"/>
        <v>Deflasi</v>
      </c>
      <c r="L590" s="84">
        <f t="shared" si="4"/>
        <v>-0.01</v>
      </c>
      <c r="M590" s="88" t="str">
        <f t="shared" si="5"/>
        <v>Perubahan Normal</v>
      </c>
    </row>
    <row r="591" ht="18.75" customHeight="1">
      <c r="A591" s="80" t="s">
        <v>376</v>
      </c>
      <c r="B591" s="81" t="str">
        <f t="shared" si="1"/>
        <v>Bulukumba</v>
      </c>
      <c r="C591" s="81" t="str">
        <f t="array" ref="C591">XLOOKUP(B591,Reference!$A$2:$A$152,Reference!$B$2:$B$152)</f>
        <v>Sulawesi Selatan</v>
      </c>
      <c r="D591" s="82" t="s">
        <v>1028</v>
      </c>
      <c r="E591" s="83">
        <v>45323.0</v>
      </c>
      <c r="F591" s="84" t="str">
        <f t="array" ref="F591">XLOOKUP(G591,Reference!$F:$F,Reference!$D:$D,"null")</f>
        <v>Rumah Tangga</v>
      </c>
      <c r="G591" s="85" t="s">
        <v>80</v>
      </c>
      <c r="H591" s="86">
        <v>101.63</v>
      </c>
      <c r="I591" s="86">
        <v>101.42</v>
      </c>
      <c r="J591" s="87">
        <f t="shared" si="2"/>
        <v>0.2070597515</v>
      </c>
      <c r="K591" s="84" t="str">
        <f t="shared" si="3"/>
        <v>Inflasi Normal</v>
      </c>
      <c r="L591" s="84">
        <f t="shared" si="4"/>
        <v>0.21</v>
      </c>
      <c r="M591" s="88" t="str">
        <f t="shared" si="5"/>
        <v>Perubahan Normal</v>
      </c>
    </row>
    <row r="592" ht="18.75" customHeight="1">
      <c r="A592" s="80" t="s">
        <v>606</v>
      </c>
      <c r="B592" s="81" t="str">
        <f t="shared" si="1"/>
        <v>Kota Pare Pare</v>
      </c>
      <c r="C592" s="81" t="str">
        <f t="array" ref="C592">XLOOKUP(B592,Reference!$A$2:$A$152,Reference!$B$2:$B$152)</f>
        <v>Sulawesi Selatan</v>
      </c>
      <c r="D592" s="82" t="s">
        <v>1029</v>
      </c>
      <c r="E592" s="83">
        <v>45352.0</v>
      </c>
      <c r="F592" s="84" t="str">
        <f t="array" ref="F592">XLOOKUP(G592,Reference!$F:$F,Reference!$D:$D,"null")</f>
        <v>Makanan dan Pakaian </v>
      </c>
      <c r="G592" s="85" t="s">
        <v>72</v>
      </c>
      <c r="H592" s="86">
        <v>100.32</v>
      </c>
      <c r="I592" s="86">
        <v>100.32</v>
      </c>
      <c r="J592" s="87">
        <f t="shared" si="2"/>
        <v>0</v>
      </c>
      <c r="K592" s="84" t="str">
        <f t="shared" si="3"/>
        <v>Stabil</v>
      </c>
      <c r="L592" s="84">
        <f t="shared" si="4"/>
        <v>0</v>
      </c>
      <c r="M592" s="88" t="str">
        <f t="shared" si="5"/>
        <v>Perubahan Normal</v>
      </c>
    </row>
    <row r="593" ht="18.75" customHeight="1">
      <c r="A593" s="80" t="s">
        <v>412</v>
      </c>
      <c r="B593" s="81" t="str">
        <f t="shared" si="1"/>
        <v>Cilacap</v>
      </c>
      <c r="C593" s="81" t="str">
        <f t="array" ref="C593">XLOOKUP(B593,Reference!$A$2:$A$152,Reference!$B$2:$B$152)</f>
        <v>Jawa Tengah</v>
      </c>
      <c r="D593" s="82" t="s">
        <v>1030</v>
      </c>
      <c r="E593" s="83">
        <v>45352.0</v>
      </c>
      <c r="F593" s="84" t="str">
        <f t="array" ref="F593">XLOOKUP(G593,Reference!$F:$F,Reference!$D:$D,"null")</f>
        <v>Rumah Tangga</v>
      </c>
      <c r="G593" s="85" t="s">
        <v>89</v>
      </c>
      <c r="H593" s="86">
        <v>100.52</v>
      </c>
      <c r="I593" s="86">
        <v>100.52</v>
      </c>
      <c r="J593" s="87">
        <f t="shared" si="2"/>
        <v>0</v>
      </c>
      <c r="K593" s="84" t="str">
        <f t="shared" si="3"/>
        <v>Stabil</v>
      </c>
      <c r="L593" s="84">
        <f t="shared" si="4"/>
        <v>0</v>
      </c>
      <c r="M593" s="88" t="str">
        <f t="shared" si="5"/>
        <v>Perubahan Normal</v>
      </c>
    </row>
    <row r="594" ht="18.75" customHeight="1">
      <c r="A594" s="80" t="s">
        <v>1031</v>
      </c>
      <c r="B594" s="81" t="str">
        <f t="shared" si="1"/>
        <v>Kab Majene</v>
      </c>
      <c r="C594" s="81" t="str">
        <f t="array" ref="C594">XLOOKUP(B594,Reference!$A$2:$A$152,Reference!$B$2:$B$152)</f>
        <v>Sulawesi Barat</v>
      </c>
      <c r="D594" s="82" t="s">
        <v>1032</v>
      </c>
      <c r="E594" s="83">
        <v>45352.0</v>
      </c>
      <c r="F594" s="84" t="str">
        <f t="array" ref="F594">XLOOKUP(G594,Reference!$F:$F,Reference!$D:$D,"null")</f>
        <v>Makanan dan Pakaian </v>
      </c>
      <c r="G594" s="85" t="s">
        <v>72</v>
      </c>
      <c r="H594" s="86">
        <v>103.0</v>
      </c>
      <c r="I594" s="86">
        <v>103.0</v>
      </c>
      <c r="J594" s="87">
        <f t="shared" si="2"/>
        <v>0</v>
      </c>
      <c r="K594" s="84" t="str">
        <f t="shared" si="3"/>
        <v>Stabil</v>
      </c>
      <c r="L594" s="84">
        <f t="shared" si="4"/>
        <v>0</v>
      </c>
      <c r="M594" s="88" t="str">
        <f t="shared" si="5"/>
        <v>Perubahan Normal</v>
      </c>
    </row>
    <row r="595" ht="18.75" customHeight="1">
      <c r="A595" s="80" t="s">
        <v>550</v>
      </c>
      <c r="B595" s="81" t="str">
        <f t="shared" si="1"/>
        <v>Kota Sukabumi</v>
      </c>
      <c r="C595" s="81" t="str">
        <f t="array" ref="C595">XLOOKUP(B595,Reference!$A$2:$A$152,Reference!$B$2:$B$152)</f>
        <v>Jawa Barat</v>
      </c>
      <c r="D595" s="82" t="s">
        <v>1033</v>
      </c>
      <c r="E595" s="83">
        <v>45323.0</v>
      </c>
      <c r="F595" s="84" t="str">
        <f t="array" ref="F595">XLOOKUP(G595,Reference!$F:$F,Reference!$D:$D,"null")</f>
        <v>Makanan dan Pakaian </v>
      </c>
      <c r="G595" s="85" t="s">
        <v>72</v>
      </c>
      <c r="H595" s="86">
        <v>101.43</v>
      </c>
      <c r="I595" s="86">
        <v>101.33</v>
      </c>
      <c r="J595" s="87">
        <f t="shared" si="2"/>
        <v>0.09868745682</v>
      </c>
      <c r="K595" s="84" t="str">
        <f t="shared" si="3"/>
        <v>Inflasi Normal</v>
      </c>
      <c r="L595" s="84">
        <f t="shared" si="4"/>
        <v>0.1</v>
      </c>
      <c r="M595" s="88" t="str">
        <f t="shared" si="5"/>
        <v>Perubahan Normal</v>
      </c>
    </row>
    <row r="596" ht="18.75" customHeight="1">
      <c r="A596" s="80" t="s">
        <v>508</v>
      </c>
      <c r="B596" s="81" t="str">
        <f t="shared" si="1"/>
        <v>Kab Minahasa Selatan</v>
      </c>
      <c r="C596" s="81" t="str">
        <f t="array" ref="C596">XLOOKUP(B596,Reference!$A$2:$A$152,Reference!$B$2:$B$152)</f>
        <v>Sulawesi Utara</v>
      </c>
      <c r="D596" s="82" t="s">
        <v>1034</v>
      </c>
      <c r="E596" s="83">
        <v>45323.0</v>
      </c>
      <c r="F596" s="84" t="str">
        <f t="array" ref="F596">XLOOKUP(G596,Reference!$F:$F,Reference!$D:$D,"null")</f>
        <v>Makanan dan Pakaian </v>
      </c>
      <c r="G596" s="85" t="s">
        <v>72</v>
      </c>
      <c r="H596" s="86">
        <v>93.83</v>
      </c>
      <c r="I596" s="86">
        <v>93.83</v>
      </c>
      <c r="J596" s="87">
        <f t="shared" si="2"/>
        <v>0</v>
      </c>
      <c r="K596" s="84" t="str">
        <f t="shared" si="3"/>
        <v>Stabil</v>
      </c>
      <c r="L596" s="84">
        <f t="shared" si="4"/>
        <v>0</v>
      </c>
      <c r="M596" s="88" t="str">
        <f t="shared" si="5"/>
        <v>Perubahan Normal</v>
      </c>
    </row>
    <row r="597" ht="18.75" customHeight="1">
      <c r="A597" s="80" t="s">
        <v>387</v>
      </c>
      <c r="B597" s="81" t="str">
        <f t="shared" si="1"/>
        <v>Kota Semarang</v>
      </c>
      <c r="C597" s="81" t="str">
        <f t="array" ref="C597">XLOOKUP(B597,Reference!$A$2:$A$152,Reference!$B$2:$B$152)</f>
        <v>Jawa Tengah</v>
      </c>
      <c r="D597" s="82" t="s">
        <v>1035</v>
      </c>
      <c r="E597" s="83">
        <v>45323.0</v>
      </c>
      <c r="F597" s="84" t="str">
        <f t="array" ref="F597">XLOOKUP(G597,Reference!$F:$F,Reference!$D:$D,"null")</f>
        <v>Makanan dan Pakaian </v>
      </c>
      <c r="G597" s="85" t="s">
        <v>48</v>
      </c>
      <c r="H597" s="86">
        <v>110.13</v>
      </c>
      <c r="I597" s="86">
        <v>107.59</v>
      </c>
      <c r="J597" s="87">
        <f t="shared" si="2"/>
        <v>2.360814202</v>
      </c>
      <c r="K597" s="84" t="str">
        <f t="shared" si="3"/>
        <v>Inflasi Tinggi</v>
      </c>
      <c r="L597" s="84">
        <f t="shared" si="4"/>
        <v>2.54</v>
      </c>
      <c r="M597" s="88" t="str">
        <f t="shared" si="5"/>
        <v>Akselerasi Kuat</v>
      </c>
    </row>
    <row r="598" ht="18.75" customHeight="1">
      <c r="A598" s="80" t="s">
        <v>934</v>
      </c>
      <c r="B598" s="81" t="str">
        <f t="shared" si="1"/>
        <v>Kab Kolaka</v>
      </c>
      <c r="C598" s="81" t="str">
        <f t="array" ref="C598">XLOOKUP(B598,Reference!$A$2:$A$152,Reference!$B$2:$B$152)</f>
        <v>Sulawesi Tenggara</v>
      </c>
      <c r="D598" s="82" t="s">
        <v>1036</v>
      </c>
      <c r="E598" s="83">
        <v>45352.0</v>
      </c>
      <c r="F598" s="84" t="str">
        <f t="array" ref="F598">XLOOKUP(G598,Reference!$F:$F,Reference!$D:$D,"null")</f>
        <v>Makanan dan Pakaian </v>
      </c>
      <c r="G598" s="89" t="s">
        <v>56</v>
      </c>
      <c r="H598" s="90">
        <v>107.21</v>
      </c>
      <c r="I598" s="90">
        <v>107.21</v>
      </c>
      <c r="J598" s="87">
        <f t="shared" si="2"/>
        <v>0</v>
      </c>
      <c r="K598" s="84" t="str">
        <f t="shared" si="3"/>
        <v>Stabil</v>
      </c>
      <c r="L598" s="91">
        <f t="shared" si="4"/>
        <v>0</v>
      </c>
      <c r="M598" s="88" t="str">
        <f t="shared" si="5"/>
        <v>Perubahan Normal</v>
      </c>
    </row>
    <row r="599" ht="18.75" customHeight="1">
      <c r="A599" s="80" t="s">
        <v>406</v>
      </c>
      <c r="B599" s="81" t="str">
        <f t="shared" si="1"/>
        <v>Kota Tasikmalaya</v>
      </c>
      <c r="C599" s="81" t="str">
        <f t="array" ref="C599">XLOOKUP(B599,Reference!$A$2:$A$152,Reference!$B$2:$B$152)</f>
        <v>Jawa Barat</v>
      </c>
      <c r="D599" s="82" t="s">
        <v>1037</v>
      </c>
      <c r="E599" s="83">
        <v>45323.0</v>
      </c>
      <c r="F599" s="84" t="str">
        <f t="array" ref="F599">XLOOKUP(G599,Reference!$F:$F,Reference!$D:$D,"null")</f>
        <v>Makanan dan Pakaian </v>
      </c>
      <c r="G599" s="85" t="s">
        <v>64</v>
      </c>
      <c r="H599" s="86">
        <v>102.9</v>
      </c>
      <c r="I599" s="86">
        <v>102.94</v>
      </c>
      <c r="J599" s="87">
        <f t="shared" si="2"/>
        <v>-0.03885758694</v>
      </c>
      <c r="K599" s="84" t="str">
        <f t="shared" si="3"/>
        <v>Deflasi</v>
      </c>
      <c r="L599" s="84">
        <f t="shared" si="4"/>
        <v>-0.04</v>
      </c>
      <c r="M599" s="88" t="str">
        <f t="shared" si="5"/>
        <v>Perubahan Normal</v>
      </c>
    </row>
    <row r="600" ht="18.75" customHeight="1">
      <c r="A600" s="80" t="s">
        <v>367</v>
      </c>
      <c r="B600" s="81" t="str">
        <f t="shared" si="1"/>
        <v>Kota Jambi</v>
      </c>
      <c r="C600" s="81" t="str">
        <f t="array" ref="C600">XLOOKUP(B600,Reference!$A$2:$A$152,Reference!$B$2:$B$152)</f>
        <v>Jambi</v>
      </c>
      <c r="D600" s="82" t="s">
        <v>1038</v>
      </c>
      <c r="E600" s="83">
        <v>45323.0</v>
      </c>
      <c r="F600" s="84" t="str">
        <f t="array" ref="F600">XLOOKUP(G600,Reference!$F:$F,Reference!$D:$D,"null")</f>
        <v>Pendidikan dan Kesehatan</v>
      </c>
      <c r="G600" s="85" t="s">
        <v>95</v>
      </c>
      <c r="H600" s="86">
        <v>102.19</v>
      </c>
      <c r="I600" s="86">
        <v>102.19</v>
      </c>
      <c r="J600" s="87">
        <f t="shared" si="2"/>
        <v>0</v>
      </c>
      <c r="K600" s="84" t="str">
        <f t="shared" si="3"/>
        <v>Stabil</v>
      </c>
      <c r="L600" s="84">
        <f t="shared" si="4"/>
        <v>0</v>
      </c>
      <c r="M600" s="88" t="str">
        <f t="shared" si="5"/>
        <v>Perubahan Normal</v>
      </c>
    </row>
    <row r="601" ht="18.75" customHeight="1">
      <c r="A601" s="80" t="s">
        <v>598</v>
      </c>
      <c r="B601" s="81" t="str">
        <f t="shared" si="1"/>
        <v>Kota Surakarta</v>
      </c>
      <c r="C601" s="81" t="str">
        <f t="array" ref="C601">XLOOKUP(B601,Reference!$A$2:$A$152,Reference!$B$2:$B$152)</f>
        <v>Jawa Tengah</v>
      </c>
      <c r="D601" s="82" t="s">
        <v>1039</v>
      </c>
      <c r="E601" s="83">
        <v>45352.0</v>
      </c>
      <c r="F601" s="84" t="str">
        <f t="array" ref="F601">XLOOKUP(G601,Reference!$F:$F,Reference!$D:$D,"null")</f>
        <v>Makanan dan Pakaian </v>
      </c>
      <c r="G601" s="85" t="s">
        <v>64</v>
      </c>
      <c r="H601" s="86">
        <v>102.82</v>
      </c>
      <c r="I601" s="86">
        <v>102.47</v>
      </c>
      <c r="J601" s="87">
        <f t="shared" si="2"/>
        <v>0.3415633844</v>
      </c>
      <c r="K601" s="84" t="str">
        <f t="shared" si="3"/>
        <v>Inflasi Normal</v>
      </c>
      <c r="L601" s="84">
        <f t="shared" si="4"/>
        <v>0.35</v>
      </c>
      <c r="M601" s="88" t="str">
        <f t="shared" si="5"/>
        <v>Perubahan Normal</v>
      </c>
    </row>
    <row r="602" ht="18.75" customHeight="1">
      <c r="A602" s="80" t="s">
        <v>515</v>
      </c>
      <c r="B602" s="81" t="str">
        <f t="shared" si="1"/>
        <v>Kab Gresik</v>
      </c>
      <c r="C602" s="81" t="str">
        <f t="array" ref="C602">XLOOKUP(B602,Reference!$A$2:$A$152,Reference!$B$2:$B$152)</f>
        <v>Jawa Timur</v>
      </c>
      <c r="D602" s="82" t="s">
        <v>1040</v>
      </c>
      <c r="E602" s="83">
        <v>45352.0</v>
      </c>
      <c r="F602" s="84" t="str">
        <f t="array" ref="F602">XLOOKUP(G602,Reference!$F:$F,Reference!$D:$D,"null")</f>
        <v>Makanan dan Pakaian </v>
      </c>
      <c r="G602" s="85" t="s">
        <v>72</v>
      </c>
      <c r="H602" s="86">
        <v>89.45</v>
      </c>
      <c r="I602" s="86">
        <v>88.61</v>
      </c>
      <c r="J602" s="87">
        <f t="shared" si="2"/>
        <v>0.9479742693</v>
      </c>
      <c r="K602" s="84" t="str">
        <f t="shared" si="3"/>
        <v>Inflasi Tinggi</v>
      </c>
      <c r="L602" s="84">
        <f t="shared" si="4"/>
        <v>0.84</v>
      </c>
      <c r="M602" s="88" t="str">
        <f t="shared" si="5"/>
        <v>Akselerasi Persentase</v>
      </c>
    </row>
    <row r="603" ht="18.75" customHeight="1">
      <c r="A603" s="80" t="s">
        <v>353</v>
      </c>
      <c r="B603" s="81" t="str">
        <f t="shared" si="1"/>
        <v>Kota Bau Bau</v>
      </c>
      <c r="C603" s="81" t="str">
        <f t="array" ref="C603">XLOOKUP(B603,Reference!$A$2:$A$152,Reference!$B$2:$B$152)</f>
        <v>Sulawesi Tenggara</v>
      </c>
      <c r="D603" s="82" t="s">
        <v>1041</v>
      </c>
      <c r="E603" s="83">
        <v>45352.0</v>
      </c>
      <c r="F603" s="84" t="str">
        <f t="array" ref="F603">XLOOKUP(G603,Reference!$F:$F,Reference!$D:$D,"null")</f>
        <v>Rumah Tangga</v>
      </c>
      <c r="G603" s="85" t="s">
        <v>80</v>
      </c>
      <c r="H603" s="86">
        <v>104.27</v>
      </c>
      <c r="I603" s="86">
        <v>104.27</v>
      </c>
      <c r="J603" s="87">
        <f t="shared" si="2"/>
        <v>0</v>
      </c>
      <c r="K603" s="84" t="str">
        <f t="shared" si="3"/>
        <v>Stabil</v>
      </c>
      <c r="L603" s="84">
        <f t="shared" si="4"/>
        <v>0</v>
      </c>
      <c r="M603" s="88" t="str">
        <f t="shared" si="5"/>
        <v>Perubahan Normal</v>
      </c>
    </row>
    <row r="604" ht="18.75" customHeight="1">
      <c r="A604" s="80" t="s">
        <v>483</v>
      </c>
      <c r="B604" s="81" t="str">
        <f t="shared" si="1"/>
        <v>Kota Padangsidimpuan</v>
      </c>
      <c r="C604" s="81" t="str">
        <f t="array" ref="C604">XLOOKUP(B604,Reference!$A$2:$A$152,Reference!$B$2:$B$152)</f>
        <v>Sumatera Utara</v>
      </c>
      <c r="D604" s="82" t="s">
        <v>1042</v>
      </c>
      <c r="E604" s="83">
        <v>45352.0</v>
      </c>
      <c r="F604" s="84" t="str">
        <f t="array" ref="F604">XLOOKUP(G604,Reference!$F:$F,Reference!$D:$D,"null")</f>
        <v>Rumah Tangga</v>
      </c>
      <c r="G604" s="85" t="s">
        <v>84</v>
      </c>
      <c r="H604" s="86">
        <v>102.55</v>
      </c>
      <c r="I604" s="86">
        <v>102.54</v>
      </c>
      <c r="J604" s="87">
        <f t="shared" si="2"/>
        <v>0.009752291789</v>
      </c>
      <c r="K604" s="84" t="str">
        <f t="shared" si="3"/>
        <v>Inflasi Normal</v>
      </c>
      <c r="L604" s="84">
        <f t="shared" si="4"/>
        <v>0.01</v>
      </c>
      <c r="M604" s="88" t="str">
        <f t="shared" si="5"/>
        <v>Perubahan Normal</v>
      </c>
    </row>
    <row r="605" ht="18.75" customHeight="1">
      <c r="A605" s="80" t="s">
        <v>360</v>
      </c>
      <c r="B605" s="81" t="str">
        <f t="shared" si="1"/>
        <v>Kab Wonosobo</v>
      </c>
      <c r="C605" s="81" t="str">
        <f t="array" ref="C605">XLOOKUP(B605,Reference!$A$2:$A$152,Reference!$B$2:$B$152)</f>
        <v>Jawa Tengah</v>
      </c>
      <c r="D605" s="82" t="s">
        <v>1043</v>
      </c>
      <c r="E605" s="83">
        <v>45352.0</v>
      </c>
      <c r="F605" s="84" t="str">
        <f t="array" ref="F605">XLOOKUP(G605,Reference!$F:$F,Reference!$D:$D,"null")</f>
        <v>Makanan dan Pakaian </v>
      </c>
      <c r="G605" s="85" t="s">
        <v>64</v>
      </c>
      <c r="H605" s="86">
        <v>107.24</v>
      </c>
      <c r="I605" s="86">
        <v>107.12</v>
      </c>
      <c r="J605" s="87">
        <f t="shared" si="2"/>
        <v>0.1120238984</v>
      </c>
      <c r="K605" s="84" t="str">
        <f t="shared" si="3"/>
        <v>Inflasi Normal</v>
      </c>
      <c r="L605" s="84">
        <f t="shared" si="4"/>
        <v>0.12</v>
      </c>
      <c r="M605" s="88" t="str">
        <f t="shared" si="5"/>
        <v>Perubahan Normal</v>
      </c>
    </row>
    <row r="606" ht="18.75" customHeight="1">
      <c r="A606" s="80" t="s">
        <v>414</v>
      </c>
      <c r="B606" s="81" t="str">
        <f t="shared" si="1"/>
        <v>Kota Bandung</v>
      </c>
      <c r="C606" s="81" t="str">
        <f t="array" ref="C606">XLOOKUP(B606,Reference!$A$2:$A$152,Reference!$B$2:$B$152)</f>
        <v>Jawa Barat</v>
      </c>
      <c r="D606" s="82" t="s">
        <v>1044</v>
      </c>
      <c r="E606" s="83">
        <v>45323.0</v>
      </c>
      <c r="F606" s="84" t="str">
        <f t="array" ref="F606">XLOOKUP(G606,Reference!$F:$F,Reference!$D:$D,"null")</f>
        <v>Makanan dan Pakaian </v>
      </c>
      <c r="G606" s="85" t="s">
        <v>56</v>
      </c>
      <c r="H606" s="86">
        <v>103.85</v>
      </c>
      <c r="I606" s="86">
        <v>103.82</v>
      </c>
      <c r="J606" s="87">
        <f t="shared" si="2"/>
        <v>0.02889616644</v>
      </c>
      <c r="K606" s="84" t="str">
        <f t="shared" si="3"/>
        <v>Inflasi Normal</v>
      </c>
      <c r="L606" s="84">
        <f t="shared" si="4"/>
        <v>0.03</v>
      </c>
      <c r="M606" s="88" t="str">
        <f t="shared" si="5"/>
        <v>Perubahan Normal</v>
      </c>
    </row>
    <row r="607" ht="18.75" customHeight="1">
      <c r="A607" s="80" t="s">
        <v>414</v>
      </c>
      <c r="B607" s="81" t="str">
        <f t="shared" si="1"/>
        <v>Kota Bandung</v>
      </c>
      <c r="C607" s="81" t="str">
        <f t="array" ref="C607">XLOOKUP(B607,Reference!$A$2:$A$152,Reference!$B$2:$B$152)</f>
        <v>Jawa Barat</v>
      </c>
      <c r="D607" s="82" t="s">
        <v>1045</v>
      </c>
      <c r="E607" s="83">
        <v>45352.0</v>
      </c>
      <c r="F607" s="84" t="str">
        <f t="array" ref="F607">XLOOKUP(G607,Reference!$F:$F,Reference!$D:$D,"null")</f>
        <v>Rekreasi dan Kendaraan</v>
      </c>
      <c r="G607" s="85" t="s">
        <v>105</v>
      </c>
      <c r="H607" s="86">
        <v>100.07</v>
      </c>
      <c r="I607" s="86">
        <v>100.07</v>
      </c>
      <c r="J607" s="87">
        <f t="shared" si="2"/>
        <v>0</v>
      </c>
      <c r="K607" s="84" t="str">
        <f t="shared" si="3"/>
        <v>Stabil</v>
      </c>
      <c r="L607" s="84">
        <f t="shared" si="4"/>
        <v>0</v>
      </c>
      <c r="M607" s="88" t="str">
        <f t="shared" si="5"/>
        <v>Perubahan Normal</v>
      </c>
    </row>
    <row r="608" ht="18.75" customHeight="1">
      <c r="A608" s="80" t="s">
        <v>450</v>
      </c>
      <c r="B608" s="81" t="str">
        <f t="shared" si="1"/>
        <v>Waingapu</v>
      </c>
      <c r="C608" s="81" t="str">
        <f t="array" ref="C608">XLOOKUP(B608,Reference!$A$2:$A$152,Reference!$B$2:$B$152)</f>
        <v>Nusa Tenggara Timur (NTT)</v>
      </c>
      <c r="D608" s="82" t="s">
        <v>1046</v>
      </c>
      <c r="E608" s="83">
        <v>45352.0</v>
      </c>
      <c r="F608" s="84" t="str">
        <f t="array" ref="F608">XLOOKUP(G608,Reference!$F:$F,Reference!$D:$D,"null")</f>
        <v>Makanan dan Pakaian </v>
      </c>
      <c r="G608" s="85" t="s">
        <v>56</v>
      </c>
      <c r="H608" s="86">
        <v>97.75</v>
      </c>
      <c r="I608" s="86">
        <v>97.06</v>
      </c>
      <c r="J608" s="87">
        <f t="shared" si="2"/>
        <v>0.7109004739</v>
      </c>
      <c r="K608" s="84" t="str">
        <f t="shared" si="3"/>
        <v>Inflasi Tinggi</v>
      </c>
      <c r="L608" s="84">
        <f t="shared" si="4"/>
        <v>0.69</v>
      </c>
      <c r="M608" s="88" t="str">
        <f t="shared" si="5"/>
        <v>Akselerasi Persentase</v>
      </c>
    </row>
    <row r="609" ht="18.75" customHeight="1">
      <c r="A609" s="80" t="s">
        <v>304</v>
      </c>
      <c r="B609" s="81" t="str">
        <f t="shared" si="1"/>
        <v>Kota Kediri</v>
      </c>
      <c r="C609" s="81" t="str">
        <f t="array" ref="C609">XLOOKUP(B609,Reference!$A$2:$A$152,Reference!$B$2:$B$152)</f>
        <v>Jawa Timur</v>
      </c>
      <c r="D609" s="82" t="s">
        <v>1047</v>
      </c>
      <c r="E609" s="83">
        <v>45352.0</v>
      </c>
      <c r="F609" s="84" t="str">
        <f t="array" ref="F609">XLOOKUP(G609,Reference!$F:$F,Reference!$D:$D,"null")</f>
        <v>Rekreasi dan Kendaraan</v>
      </c>
      <c r="G609" s="85" t="s">
        <v>102</v>
      </c>
      <c r="H609" s="86">
        <v>100.0</v>
      </c>
      <c r="I609" s="86">
        <v>100.0</v>
      </c>
      <c r="J609" s="87">
        <f t="shared" si="2"/>
        <v>0</v>
      </c>
      <c r="K609" s="84" t="str">
        <f t="shared" si="3"/>
        <v>Stabil</v>
      </c>
      <c r="L609" s="84">
        <f t="shared" si="4"/>
        <v>0</v>
      </c>
      <c r="M609" s="88" t="str">
        <f t="shared" si="5"/>
        <v>Perubahan Normal</v>
      </c>
    </row>
    <row r="610" ht="18.75" customHeight="1">
      <c r="A610" s="80" t="s">
        <v>529</v>
      </c>
      <c r="B610" s="81" t="str">
        <f t="shared" si="1"/>
        <v>Kota Yogyakarta</v>
      </c>
      <c r="C610" s="81" t="str">
        <f t="array" ref="C610">XLOOKUP(B610,Reference!$A$2:$A$152,Reference!$B$2:$B$152)</f>
        <v>D.I. Yogyakarta</v>
      </c>
      <c r="D610" s="82" t="s">
        <v>1048</v>
      </c>
      <c r="E610" s="83">
        <v>45352.0</v>
      </c>
      <c r="F610" s="84" t="str">
        <f t="array" ref="F610">XLOOKUP(G610,Reference!$F:$F,Reference!$D:$D,"null")</f>
        <v>Rumah Tangga</v>
      </c>
      <c r="G610" s="85" t="s">
        <v>84</v>
      </c>
      <c r="H610" s="86">
        <v>101.13</v>
      </c>
      <c r="I610" s="86">
        <v>101.16</v>
      </c>
      <c r="J610" s="87">
        <f t="shared" si="2"/>
        <v>-0.02965599051</v>
      </c>
      <c r="K610" s="84" t="str">
        <f t="shared" si="3"/>
        <v>Deflasi</v>
      </c>
      <c r="L610" s="84">
        <f t="shared" si="4"/>
        <v>-0.03</v>
      </c>
      <c r="M610" s="88" t="str">
        <f t="shared" si="5"/>
        <v>Perubahan Normal</v>
      </c>
    </row>
    <row r="611" ht="18.75" customHeight="1">
      <c r="A611" s="80" t="s">
        <v>384</v>
      </c>
      <c r="B611" s="81" t="str">
        <f t="shared" si="1"/>
        <v>Kab Lebak</v>
      </c>
      <c r="C611" s="81" t="str">
        <f t="array" ref="C611">XLOOKUP(B611,Reference!$A$2:$A$152,Reference!$B$2:$B$152)</f>
        <v>Banten</v>
      </c>
      <c r="D611" s="82" t="s">
        <v>1049</v>
      </c>
      <c r="E611" s="83">
        <v>45352.0</v>
      </c>
      <c r="F611" s="84" t="str">
        <f t="array" ref="F611">XLOOKUP(G611,Reference!$F:$F,Reference!$D:$D,"null")</f>
        <v>Rekreasi dan Kendaraan</v>
      </c>
      <c r="G611" s="85" t="s">
        <v>102</v>
      </c>
      <c r="H611" s="86">
        <v>101.93</v>
      </c>
      <c r="I611" s="86">
        <v>101.93</v>
      </c>
      <c r="J611" s="87">
        <f t="shared" si="2"/>
        <v>0</v>
      </c>
      <c r="K611" s="84" t="str">
        <f t="shared" si="3"/>
        <v>Stabil</v>
      </c>
      <c r="L611" s="84">
        <f t="shared" si="4"/>
        <v>0</v>
      </c>
      <c r="M611" s="88" t="str">
        <f t="shared" si="5"/>
        <v>Perubahan Normal</v>
      </c>
    </row>
    <row r="612" ht="18.75" customHeight="1">
      <c r="A612" s="80" t="s">
        <v>471</v>
      </c>
      <c r="B612" s="81" t="str">
        <f t="shared" si="1"/>
        <v>Kab Gunungkidul</v>
      </c>
      <c r="C612" s="81" t="str">
        <f t="array" ref="C612">XLOOKUP(B612,Reference!$A$2:$A$152,Reference!$B$2:$B$152)</f>
        <v>D.I. Yogyakarta</v>
      </c>
      <c r="D612" s="82" t="s">
        <v>1050</v>
      </c>
      <c r="E612" s="83">
        <v>45323.0</v>
      </c>
      <c r="F612" s="84" t="str">
        <f t="array" ref="F612">XLOOKUP(G612,Reference!$F:$F,Reference!$D:$D,"null")</f>
        <v>Makanan dan Pakaian </v>
      </c>
      <c r="G612" s="85" t="s">
        <v>72</v>
      </c>
      <c r="H612" s="86">
        <v>100.92</v>
      </c>
      <c r="I612" s="86">
        <v>100.92</v>
      </c>
      <c r="J612" s="87">
        <f t="shared" si="2"/>
        <v>0</v>
      </c>
      <c r="K612" s="84" t="str">
        <f t="shared" si="3"/>
        <v>Stabil</v>
      </c>
      <c r="L612" s="84">
        <f t="shared" si="4"/>
        <v>0</v>
      </c>
      <c r="M612" s="88" t="str">
        <f t="shared" si="5"/>
        <v>Perubahan Normal</v>
      </c>
    </row>
    <row r="613" ht="18.75" customHeight="1">
      <c r="A613" s="80" t="s">
        <v>433</v>
      </c>
      <c r="B613" s="81" t="str">
        <f t="shared" si="1"/>
        <v>Kab Tulungagung</v>
      </c>
      <c r="C613" s="81" t="str">
        <f t="array" ref="C613">XLOOKUP(B613,Reference!$A$2:$A$152,Reference!$B$2:$B$152)</f>
        <v>Jawa Timur</v>
      </c>
      <c r="D613" s="82" t="s">
        <v>1051</v>
      </c>
      <c r="E613" s="83">
        <v>45323.0</v>
      </c>
      <c r="F613" s="84" t="str">
        <f t="array" ref="F613">XLOOKUP(G613,Reference!$F:$F,Reference!$D:$D,"null")</f>
        <v>Rumah Tangga</v>
      </c>
      <c r="G613" s="85" t="s">
        <v>84</v>
      </c>
      <c r="H613" s="86">
        <v>102.46</v>
      </c>
      <c r="I613" s="86">
        <v>102.46</v>
      </c>
      <c r="J613" s="87">
        <f t="shared" si="2"/>
        <v>0</v>
      </c>
      <c r="K613" s="84" t="str">
        <f t="shared" si="3"/>
        <v>Stabil</v>
      </c>
      <c r="L613" s="84">
        <f t="shared" si="4"/>
        <v>0</v>
      </c>
      <c r="M613" s="88" t="str">
        <f t="shared" si="5"/>
        <v>Perubahan Normal</v>
      </c>
    </row>
    <row r="614" ht="18.75" customHeight="1">
      <c r="A614" s="80" t="s">
        <v>360</v>
      </c>
      <c r="B614" s="81" t="str">
        <f t="shared" si="1"/>
        <v>Kab Wonosobo</v>
      </c>
      <c r="C614" s="81" t="str">
        <f t="array" ref="C614">XLOOKUP(B614,Reference!$A$2:$A$152,Reference!$B$2:$B$152)</f>
        <v>Jawa Tengah</v>
      </c>
      <c r="D614" s="82" t="s">
        <v>1052</v>
      </c>
      <c r="E614" s="83">
        <v>45323.0</v>
      </c>
      <c r="F614" s="84" t="str">
        <f t="array" ref="F614">XLOOKUP(G614,Reference!$F:$F,Reference!$D:$D,"null")</f>
        <v>Makanan dan Pakaian </v>
      </c>
      <c r="G614" s="85" t="s">
        <v>56</v>
      </c>
      <c r="H614" s="86">
        <v>105.86</v>
      </c>
      <c r="I614" s="86">
        <v>105.86</v>
      </c>
      <c r="J614" s="87">
        <f t="shared" si="2"/>
        <v>0</v>
      </c>
      <c r="K614" s="84" t="str">
        <f t="shared" si="3"/>
        <v>Stabil</v>
      </c>
      <c r="L614" s="84">
        <f t="shared" si="4"/>
        <v>0</v>
      </c>
      <c r="M614" s="88" t="str">
        <f t="shared" si="5"/>
        <v>Perubahan Normal</v>
      </c>
    </row>
    <row r="615" ht="18.75" customHeight="1">
      <c r="A615" s="80" t="s">
        <v>340</v>
      </c>
      <c r="B615" s="81" t="str">
        <f t="shared" si="1"/>
        <v>Kab Rembang</v>
      </c>
      <c r="C615" s="81" t="str">
        <f t="array" ref="C615">XLOOKUP(B615,Reference!$A$2:$A$152,Reference!$B$2:$B$152)</f>
        <v>Jawa Tengah</v>
      </c>
      <c r="D615" s="82" t="s">
        <v>1053</v>
      </c>
      <c r="E615" s="83">
        <v>45323.0</v>
      </c>
      <c r="F615" s="84" t="str">
        <f t="array" ref="F615">XLOOKUP(G615,Reference!$F:$F,Reference!$D:$D,"null")</f>
        <v>Rekreasi dan Kendaraan</v>
      </c>
      <c r="G615" s="85" t="s">
        <v>105</v>
      </c>
      <c r="H615" s="86">
        <v>101.58</v>
      </c>
      <c r="I615" s="86">
        <v>101.52</v>
      </c>
      <c r="J615" s="87">
        <f t="shared" si="2"/>
        <v>0.05910165485</v>
      </c>
      <c r="K615" s="84" t="str">
        <f t="shared" si="3"/>
        <v>Inflasi Normal</v>
      </c>
      <c r="L615" s="84">
        <f t="shared" si="4"/>
        <v>0.06</v>
      </c>
      <c r="M615" s="88" t="str">
        <f t="shared" si="5"/>
        <v>Perubahan Normal</v>
      </c>
    </row>
    <row r="616" ht="18.75" customHeight="1">
      <c r="A616" s="80" t="s">
        <v>669</v>
      </c>
      <c r="B616" s="81" t="str">
        <f t="shared" si="1"/>
        <v>Kab Sidenreng Rappang</v>
      </c>
      <c r="C616" s="81" t="str">
        <f t="array" ref="C616">XLOOKUP(B616,Reference!$A$2:$A$152,Reference!$B$2:$B$152)</f>
        <v>Sulawesi Selatan</v>
      </c>
      <c r="D616" s="82" t="s">
        <v>1054</v>
      </c>
      <c r="E616" s="83">
        <v>45352.0</v>
      </c>
      <c r="F616" s="84" t="str">
        <f t="array" ref="F616">XLOOKUP(G616,Reference!$F:$F,Reference!$D:$D,"null")</f>
        <v>Rumah Tangga</v>
      </c>
      <c r="G616" s="85" t="s">
        <v>84</v>
      </c>
      <c r="H616" s="86">
        <v>98.18</v>
      </c>
      <c r="I616" s="86">
        <v>98.18</v>
      </c>
      <c r="J616" s="87">
        <f t="shared" si="2"/>
        <v>0</v>
      </c>
      <c r="K616" s="84" t="str">
        <f t="shared" si="3"/>
        <v>Stabil</v>
      </c>
      <c r="L616" s="84">
        <f t="shared" si="4"/>
        <v>0</v>
      </c>
      <c r="M616" s="88" t="str">
        <f t="shared" si="5"/>
        <v>Perubahan Normal</v>
      </c>
    </row>
    <row r="617" ht="18.75" customHeight="1">
      <c r="A617" s="80" t="s">
        <v>380</v>
      </c>
      <c r="B617" s="81" t="str">
        <f t="shared" si="1"/>
        <v>Kota Bengkulu</v>
      </c>
      <c r="C617" s="81" t="str">
        <f t="array" ref="C617">XLOOKUP(B617,Reference!$A$2:$A$152,Reference!$B$2:$B$152)</f>
        <v>Bengkulu</v>
      </c>
      <c r="D617" s="82" t="s">
        <v>1055</v>
      </c>
      <c r="E617" s="83">
        <v>45352.0</v>
      </c>
      <c r="F617" s="84" t="str">
        <f t="array" ref="F617">XLOOKUP(G617,Reference!$F:$F,Reference!$D:$D,"null")</f>
        <v>Rumah Tangga</v>
      </c>
      <c r="G617" s="89" t="s">
        <v>89</v>
      </c>
      <c r="H617" s="90">
        <v>100.13</v>
      </c>
      <c r="I617" s="90">
        <v>100.13</v>
      </c>
      <c r="J617" s="87">
        <f t="shared" si="2"/>
        <v>0</v>
      </c>
      <c r="K617" s="84" t="str">
        <f t="shared" si="3"/>
        <v>Stabil</v>
      </c>
      <c r="L617" s="91">
        <f t="shared" si="4"/>
        <v>0</v>
      </c>
      <c r="M617" s="88" t="str">
        <f t="shared" si="5"/>
        <v>Perubahan Normal</v>
      </c>
    </row>
    <row r="618" ht="18.75" customHeight="1">
      <c r="A618" s="80" t="s">
        <v>642</v>
      </c>
      <c r="B618" s="81" t="str">
        <f t="shared" si="1"/>
        <v>Kota Bandar Lampung</v>
      </c>
      <c r="C618" s="81" t="str">
        <f t="array" ref="C618">XLOOKUP(B618,Reference!$A$2:$A$152,Reference!$B$2:$B$152)</f>
        <v>Lampung</v>
      </c>
      <c r="D618" s="82" t="s">
        <v>1056</v>
      </c>
      <c r="E618" s="83">
        <v>45323.0</v>
      </c>
      <c r="F618" s="84" t="str">
        <f t="array" ref="F618">XLOOKUP(G618,Reference!$F:$F,Reference!$D:$D,"null")</f>
        <v>Makanan dan Pakaian </v>
      </c>
      <c r="G618" s="85" t="s">
        <v>64</v>
      </c>
      <c r="H618" s="86">
        <v>104.32</v>
      </c>
      <c r="I618" s="86">
        <v>104.23</v>
      </c>
      <c r="J618" s="87">
        <f t="shared" si="2"/>
        <v>0.08634750072</v>
      </c>
      <c r="K618" s="84" t="str">
        <f t="shared" si="3"/>
        <v>Inflasi Normal</v>
      </c>
      <c r="L618" s="84">
        <f t="shared" si="4"/>
        <v>0.09</v>
      </c>
      <c r="M618" s="88" t="str">
        <f t="shared" si="5"/>
        <v>Perubahan Normal</v>
      </c>
    </row>
    <row r="619" ht="18.75" customHeight="1">
      <c r="A619" s="80" t="s">
        <v>329</v>
      </c>
      <c r="B619" s="81" t="str">
        <f t="shared" si="1"/>
        <v>Kab Penajam Paser Utara</v>
      </c>
      <c r="C619" s="81" t="str">
        <f t="array" ref="C619">XLOOKUP(B619,Reference!$A$2:$A$152,Reference!$B$2:$B$152)</f>
        <v>Kalimantan Timur</v>
      </c>
      <c r="D619" s="82" t="s">
        <v>1057</v>
      </c>
      <c r="E619" s="83">
        <v>45352.0</v>
      </c>
      <c r="F619" s="84" t="str">
        <f t="array" ref="F619">XLOOKUP(G619,Reference!$F:$F,Reference!$D:$D,"null")</f>
        <v>Rekreasi dan Kendaraan</v>
      </c>
      <c r="G619" s="89" t="s">
        <v>102</v>
      </c>
      <c r="H619" s="90">
        <v>113.42</v>
      </c>
      <c r="I619" s="90">
        <v>113.42</v>
      </c>
      <c r="J619" s="87">
        <f t="shared" si="2"/>
        <v>0</v>
      </c>
      <c r="K619" s="84" t="str">
        <f t="shared" si="3"/>
        <v>Stabil</v>
      </c>
      <c r="L619" s="91">
        <f t="shared" si="4"/>
        <v>0</v>
      </c>
      <c r="M619" s="88" t="str">
        <f t="shared" si="5"/>
        <v>Perubahan Normal</v>
      </c>
    </row>
    <row r="620" ht="18.75" customHeight="1">
      <c r="A620" s="80" t="s">
        <v>450</v>
      </c>
      <c r="B620" s="81" t="str">
        <f t="shared" si="1"/>
        <v>Waingapu</v>
      </c>
      <c r="C620" s="81" t="str">
        <f t="array" ref="C620">XLOOKUP(B620,Reference!$A$2:$A$152,Reference!$B$2:$B$152)</f>
        <v>Nusa Tenggara Timur (NTT)</v>
      </c>
      <c r="D620" s="82" t="s">
        <v>1058</v>
      </c>
      <c r="E620" s="83">
        <v>45323.0</v>
      </c>
      <c r="F620" s="84" t="str">
        <f t="array" ref="F620">XLOOKUP(G620,Reference!$F:$F,Reference!$D:$D,"null")</f>
        <v>Makanan dan Pakaian </v>
      </c>
      <c r="G620" s="85" t="s">
        <v>72</v>
      </c>
      <c r="H620" s="86">
        <v>100.21</v>
      </c>
      <c r="I620" s="86">
        <v>100.22</v>
      </c>
      <c r="J620" s="87">
        <f t="shared" si="2"/>
        <v>-0.009978048294</v>
      </c>
      <c r="K620" s="84" t="str">
        <f t="shared" si="3"/>
        <v>Deflasi</v>
      </c>
      <c r="L620" s="84">
        <f t="shared" si="4"/>
        <v>-0.01</v>
      </c>
      <c r="M620" s="88" t="str">
        <f t="shared" si="5"/>
        <v>Perubahan Normal</v>
      </c>
    </row>
    <row r="621" ht="18.75" customHeight="1">
      <c r="A621" s="80" t="s">
        <v>478</v>
      </c>
      <c r="B621" s="81" t="str">
        <f t="shared" si="1"/>
        <v>Kab Maluku Tengah</v>
      </c>
      <c r="C621" s="81" t="str">
        <f t="array" ref="C621">XLOOKUP(B621,Reference!$A$2:$A$152,Reference!$B$2:$B$152)</f>
        <v>Maluku</v>
      </c>
      <c r="D621" s="82" t="s">
        <v>1059</v>
      </c>
      <c r="E621" s="83">
        <v>45323.0</v>
      </c>
      <c r="F621" s="84" t="str">
        <f t="array" ref="F621">XLOOKUP(G621,Reference!$F:$F,Reference!$D:$D,"null")</f>
        <v>Makanan dan Pakaian </v>
      </c>
      <c r="G621" s="85" t="s">
        <v>56</v>
      </c>
      <c r="H621" s="86">
        <v>112.22</v>
      </c>
      <c r="I621" s="86">
        <v>108.93</v>
      </c>
      <c r="J621" s="87">
        <f t="shared" si="2"/>
        <v>3.020288259</v>
      </c>
      <c r="K621" s="84" t="str">
        <f t="shared" si="3"/>
        <v>Inflasi Tinggi</v>
      </c>
      <c r="L621" s="84">
        <f t="shared" si="4"/>
        <v>3.29</v>
      </c>
      <c r="M621" s="88" t="str">
        <f t="shared" si="5"/>
        <v>Akselerasi Kuat</v>
      </c>
    </row>
    <row r="622" ht="18.75" customHeight="1">
      <c r="A622" s="80" t="s">
        <v>1031</v>
      </c>
      <c r="B622" s="81" t="str">
        <f t="shared" si="1"/>
        <v>Kab Majene</v>
      </c>
      <c r="C622" s="81" t="str">
        <f t="array" ref="C622">XLOOKUP(B622,Reference!$A$2:$A$152,Reference!$B$2:$B$152)</f>
        <v>Sulawesi Barat</v>
      </c>
      <c r="D622" s="82" t="s">
        <v>1060</v>
      </c>
      <c r="E622" s="83">
        <v>45352.0</v>
      </c>
      <c r="F622" s="84" t="str">
        <f t="array" ref="F622">XLOOKUP(G622,Reference!$F:$F,Reference!$D:$D,"null")</f>
        <v>Makanan dan Pakaian </v>
      </c>
      <c r="G622" s="85" t="s">
        <v>48</v>
      </c>
      <c r="H622" s="86">
        <v>104.54</v>
      </c>
      <c r="I622" s="86">
        <v>104.4</v>
      </c>
      <c r="J622" s="87">
        <f t="shared" si="2"/>
        <v>0.1340996169</v>
      </c>
      <c r="K622" s="84" t="str">
        <f t="shared" si="3"/>
        <v>Inflasi Normal</v>
      </c>
      <c r="L622" s="84">
        <f t="shared" si="4"/>
        <v>0.14</v>
      </c>
      <c r="M622" s="88" t="str">
        <f t="shared" si="5"/>
        <v>Perubahan Normal</v>
      </c>
    </row>
    <row r="623" ht="18.75" customHeight="1">
      <c r="A623" s="80" t="s">
        <v>298</v>
      </c>
      <c r="B623" s="81" t="str">
        <f t="shared" si="1"/>
        <v>Kota Bekasi</v>
      </c>
      <c r="C623" s="81" t="str">
        <f t="array" ref="C623">XLOOKUP(B623,Reference!$A$2:$A$152,Reference!$B$2:$B$152)</f>
        <v>Jawa Barat</v>
      </c>
      <c r="D623" s="82" t="s">
        <v>1061</v>
      </c>
      <c r="E623" s="83">
        <v>45323.0</v>
      </c>
      <c r="F623" s="84" t="str">
        <f t="array" ref="F623">XLOOKUP(G623,Reference!$F:$F,Reference!$D:$D,"null")</f>
        <v>Rumah Tangga</v>
      </c>
      <c r="G623" s="85" t="s">
        <v>89</v>
      </c>
      <c r="H623" s="86">
        <v>103.11</v>
      </c>
      <c r="I623" s="86">
        <v>103.1</v>
      </c>
      <c r="J623" s="87">
        <f t="shared" si="2"/>
        <v>0.009699321048</v>
      </c>
      <c r="K623" s="84" t="str">
        <f t="shared" si="3"/>
        <v>Inflasi Normal</v>
      </c>
      <c r="L623" s="84">
        <f t="shared" si="4"/>
        <v>0.01</v>
      </c>
      <c r="M623" s="88" t="str">
        <f t="shared" si="5"/>
        <v>Perubahan Normal</v>
      </c>
    </row>
    <row r="624" ht="18.75" customHeight="1">
      <c r="A624" s="80" t="s">
        <v>515</v>
      </c>
      <c r="B624" s="81" t="str">
        <f t="shared" si="1"/>
        <v>Kab Gresik</v>
      </c>
      <c r="C624" s="81" t="str">
        <f t="array" ref="C624">XLOOKUP(B624,Reference!$A$2:$A$152,Reference!$B$2:$B$152)</f>
        <v>Jawa Timur</v>
      </c>
      <c r="D624" s="82" t="s">
        <v>1062</v>
      </c>
      <c r="E624" s="83">
        <v>45352.0</v>
      </c>
      <c r="F624" s="84" t="str">
        <f t="array" ref="F624">XLOOKUP(G624,Reference!$F:$F,Reference!$D:$D,"null")</f>
        <v>Pendidikan dan Kesehatan</v>
      </c>
      <c r="G624" s="85" t="s">
        <v>95</v>
      </c>
      <c r="H624" s="86">
        <v>101.76</v>
      </c>
      <c r="I624" s="86">
        <v>101.76</v>
      </c>
      <c r="J624" s="87">
        <f t="shared" si="2"/>
        <v>0</v>
      </c>
      <c r="K624" s="84" t="str">
        <f t="shared" si="3"/>
        <v>Stabil</v>
      </c>
      <c r="L624" s="84">
        <f t="shared" si="4"/>
        <v>0</v>
      </c>
      <c r="M624" s="88" t="str">
        <f t="shared" si="5"/>
        <v>Perubahan Normal</v>
      </c>
    </row>
    <row r="625" ht="18.75" customHeight="1">
      <c r="A625" s="80" t="s">
        <v>550</v>
      </c>
      <c r="B625" s="81" t="str">
        <f t="shared" si="1"/>
        <v>Kota Sukabumi</v>
      </c>
      <c r="C625" s="81" t="str">
        <f t="array" ref="C625">XLOOKUP(B625,Reference!$A$2:$A$152,Reference!$B$2:$B$152)</f>
        <v>Jawa Barat</v>
      </c>
      <c r="D625" s="82" t="s">
        <v>1063</v>
      </c>
      <c r="E625" s="83">
        <v>45352.0</v>
      </c>
      <c r="F625" s="84" t="str">
        <f t="array" ref="F625">XLOOKUP(G625,Reference!$F:$F,Reference!$D:$D,"null")</f>
        <v>Makanan dan Pakaian </v>
      </c>
      <c r="G625" s="85" t="s">
        <v>64</v>
      </c>
      <c r="H625" s="86">
        <v>105.51</v>
      </c>
      <c r="I625" s="86">
        <v>105.39</v>
      </c>
      <c r="J625" s="87">
        <f t="shared" si="2"/>
        <v>0.1138627953</v>
      </c>
      <c r="K625" s="84" t="str">
        <f t="shared" si="3"/>
        <v>Inflasi Normal</v>
      </c>
      <c r="L625" s="84">
        <f t="shared" si="4"/>
        <v>0.12</v>
      </c>
      <c r="M625" s="88" t="str">
        <f t="shared" si="5"/>
        <v>Perubahan Normal</v>
      </c>
    </row>
    <row r="626" ht="18.75" customHeight="1">
      <c r="A626" s="80" t="s">
        <v>324</v>
      </c>
      <c r="B626" s="81" t="str">
        <f t="shared" si="1"/>
        <v>Kab Nunukan</v>
      </c>
      <c r="C626" s="81" t="str">
        <f t="array" ref="C626">XLOOKUP(B626,Reference!$A$2:$A$152,Reference!$B$2:$B$152)</f>
        <v>Kalimantan Utara</v>
      </c>
      <c r="D626" s="82" t="s">
        <v>1064</v>
      </c>
      <c r="E626" s="83">
        <v>45352.0</v>
      </c>
      <c r="F626" s="84" t="str">
        <f t="array" ref="F626">XLOOKUP(G626,Reference!$F:$F,Reference!$D:$D,"null")</f>
        <v>Pendidikan dan Kesehatan</v>
      </c>
      <c r="G626" s="85" t="s">
        <v>98</v>
      </c>
      <c r="H626" s="86">
        <v>100.05</v>
      </c>
      <c r="I626" s="86">
        <v>101.39</v>
      </c>
      <c r="J626" s="87">
        <f t="shared" si="2"/>
        <v>-1.321629352</v>
      </c>
      <c r="K626" s="84" t="str">
        <f t="shared" si="3"/>
        <v>Deflasi</v>
      </c>
      <c r="L626" s="84">
        <f t="shared" si="4"/>
        <v>-1.34</v>
      </c>
      <c r="M626" s="88" t="str">
        <f t="shared" si="5"/>
        <v>Perubahan Normal</v>
      </c>
    </row>
    <row r="627" ht="18.75" customHeight="1">
      <c r="A627" s="80" t="s">
        <v>298</v>
      </c>
      <c r="B627" s="81" t="str">
        <f t="shared" si="1"/>
        <v>Kota Bekasi</v>
      </c>
      <c r="C627" s="81" t="str">
        <f t="array" ref="C627">XLOOKUP(B627,Reference!$A$2:$A$152,Reference!$B$2:$B$152)</f>
        <v>Jawa Barat</v>
      </c>
      <c r="D627" s="82" t="s">
        <v>1065</v>
      </c>
      <c r="E627" s="83">
        <v>45352.0</v>
      </c>
      <c r="F627" s="84" t="str">
        <f t="array" ref="F627">XLOOKUP(G627,Reference!$F:$F,Reference!$D:$D,"null")</f>
        <v>Rumah Tangga</v>
      </c>
      <c r="G627" s="85" t="s">
        <v>84</v>
      </c>
      <c r="H627" s="86">
        <v>100.93</v>
      </c>
      <c r="I627" s="86">
        <v>101.08</v>
      </c>
      <c r="J627" s="87">
        <f t="shared" si="2"/>
        <v>-0.1483973091</v>
      </c>
      <c r="K627" s="84" t="str">
        <f t="shared" si="3"/>
        <v>Deflasi</v>
      </c>
      <c r="L627" s="84">
        <f t="shared" si="4"/>
        <v>-0.15</v>
      </c>
      <c r="M627" s="88" t="str">
        <f t="shared" si="5"/>
        <v>Perubahan Normal</v>
      </c>
    </row>
    <row r="628" ht="18.75" customHeight="1">
      <c r="A628" s="80" t="s">
        <v>310</v>
      </c>
      <c r="B628" s="81" t="str">
        <f t="shared" si="1"/>
        <v>Kab Kampar</v>
      </c>
      <c r="C628" s="81" t="str">
        <f t="array" ref="C628">XLOOKUP(B628,Reference!$A$2:$A$152,Reference!$B$2:$B$152)</f>
        <v>Riau</v>
      </c>
      <c r="D628" s="82" t="s">
        <v>1066</v>
      </c>
      <c r="E628" s="83">
        <v>45352.0</v>
      </c>
      <c r="F628" s="84" t="str">
        <f t="array" ref="F628">XLOOKUP(G628,Reference!$F:$F,Reference!$D:$D,"null")</f>
        <v>Rumah Tangga</v>
      </c>
      <c r="G628" s="85" t="s">
        <v>80</v>
      </c>
      <c r="H628" s="86">
        <v>100.0</v>
      </c>
      <c r="I628" s="86">
        <v>100.0</v>
      </c>
      <c r="J628" s="87">
        <f t="shared" si="2"/>
        <v>0</v>
      </c>
      <c r="K628" s="84" t="str">
        <f t="shared" si="3"/>
        <v>Stabil</v>
      </c>
      <c r="L628" s="84">
        <f t="shared" si="4"/>
        <v>0</v>
      </c>
      <c r="M628" s="88" t="str">
        <f t="shared" si="5"/>
        <v>Perubahan Normal</v>
      </c>
    </row>
    <row r="629" ht="18.75" customHeight="1">
      <c r="A629" s="80" t="s">
        <v>460</v>
      </c>
      <c r="B629" s="81" t="str">
        <f t="shared" si="1"/>
        <v>Kab Kayong Utara</v>
      </c>
      <c r="C629" s="81" t="str">
        <f t="array" ref="C629">XLOOKUP(B629,Reference!$A$2:$A$152,Reference!$B$2:$B$152)</f>
        <v>Kalimantan Barat</v>
      </c>
      <c r="D629" s="82" t="s">
        <v>1067</v>
      </c>
      <c r="E629" s="83">
        <v>45323.0</v>
      </c>
      <c r="F629" s="84" t="str">
        <f t="array" ref="F629">XLOOKUP(G629,Reference!$F:$F,Reference!$D:$D,"null")</f>
        <v>Makanan dan Pakaian </v>
      </c>
      <c r="G629" s="85" t="s">
        <v>48</v>
      </c>
      <c r="H629" s="86">
        <v>105.01</v>
      </c>
      <c r="I629" s="86">
        <v>103.96</v>
      </c>
      <c r="J629" s="87">
        <f t="shared" si="2"/>
        <v>1.010003848</v>
      </c>
      <c r="K629" s="84" t="str">
        <f t="shared" si="3"/>
        <v>Inflasi Tinggi</v>
      </c>
      <c r="L629" s="84">
        <f t="shared" si="4"/>
        <v>1.05</v>
      </c>
      <c r="M629" s="88" t="str">
        <f t="shared" si="5"/>
        <v>Akselerasi Persentase</v>
      </c>
    </row>
    <row r="630" ht="18.75" customHeight="1">
      <c r="A630" s="80" t="s">
        <v>663</v>
      </c>
      <c r="B630" s="81" t="str">
        <f t="shared" si="1"/>
        <v>Kota Serang</v>
      </c>
      <c r="C630" s="81" t="str">
        <f t="array" ref="C630">XLOOKUP(B630,Reference!$A$2:$A$152,Reference!$B$2:$B$152)</f>
        <v>Banten</v>
      </c>
      <c r="D630" s="82" t="s">
        <v>1068</v>
      </c>
      <c r="E630" s="83">
        <v>45352.0</v>
      </c>
      <c r="F630" s="84" t="str">
        <f t="array" ref="F630">XLOOKUP(G630,Reference!$F:$F,Reference!$D:$D,"null")</f>
        <v>Pendidikan dan Kesehatan</v>
      </c>
      <c r="G630" s="85" t="s">
        <v>95</v>
      </c>
      <c r="H630" s="86">
        <v>102.68</v>
      </c>
      <c r="I630" s="86">
        <v>102.65</v>
      </c>
      <c r="J630" s="87">
        <f t="shared" si="2"/>
        <v>0.02922552362</v>
      </c>
      <c r="K630" s="84" t="str">
        <f t="shared" si="3"/>
        <v>Inflasi Normal</v>
      </c>
      <c r="L630" s="84">
        <f t="shared" si="4"/>
        <v>0.03</v>
      </c>
      <c r="M630" s="88" t="str">
        <f t="shared" si="5"/>
        <v>Perubahan Normal</v>
      </c>
    </row>
    <row r="631" ht="18.75" customHeight="1">
      <c r="A631" s="80" t="s">
        <v>353</v>
      </c>
      <c r="B631" s="81" t="str">
        <f t="shared" si="1"/>
        <v>Kota Bau Bau</v>
      </c>
      <c r="C631" s="81" t="str">
        <f t="array" ref="C631">XLOOKUP(B631,Reference!$A$2:$A$152,Reference!$B$2:$B$152)</f>
        <v>Sulawesi Tenggara</v>
      </c>
      <c r="D631" s="82" t="s">
        <v>1069</v>
      </c>
      <c r="E631" s="83">
        <v>45352.0</v>
      </c>
      <c r="F631" s="84" t="str">
        <f t="array" ref="F631">XLOOKUP(G631,Reference!$F:$F,Reference!$D:$D,"null")</f>
        <v>Rumah Tangga</v>
      </c>
      <c r="G631" s="85" t="s">
        <v>89</v>
      </c>
      <c r="H631" s="86">
        <v>103.82</v>
      </c>
      <c r="I631" s="86">
        <v>103.44</v>
      </c>
      <c r="J631" s="87">
        <f t="shared" si="2"/>
        <v>0.3673627224</v>
      </c>
      <c r="K631" s="84" t="str">
        <f t="shared" si="3"/>
        <v>Inflasi Normal</v>
      </c>
      <c r="L631" s="84">
        <f t="shared" si="4"/>
        <v>0.38</v>
      </c>
      <c r="M631" s="88" t="str">
        <f t="shared" si="5"/>
        <v>Perubahan Normal</v>
      </c>
    </row>
    <row r="632" ht="18.75" customHeight="1">
      <c r="A632" s="80" t="s">
        <v>466</v>
      </c>
      <c r="B632" s="81" t="str">
        <f t="shared" si="1"/>
        <v>Kota Surabaya</v>
      </c>
      <c r="C632" s="81" t="str">
        <f t="array" ref="C632">XLOOKUP(B632,Reference!$A$2:$A$152,Reference!$B$2:$B$152)</f>
        <v>Jawa Timur</v>
      </c>
      <c r="D632" s="82" t="s">
        <v>1070</v>
      </c>
      <c r="E632" s="83">
        <v>45352.0</v>
      </c>
      <c r="F632" s="84" t="str">
        <f t="array" ref="F632">XLOOKUP(G632,Reference!$F:$F,Reference!$D:$D,"null")</f>
        <v>Makanan dan Pakaian </v>
      </c>
      <c r="G632" s="85" t="s">
        <v>72</v>
      </c>
      <c r="H632" s="86">
        <v>106.55</v>
      </c>
      <c r="I632" s="86">
        <v>106.34</v>
      </c>
      <c r="J632" s="87">
        <f t="shared" si="2"/>
        <v>0.1974797818</v>
      </c>
      <c r="K632" s="84" t="str">
        <f t="shared" si="3"/>
        <v>Inflasi Normal</v>
      </c>
      <c r="L632" s="84">
        <f t="shared" si="4"/>
        <v>0.21</v>
      </c>
      <c r="M632" s="88" t="str">
        <f t="shared" si="5"/>
        <v>Perubahan Normal</v>
      </c>
    </row>
    <row r="633" ht="18.75" customHeight="1">
      <c r="A633" s="80" t="s">
        <v>731</v>
      </c>
      <c r="B633" s="81" t="str">
        <f t="shared" si="1"/>
        <v>Kab Hulu Sungai Tengah</v>
      </c>
      <c r="C633" s="81" t="str">
        <f t="array" ref="C633">XLOOKUP(B633,Reference!$A$2:$A$152,Reference!$B$2:$B$152)</f>
        <v>Kalimantan Selatan</v>
      </c>
      <c r="D633" s="82" t="s">
        <v>1071</v>
      </c>
      <c r="E633" s="83">
        <v>45352.0</v>
      </c>
      <c r="F633" s="84" t="str">
        <f t="array" ref="F633">XLOOKUP(G633,Reference!$F:$F,Reference!$D:$D,"null")</f>
        <v>Rumah Tangga</v>
      </c>
      <c r="G633" s="85" t="s">
        <v>84</v>
      </c>
      <c r="H633" s="86">
        <v>99.92</v>
      </c>
      <c r="I633" s="86">
        <v>99.68</v>
      </c>
      <c r="J633" s="87">
        <f t="shared" si="2"/>
        <v>0.2407704655</v>
      </c>
      <c r="K633" s="84" t="str">
        <f t="shared" si="3"/>
        <v>Inflasi Normal</v>
      </c>
      <c r="L633" s="84">
        <f t="shared" si="4"/>
        <v>0.24</v>
      </c>
      <c r="M633" s="88" t="str">
        <f t="shared" si="5"/>
        <v>Perubahan Normal</v>
      </c>
    </row>
    <row r="634" ht="18.75" customHeight="1">
      <c r="A634" s="80" t="s">
        <v>1031</v>
      </c>
      <c r="B634" s="81" t="str">
        <f t="shared" si="1"/>
        <v>Kab Majene</v>
      </c>
      <c r="C634" s="81" t="str">
        <f t="array" ref="C634">XLOOKUP(B634,Reference!$A$2:$A$152,Reference!$B$2:$B$152)</f>
        <v>Sulawesi Barat</v>
      </c>
      <c r="D634" s="82" t="s">
        <v>1072</v>
      </c>
      <c r="E634" s="83">
        <v>45323.0</v>
      </c>
      <c r="F634" s="84" t="str">
        <f t="array" ref="F634">XLOOKUP(G634,Reference!$F:$F,Reference!$D:$D,"null")</f>
        <v>Rumah Tangga</v>
      </c>
      <c r="G634" s="85" t="s">
        <v>80</v>
      </c>
      <c r="H634" s="86">
        <v>104.57</v>
      </c>
      <c r="I634" s="86">
        <v>104.57</v>
      </c>
      <c r="J634" s="87">
        <f t="shared" si="2"/>
        <v>0</v>
      </c>
      <c r="K634" s="84" t="str">
        <f t="shared" si="3"/>
        <v>Stabil</v>
      </c>
      <c r="L634" s="84">
        <f t="shared" si="4"/>
        <v>0</v>
      </c>
      <c r="M634" s="88" t="str">
        <f t="shared" si="5"/>
        <v>Perubahan Normal</v>
      </c>
    </row>
    <row r="635" ht="18.75" customHeight="1">
      <c r="A635" s="80" t="s">
        <v>399</v>
      </c>
      <c r="B635" s="81" t="str">
        <f t="shared" si="1"/>
        <v>Sampit</v>
      </c>
      <c r="C635" s="81" t="str">
        <f t="array" ref="C635">XLOOKUP(B635,Reference!$A$2:$A$152,Reference!$B$2:$B$152)</f>
        <v>Kalimantan Tengah</v>
      </c>
      <c r="D635" s="82" t="s">
        <v>1073</v>
      </c>
      <c r="E635" s="83">
        <v>45352.0</v>
      </c>
      <c r="F635" s="84" t="str">
        <f t="array" ref="F635">XLOOKUP(G635,Reference!$F:$F,Reference!$D:$D,"null")</f>
        <v>Makanan dan Pakaian </v>
      </c>
      <c r="G635" s="85" t="s">
        <v>64</v>
      </c>
      <c r="H635" s="86">
        <v>101.34</v>
      </c>
      <c r="I635" s="86">
        <v>101.34</v>
      </c>
      <c r="J635" s="87">
        <f t="shared" si="2"/>
        <v>0</v>
      </c>
      <c r="K635" s="84" t="str">
        <f t="shared" si="3"/>
        <v>Stabil</v>
      </c>
      <c r="L635" s="84">
        <f t="shared" si="4"/>
        <v>0</v>
      </c>
      <c r="M635" s="88" t="str">
        <f t="shared" si="5"/>
        <v>Perubahan Normal</v>
      </c>
    </row>
    <row r="636" ht="18.75" customHeight="1">
      <c r="A636" s="80" t="s">
        <v>740</v>
      </c>
      <c r="B636" s="81" t="str">
        <f t="shared" si="1"/>
        <v>Kota Gunungsitoli</v>
      </c>
      <c r="C636" s="81" t="str">
        <f t="array" ref="C636">XLOOKUP(B636,Reference!$A$2:$A$152,Reference!$B$2:$B$152)</f>
        <v>Sumatera Utara</v>
      </c>
      <c r="D636" s="82" t="s">
        <v>1074</v>
      </c>
      <c r="E636" s="83">
        <v>45352.0</v>
      </c>
      <c r="F636" s="84" t="str">
        <f t="array" ref="F636">XLOOKUP(G636,Reference!$F:$F,Reference!$D:$D,"null")</f>
        <v>Rumah Tangga</v>
      </c>
      <c r="G636" s="85" t="s">
        <v>80</v>
      </c>
      <c r="H636" s="86">
        <v>102.22</v>
      </c>
      <c r="I636" s="86">
        <v>102.22</v>
      </c>
      <c r="J636" s="87">
        <f t="shared" si="2"/>
        <v>0</v>
      </c>
      <c r="K636" s="84" t="str">
        <f t="shared" si="3"/>
        <v>Stabil</v>
      </c>
      <c r="L636" s="84">
        <f t="shared" si="4"/>
        <v>0</v>
      </c>
      <c r="M636" s="88" t="str">
        <f t="shared" si="5"/>
        <v>Perubahan Normal</v>
      </c>
    </row>
    <row r="637" ht="18.75" customHeight="1">
      <c r="A637" s="80" t="s">
        <v>965</v>
      </c>
      <c r="B637" s="81" t="str">
        <f t="shared" si="1"/>
        <v>Kab Konawe</v>
      </c>
      <c r="C637" s="81" t="str">
        <f t="array" ref="C637">XLOOKUP(B637,Reference!$A$2:$A$152,Reference!$B$2:$B$152)</f>
        <v>Sulawesi Tenggara</v>
      </c>
      <c r="D637" s="82" t="s">
        <v>1075</v>
      </c>
      <c r="E637" s="83">
        <v>45352.0</v>
      </c>
      <c r="F637" s="84" t="str">
        <f t="array" ref="F637">XLOOKUP(G637,Reference!$F:$F,Reference!$D:$D,"null")</f>
        <v>Rumah Tangga</v>
      </c>
      <c r="G637" s="85" t="s">
        <v>89</v>
      </c>
      <c r="H637" s="86">
        <v>104.95</v>
      </c>
      <c r="I637" s="86">
        <v>104.95</v>
      </c>
      <c r="J637" s="87">
        <f t="shared" si="2"/>
        <v>0</v>
      </c>
      <c r="K637" s="84" t="str">
        <f t="shared" si="3"/>
        <v>Stabil</v>
      </c>
      <c r="L637" s="84">
        <f t="shared" si="4"/>
        <v>0</v>
      </c>
      <c r="M637" s="88" t="str">
        <f t="shared" si="5"/>
        <v>Perubahan Normal</v>
      </c>
    </row>
    <row r="638" ht="18.75" customHeight="1">
      <c r="A638" s="80" t="s">
        <v>300</v>
      </c>
      <c r="B638" s="81" t="str">
        <f t="shared" si="1"/>
        <v>Sintang</v>
      </c>
      <c r="C638" s="81" t="str">
        <f t="array" ref="C638">XLOOKUP(B638,Reference!$A$2:$A$152,Reference!$B$2:$B$152)</f>
        <v>Kalimantan Barat</v>
      </c>
      <c r="D638" s="82" t="s">
        <v>1076</v>
      </c>
      <c r="E638" s="83">
        <v>45352.0</v>
      </c>
      <c r="F638" s="84" t="str">
        <f t="array" ref="F638">XLOOKUP(G638,Reference!$F:$F,Reference!$D:$D,"null")</f>
        <v>Rekreasi dan Kendaraan</v>
      </c>
      <c r="G638" s="85" t="s">
        <v>102</v>
      </c>
      <c r="H638" s="86">
        <v>103.21</v>
      </c>
      <c r="I638" s="86">
        <v>103.21</v>
      </c>
      <c r="J638" s="87">
        <f t="shared" si="2"/>
        <v>0</v>
      </c>
      <c r="K638" s="84" t="str">
        <f t="shared" si="3"/>
        <v>Stabil</v>
      </c>
      <c r="L638" s="84">
        <f t="shared" si="4"/>
        <v>0</v>
      </c>
      <c r="M638" s="88" t="str">
        <f t="shared" si="5"/>
        <v>Perubahan Normal</v>
      </c>
    </row>
    <row r="639" ht="18.75" customHeight="1">
      <c r="A639" s="80" t="s">
        <v>762</v>
      </c>
      <c r="B639" s="81" t="str">
        <f t="shared" si="1"/>
        <v>Kota Pangkal Pinang</v>
      </c>
      <c r="C639" s="81" t="str">
        <f t="array" ref="C639">XLOOKUP(B639,Reference!$A$2:$A$152,Reference!$B$2:$B$152)</f>
        <v>Kepulauan Bangka Belitung</v>
      </c>
      <c r="D639" s="82" t="s">
        <v>1077</v>
      </c>
      <c r="E639" s="83">
        <v>45323.0</v>
      </c>
      <c r="F639" s="84" t="str">
        <f t="array" ref="F639">XLOOKUP(G639,Reference!$F:$F,Reference!$D:$D,"null")</f>
        <v>Rumah Tangga</v>
      </c>
      <c r="G639" s="85" t="s">
        <v>80</v>
      </c>
      <c r="H639" s="86">
        <v>100.93</v>
      </c>
      <c r="I639" s="86">
        <v>100.93</v>
      </c>
      <c r="J639" s="87">
        <f t="shared" si="2"/>
        <v>0</v>
      </c>
      <c r="K639" s="84" t="str">
        <f t="shared" si="3"/>
        <v>Stabil</v>
      </c>
      <c r="L639" s="84">
        <f t="shared" si="4"/>
        <v>0</v>
      </c>
      <c r="M639" s="88" t="str">
        <f t="shared" si="5"/>
        <v>Perubahan Normal</v>
      </c>
    </row>
    <row r="640" ht="18.75" customHeight="1">
      <c r="A640" s="80" t="s">
        <v>360</v>
      </c>
      <c r="B640" s="81" t="str">
        <f t="shared" si="1"/>
        <v>Kab Wonosobo</v>
      </c>
      <c r="C640" s="81" t="str">
        <f t="array" ref="C640">XLOOKUP(B640,Reference!$A$2:$A$152,Reference!$B$2:$B$152)</f>
        <v>Jawa Tengah</v>
      </c>
      <c r="D640" s="82" t="s">
        <v>1078</v>
      </c>
      <c r="E640" s="83">
        <v>45323.0</v>
      </c>
      <c r="F640" s="84" t="str">
        <f t="array" ref="F640">XLOOKUP(G640,Reference!$F:$F,Reference!$D:$D,"null")</f>
        <v>Rumah Tangga</v>
      </c>
      <c r="G640" s="85" t="s">
        <v>89</v>
      </c>
      <c r="H640" s="86">
        <v>101.86</v>
      </c>
      <c r="I640" s="86">
        <v>101.86</v>
      </c>
      <c r="J640" s="87">
        <f t="shared" si="2"/>
        <v>0</v>
      </c>
      <c r="K640" s="84" t="str">
        <f t="shared" si="3"/>
        <v>Stabil</v>
      </c>
      <c r="L640" s="84">
        <f t="shared" si="4"/>
        <v>0</v>
      </c>
      <c r="M640" s="88" t="str">
        <f t="shared" si="5"/>
        <v>Perubahan Normal</v>
      </c>
    </row>
    <row r="641" ht="18.75" customHeight="1">
      <c r="A641" s="80" t="s">
        <v>672</v>
      </c>
      <c r="B641" s="81" t="str">
        <f t="shared" si="1"/>
        <v>Kab Ogan Komering Ilir</v>
      </c>
      <c r="C641" s="81" t="str">
        <f t="array" ref="C641">XLOOKUP(B641,Reference!$A$2:$A$152,Reference!$B$2:$B$152)</f>
        <v>Sumatera Selatan</v>
      </c>
      <c r="D641" s="82" t="s">
        <v>1079</v>
      </c>
      <c r="E641" s="83">
        <v>45352.0</v>
      </c>
      <c r="F641" s="84" t="str">
        <f t="array" ref="F641">XLOOKUP(G641,Reference!$F:$F,Reference!$D:$D,"null")</f>
        <v>Makanan dan Pakaian </v>
      </c>
      <c r="G641" s="85" t="s">
        <v>48</v>
      </c>
      <c r="H641" s="86">
        <v>109.7</v>
      </c>
      <c r="I641" s="86">
        <v>110.46</v>
      </c>
      <c r="J641" s="87">
        <f t="shared" si="2"/>
        <v>-0.6880318667</v>
      </c>
      <c r="K641" s="84" t="str">
        <f t="shared" si="3"/>
        <v>Deflasi</v>
      </c>
      <c r="L641" s="84">
        <f t="shared" si="4"/>
        <v>-0.76</v>
      </c>
      <c r="M641" s="88" t="str">
        <f t="shared" si="5"/>
        <v>Perubahan Normal</v>
      </c>
    </row>
    <row r="642" ht="18.75" customHeight="1">
      <c r="A642" s="80" t="s">
        <v>473</v>
      </c>
      <c r="B642" s="81" t="str">
        <f t="shared" si="1"/>
        <v>Kab Wajo</v>
      </c>
      <c r="C642" s="81" t="str">
        <f t="array" ref="C642">XLOOKUP(B642,Reference!$A$2:$A$152,Reference!$B$2:$B$152)</f>
        <v>Sulawesi Selatan</v>
      </c>
      <c r="D642" s="82" t="s">
        <v>1080</v>
      </c>
      <c r="E642" s="83">
        <v>45352.0</v>
      </c>
      <c r="F642" s="84" t="str">
        <f t="array" ref="F642">XLOOKUP(G642,Reference!$F:$F,Reference!$D:$D,"null")</f>
        <v>Makanan dan Pakaian </v>
      </c>
      <c r="G642" s="85" t="s">
        <v>48</v>
      </c>
      <c r="H642" s="86">
        <v>103.04</v>
      </c>
      <c r="I642" s="86">
        <v>103.64</v>
      </c>
      <c r="J642" s="87">
        <f t="shared" si="2"/>
        <v>-0.5789270552</v>
      </c>
      <c r="K642" s="84" t="str">
        <f t="shared" si="3"/>
        <v>Deflasi</v>
      </c>
      <c r="L642" s="84">
        <f t="shared" si="4"/>
        <v>-0.6</v>
      </c>
      <c r="M642" s="88" t="str">
        <f t="shared" si="5"/>
        <v>Perubahan Normal</v>
      </c>
    </row>
    <row r="643" ht="18.75" customHeight="1">
      <c r="A643" s="80" t="s">
        <v>468</v>
      </c>
      <c r="B643" s="81" t="str">
        <f t="shared" si="1"/>
        <v>Timika</v>
      </c>
      <c r="C643" s="81" t="str">
        <f t="array" ref="C643">XLOOKUP(B643,Reference!$A$2:$A$152,Reference!$B$2:$B$152)</f>
        <v>Papua</v>
      </c>
      <c r="D643" s="82" t="s">
        <v>1081</v>
      </c>
      <c r="E643" s="83">
        <v>45352.0</v>
      </c>
      <c r="F643" s="84" t="str">
        <f t="array" ref="F643">XLOOKUP(G643,Reference!$F:$F,Reference!$D:$D,"null")</f>
        <v>Pendidikan dan Kesehatan</v>
      </c>
      <c r="G643" s="85" t="s">
        <v>95</v>
      </c>
      <c r="H643" s="86">
        <v>101.34</v>
      </c>
      <c r="I643" s="86">
        <v>101.34</v>
      </c>
      <c r="J643" s="87">
        <f t="shared" si="2"/>
        <v>0</v>
      </c>
      <c r="K643" s="84" t="str">
        <f t="shared" si="3"/>
        <v>Stabil</v>
      </c>
      <c r="L643" s="84">
        <f t="shared" si="4"/>
        <v>0</v>
      </c>
      <c r="M643" s="88" t="str">
        <f t="shared" si="5"/>
        <v>Perubahan Normal</v>
      </c>
    </row>
    <row r="644" ht="18.75" customHeight="1">
      <c r="A644" s="80" t="s">
        <v>699</v>
      </c>
      <c r="B644" s="81" t="str">
        <f t="shared" si="1"/>
        <v>Mamuju</v>
      </c>
      <c r="C644" s="81" t="str">
        <f t="array" ref="C644">XLOOKUP(B644,Reference!$A$2:$A$152,Reference!$B$2:$B$152)</f>
        <v>Sulawesi Barat</v>
      </c>
      <c r="D644" s="82" t="s">
        <v>1082</v>
      </c>
      <c r="E644" s="83">
        <v>45323.0</v>
      </c>
      <c r="F644" s="84" t="str">
        <f t="array" ref="F644">XLOOKUP(G644,Reference!$F:$F,Reference!$D:$D,"null")</f>
        <v>Pendidikan dan Kesehatan</v>
      </c>
      <c r="G644" s="85" t="s">
        <v>98</v>
      </c>
      <c r="H644" s="86">
        <v>102.87</v>
      </c>
      <c r="I644" s="86">
        <v>106.38</v>
      </c>
      <c r="J644" s="87">
        <f t="shared" si="2"/>
        <v>-3.299492386</v>
      </c>
      <c r="K644" s="84" t="str">
        <f t="shared" si="3"/>
        <v>Deflasi</v>
      </c>
      <c r="L644" s="84">
        <f t="shared" si="4"/>
        <v>-3.51</v>
      </c>
      <c r="M644" s="88" t="str">
        <f t="shared" si="5"/>
        <v>Perubahan Normal</v>
      </c>
    </row>
    <row r="645" ht="18.75" customHeight="1">
      <c r="A645" s="80" t="s">
        <v>364</v>
      </c>
      <c r="B645" s="81" t="str">
        <f t="shared" si="1"/>
        <v>Kab Tanah Laut</v>
      </c>
      <c r="C645" s="81" t="str">
        <f t="array" ref="C645">XLOOKUP(B645,Reference!$A$2:$A$152,Reference!$B$2:$B$152)</f>
        <v>Kalimantan Selatan</v>
      </c>
      <c r="D645" s="82" t="s">
        <v>1083</v>
      </c>
      <c r="E645" s="83">
        <v>45352.0</v>
      </c>
      <c r="F645" s="84" t="str">
        <f t="array" ref="F645">XLOOKUP(G645,Reference!$F:$F,Reference!$D:$D,"null")</f>
        <v>Pendidikan dan Kesehatan</v>
      </c>
      <c r="G645" s="85" t="s">
        <v>95</v>
      </c>
      <c r="H645" s="86">
        <v>100.0</v>
      </c>
      <c r="I645" s="86">
        <v>100.0</v>
      </c>
      <c r="J645" s="87">
        <f t="shared" si="2"/>
        <v>0</v>
      </c>
      <c r="K645" s="84" t="str">
        <f t="shared" si="3"/>
        <v>Stabil</v>
      </c>
      <c r="L645" s="84">
        <f t="shared" si="4"/>
        <v>0</v>
      </c>
      <c r="M645" s="88" t="str">
        <f t="shared" si="5"/>
        <v>Perubahan Normal</v>
      </c>
    </row>
    <row r="646" ht="18.75" customHeight="1">
      <c r="A646" s="80" t="s">
        <v>367</v>
      </c>
      <c r="B646" s="81" t="str">
        <f t="shared" si="1"/>
        <v>Kota Jambi</v>
      </c>
      <c r="C646" s="81" t="str">
        <f t="array" ref="C646">XLOOKUP(B646,Reference!$A$2:$A$152,Reference!$B$2:$B$152)</f>
        <v>Jambi</v>
      </c>
      <c r="D646" s="82" t="s">
        <v>1084</v>
      </c>
      <c r="E646" s="83">
        <v>45323.0</v>
      </c>
      <c r="F646" s="84" t="str">
        <f t="array" ref="F646">XLOOKUP(G646,Reference!$F:$F,Reference!$D:$D,"null")</f>
        <v>Rumah Tangga</v>
      </c>
      <c r="G646" s="85" t="s">
        <v>80</v>
      </c>
      <c r="H646" s="86">
        <v>100.4</v>
      </c>
      <c r="I646" s="86">
        <v>100.4</v>
      </c>
      <c r="J646" s="87">
        <f t="shared" si="2"/>
        <v>0</v>
      </c>
      <c r="K646" s="84" t="str">
        <f t="shared" si="3"/>
        <v>Stabil</v>
      </c>
      <c r="L646" s="84">
        <f t="shared" si="4"/>
        <v>0</v>
      </c>
      <c r="M646" s="88" t="str">
        <f t="shared" si="5"/>
        <v>Perubahan Normal</v>
      </c>
    </row>
    <row r="647" ht="18.75" customHeight="1">
      <c r="A647" s="80" t="s">
        <v>351</v>
      </c>
      <c r="B647" s="81" t="str">
        <f t="shared" si="1"/>
        <v>Kota Balikpapan</v>
      </c>
      <c r="C647" s="81" t="str">
        <f t="array" ref="C647">XLOOKUP(B647,Reference!$A$2:$A$152,Reference!$B$2:$B$152)</f>
        <v>Kalimantan Timur</v>
      </c>
      <c r="D647" s="82" t="s">
        <v>1085</v>
      </c>
      <c r="E647" s="83">
        <v>45352.0</v>
      </c>
      <c r="F647" s="84" t="str">
        <f t="array" ref="F647">XLOOKUP(G647,Reference!$F:$F,Reference!$D:$D,"null")</f>
        <v>Makanan dan Pakaian </v>
      </c>
      <c r="G647" s="85" t="s">
        <v>64</v>
      </c>
      <c r="H647" s="86">
        <v>104.16</v>
      </c>
      <c r="I647" s="86">
        <v>103.89</v>
      </c>
      <c r="J647" s="87">
        <f t="shared" si="2"/>
        <v>0.2598902686</v>
      </c>
      <c r="K647" s="84" t="str">
        <f t="shared" si="3"/>
        <v>Inflasi Normal</v>
      </c>
      <c r="L647" s="84">
        <f t="shared" si="4"/>
        <v>0.27</v>
      </c>
      <c r="M647" s="88" t="str">
        <f t="shared" si="5"/>
        <v>Perubahan Normal</v>
      </c>
    </row>
    <row r="648" ht="18.75" customHeight="1">
      <c r="A648" s="80" t="s">
        <v>550</v>
      </c>
      <c r="B648" s="81" t="str">
        <f t="shared" si="1"/>
        <v>Kota Sukabumi</v>
      </c>
      <c r="C648" s="81" t="str">
        <f t="array" ref="C648">XLOOKUP(B648,Reference!$A$2:$A$152,Reference!$B$2:$B$152)</f>
        <v>Jawa Barat</v>
      </c>
      <c r="D648" s="82" t="s">
        <v>1086</v>
      </c>
      <c r="E648" s="83">
        <v>45323.0</v>
      </c>
      <c r="F648" s="84" t="str">
        <f t="array" ref="F648">XLOOKUP(G648,Reference!$F:$F,Reference!$D:$D,"null")</f>
        <v>Makanan dan Pakaian </v>
      </c>
      <c r="G648" s="85" t="s">
        <v>48</v>
      </c>
      <c r="H648" s="86">
        <v>109.67</v>
      </c>
      <c r="I648" s="86">
        <v>108.29</v>
      </c>
      <c r="J648" s="87">
        <f t="shared" si="2"/>
        <v>1.274355896</v>
      </c>
      <c r="K648" s="84" t="str">
        <f t="shared" si="3"/>
        <v>Inflasi Tinggi</v>
      </c>
      <c r="L648" s="84">
        <f t="shared" si="4"/>
        <v>1.38</v>
      </c>
      <c r="M648" s="88" t="str">
        <f t="shared" si="5"/>
        <v>Akselerasi Persentase</v>
      </c>
    </row>
    <row r="649" ht="18.75" customHeight="1">
      <c r="A649" s="80" t="s">
        <v>485</v>
      </c>
      <c r="B649" s="81" t="str">
        <f t="shared" si="1"/>
        <v>Banyuwangi</v>
      </c>
      <c r="C649" s="81" t="str">
        <f t="array" ref="C649">XLOOKUP(B649,Reference!$A$2:$A$152,Reference!$B$2:$B$152)</f>
        <v>Jawa Timur</v>
      </c>
      <c r="D649" s="82" t="s">
        <v>1087</v>
      </c>
      <c r="E649" s="83">
        <v>45352.0</v>
      </c>
      <c r="F649" s="84" t="str">
        <f t="array" ref="F649">XLOOKUP(G649,Reference!$F:$F,Reference!$D:$D,"null")</f>
        <v>Pendidikan dan Kesehatan</v>
      </c>
      <c r="G649" s="89" t="s">
        <v>98</v>
      </c>
      <c r="H649" s="90">
        <v>107.16</v>
      </c>
      <c r="I649" s="90">
        <v>107.16</v>
      </c>
      <c r="J649" s="87">
        <f t="shared" si="2"/>
        <v>0</v>
      </c>
      <c r="K649" s="84" t="str">
        <f t="shared" si="3"/>
        <v>Stabil</v>
      </c>
      <c r="L649" s="91">
        <f t="shared" si="4"/>
        <v>0</v>
      </c>
      <c r="M649" s="88" t="str">
        <f t="shared" si="5"/>
        <v>Perubahan Normal</v>
      </c>
    </row>
    <row r="650" ht="18.75" customHeight="1">
      <c r="A650" s="80" t="s">
        <v>378</v>
      </c>
      <c r="B650" s="81" t="str">
        <f t="shared" si="1"/>
        <v>Kab Berau</v>
      </c>
      <c r="C650" s="81" t="str">
        <f t="array" ref="C650">XLOOKUP(B650,Reference!$A$2:$A$152,Reference!$B$2:$B$152)</f>
        <v>Kalimantan Timur</v>
      </c>
      <c r="D650" s="82" t="s">
        <v>1088</v>
      </c>
      <c r="E650" s="83">
        <v>45323.0</v>
      </c>
      <c r="F650" s="84" t="str">
        <f t="array" ref="F650">XLOOKUP(G650,Reference!$F:$F,Reference!$D:$D,"null")</f>
        <v>Rekreasi dan Kendaraan</v>
      </c>
      <c r="G650" s="85" t="s">
        <v>102</v>
      </c>
      <c r="H650" s="86">
        <v>104.93</v>
      </c>
      <c r="I650" s="86">
        <v>104.97</v>
      </c>
      <c r="J650" s="87">
        <f t="shared" si="2"/>
        <v>-0.03810612556</v>
      </c>
      <c r="K650" s="84" t="str">
        <f t="shared" si="3"/>
        <v>Deflasi</v>
      </c>
      <c r="L650" s="84">
        <f t="shared" si="4"/>
        <v>-0.04</v>
      </c>
      <c r="M650" s="88" t="str">
        <f t="shared" si="5"/>
        <v>Perubahan Normal</v>
      </c>
    </row>
    <row r="651" ht="18.75" customHeight="1">
      <c r="A651" s="80" t="s">
        <v>586</v>
      </c>
      <c r="B651" s="81" t="str">
        <f t="shared" si="1"/>
        <v>Kab Karimun</v>
      </c>
      <c r="C651" s="81" t="str">
        <f t="array" ref="C651">XLOOKUP(B651,Reference!$A$2:$A$152,Reference!$B$2:$B$152)</f>
        <v>Kepulauan Riau</v>
      </c>
      <c r="D651" s="82" t="s">
        <v>1089</v>
      </c>
      <c r="E651" s="83">
        <v>45352.0</v>
      </c>
      <c r="F651" s="84" t="str">
        <f t="array" ref="F651">XLOOKUP(G651,Reference!$F:$F,Reference!$D:$D,"null")</f>
        <v>Rumah Tangga</v>
      </c>
      <c r="G651" s="85" t="s">
        <v>89</v>
      </c>
      <c r="H651" s="86">
        <v>106.62</v>
      </c>
      <c r="I651" s="86">
        <v>106.62</v>
      </c>
      <c r="J651" s="87">
        <f t="shared" si="2"/>
        <v>0</v>
      </c>
      <c r="K651" s="84" t="str">
        <f t="shared" si="3"/>
        <v>Stabil</v>
      </c>
      <c r="L651" s="84">
        <f t="shared" si="4"/>
        <v>0</v>
      </c>
      <c r="M651" s="88" t="str">
        <f t="shared" si="5"/>
        <v>Perubahan Normal</v>
      </c>
    </row>
    <row r="652" ht="18.75" customHeight="1">
      <c r="A652" s="80" t="s">
        <v>492</v>
      </c>
      <c r="B652" s="81" t="str">
        <f t="shared" si="1"/>
        <v>Kota Cilegon</v>
      </c>
      <c r="C652" s="81" t="str">
        <f t="array" ref="C652">XLOOKUP(B652,Reference!$A$2:$A$152,Reference!$B$2:$B$152)</f>
        <v>Banten</v>
      </c>
      <c r="D652" s="82" t="s">
        <v>1090</v>
      </c>
      <c r="E652" s="83">
        <v>45352.0</v>
      </c>
      <c r="F652" s="84" t="str">
        <f t="array" ref="F652">XLOOKUP(G652,Reference!$F:$F,Reference!$D:$D,"null")</f>
        <v>Rekreasi dan Kendaraan</v>
      </c>
      <c r="G652" s="85" t="s">
        <v>102</v>
      </c>
      <c r="H652" s="86">
        <v>100.97</v>
      </c>
      <c r="I652" s="86">
        <v>100.97</v>
      </c>
      <c r="J652" s="87">
        <f t="shared" si="2"/>
        <v>0</v>
      </c>
      <c r="K652" s="84" t="str">
        <f t="shared" si="3"/>
        <v>Stabil</v>
      </c>
      <c r="L652" s="84">
        <f t="shared" si="4"/>
        <v>0</v>
      </c>
      <c r="M652" s="88" t="str">
        <f t="shared" si="5"/>
        <v>Perubahan Normal</v>
      </c>
    </row>
    <row r="653" ht="18.75" customHeight="1">
      <c r="A653" s="80" t="s">
        <v>387</v>
      </c>
      <c r="B653" s="81" t="str">
        <f t="shared" si="1"/>
        <v>Kota Semarang</v>
      </c>
      <c r="C653" s="81" t="str">
        <f t="array" ref="C653">XLOOKUP(B653,Reference!$A$2:$A$152,Reference!$B$2:$B$152)</f>
        <v>Jawa Tengah</v>
      </c>
      <c r="D653" s="82" t="s">
        <v>1091</v>
      </c>
      <c r="E653" s="83">
        <v>45323.0</v>
      </c>
      <c r="F653" s="84" t="str">
        <f t="array" ref="F653">XLOOKUP(G653,Reference!$F:$F,Reference!$D:$D,"null")</f>
        <v>Rumah Tangga</v>
      </c>
      <c r="G653" s="85" t="s">
        <v>89</v>
      </c>
      <c r="H653" s="86">
        <v>105.15</v>
      </c>
      <c r="I653" s="86">
        <v>105.1</v>
      </c>
      <c r="J653" s="87">
        <f t="shared" si="2"/>
        <v>0.0475737393</v>
      </c>
      <c r="K653" s="84" t="str">
        <f t="shared" si="3"/>
        <v>Inflasi Normal</v>
      </c>
      <c r="L653" s="84">
        <f t="shared" si="4"/>
        <v>0.05</v>
      </c>
      <c r="M653" s="88" t="str">
        <f t="shared" si="5"/>
        <v>Perubahan Normal</v>
      </c>
    </row>
    <row r="654" ht="18.75" customHeight="1">
      <c r="A654" s="80" t="s">
        <v>378</v>
      </c>
      <c r="B654" s="81" t="str">
        <f t="shared" si="1"/>
        <v>Kab Berau</v>
      </c>
      <c r="C654" s="81" t="str">
        <f t="array" ref="C654">XLOOKUP(B654,Reference!$A$2:$A$152,Reference!$B$2:$B$152)</f>
        <v>Kalimantan Timur</v>
      </c>
      <c r="D654" s="82" t="s">
        <v>1092</v>
      </c>
      <c r="E654" s="83">
        <v>45352.0</v>
      </c>
      <c r="F654" s="84" t="str">
        <f t="array" ref="F654">XLOOKUP(G654,Reference!$F:$F,Reference!$D:$D,"null")</f>
        <v>Pendidikan dan Kesehatan</v>
      </c>
      <c r="G654" s="85" t="s">
        <v>98</v>
      </c>
      <c r="H654" s="86">
        <v>101.36</v>
      </c>
      <c r="I654" s="86">
        <v>101.15</v>
      </c>
      <c r="J654" s="87">
        <f t="shared" si="2"/>
        <v>0.2076124567</v>
      </c>
      <c r="K654" s="84" t="str">
        <f t="shared" si="3"/>
        <v>Inflasi Normal</v>
      </c>
      <c r="L654" s="84">
        <f t="shared" si="4"/>
        <v>0.21</v>
      </c>
      <c r="M654" s="88" t="str">
        <f t="shared" si="5"/>
        <v>Perubahan Normal</v>
      </c>
    </row>
    <row r="655" ht="18.75" customHeight="1">
      <c r="A655" s="80" t="s">
        <v>558</v>
      </c>
      <c r="B655" s="81" t="str">
        <f t="shared" si="1"/>
        <v>Kab Kapuas</v>
      </c>
      <c r="C655" s="81" t="str">
        <f t="array" ref="C655">XLOOKUP(B655,Reference!$A$2:$A$152,Reference!$B$2:$B$152)</f>
        <v>Kalimantan Tengah</v>
      </c>
      <c r="D655" s="82" t="s">
        <v>1093</v>
      </c>
      <c r="E655" s="83">
        <v>45323.0</v>
      </c>
      <c r="F655" s="84" t="str">
        <f t="array" ref="F655">XLOOKUP(G655,Reference!$F:$F,Reference!$D:$D,"null")</f>
        <v>Makanan dan Pakaian </v>
      </c>
      <c r="G655" s="85" t="s">
        <v>64</v>
      </c>
      <c r="H655" s="86">
        <v>105.11</v>
      </c>
      <c r="I655" s="86">
        <v>105.11</v>
      </c>
      <c r="J655" s="87">
        <f t="shared" si="2"/>
        <v>0</v>
      </c>
      <c r="K655" s="84" t="str">
        <f t="shared" si="3"/>
        <v>Stabil</v>
      </c>
      <c r="L655" s="84">
        <f t="shared" si="4"/>
        <v>0</v>
      </c>
      <c r="M655" s="88" t="str">
        <f t="shared" si="5"/>
        <v>Perubahan Normal</v>
      </c>
    </row>
    <row r="656" ht="18.75" customHeight="1">
      <c r="A656" s="80" t="s">
        <v>294</v>
      </c>
      <c r="B656" s="81" t="str">
        <f t="shared" si="1"/>
        <v>Kab Labuhanbatu</v>
      </c>
      <c r="C656" s="81" t="str">
        <f t="array" ref="C656">XLOOKUP(B656,Reference!$A$2:$A$152,Reference!$B$2:$B$152)</f>
        <v>Sumatera Utara</v>
      </c>
      <c r="D656" s="82" t="s">
        <v>1094</v>
      </c>
      <c r="E656" s="83">
        <v>45323.0</v>
      </c>
      <c r="F656" s="84" t="str">
        <f t="array" ref="F656">XLOOKUP(G656,Reference!$F:$F,Reference!$D:$D,"null")</f>
        <v>Makanan dan Pakaian </v>
      </c>
      <c r="G656" s="89" t="s">
        <v>48</v>
      </c>
      <c r="H656" s="90">
        <v>108.28</v>
      </c>
      <c r="I656" s="90">
        <v>104.41</v>
      </c>
      <c r="J656" s="87">
        <f t="shared" si="2"/>
        <v>3.706541519</v>
      </c>
      <c r="K656" s="84" t="str">
        <f t="shared" si="3"/>
        <v>Inflasi Tinggi</v>
      </c>
      <c r="L656" s="91">
        <f t="shared" si="4"/>
        <v>3.87</v>
      </c>
      <c r="M656" s="88" t="str">
        <f t="shared" si="5"/>
        <v>Akselerasi Kuat</v>
      </c>
    </row>
    <row r="657" ht="18.75" customHeight="1">
      <c r="A657" s="80" t="s">
        <v>578</v>
      </c>
      <c r="B657" s="81" t="str">
        <f t="shared" si="1"/>
        <v>Kab Belitung Timur</v>
      </c>
      <c r="C657" s="81" t="str">
        <f t="array" ref="C657">XLOOKUP(B657,Reference!$A$2:$A$152,Reference!$B$2:$B$152)</f>
        <v>Kepulauan Bangka Belitung</v>
      </c>
      <c r="D657" s="82" t="s">
        <v>1095</v>
      </c>
      <c r="E657" s="83">
        <v>45323.0</v>
      </c>
      <c r="F657" s="84" t="str">
        <f t="array" ref="F657">XLOOKUP(G657,Reference!$F:$F,Reference!$D:$D,"null")</f>
        <v>Rekreasi dan Kendaraan</v>
      </c>
      <c r="G657" s="85" t="s">
        <v>105</v>
      </c>
      <c r="H657" s="86">
        <v>101.45</v>
      </c>
      <c r="I657" s="86">
        <v>101.45</v>
      </c>
      <c r="J657" s="87">
        <f t="shared" si="2"/>
        <v>0</v>
      </c>
      <c r="K657" s="84" t="str">
        <f t="shared" si="3"/>
        <v>Stabil</v>
      </c>
      <c r="L657" s="84">
        <f t="shared" si="4"/>
        <v>0</v>
      </c>
      <c r="M657" s="88" t="str">
        <f t="shared" si="5"/>
        <v>Perubahan Normal</v>
      </c>
    </row>
    <row r="658" ht="18.75" customHeight="1">
      <c r="A658" s="80" t="s">
        <v>965</v>
      </c>
      <c r="B658" s="81" t="str">
        <f t="shared" si="1"/>
        <v>Kab Konawe</v>
      </c>
      <c r="C658" s="81" t="str">
        <f t="array" ref="C658">XLOOKUP(B658,Reference!$A$2:$A$152,Reference!$B$2:$B$152)</f>
        <v>Sulawesi Tenggara</v>
      </c>
      <c r="D658" s="82" t="s">
        <v>1096</v>
      </c>
      <c r="E658" s="83">
        <v>45323.0</v>
      </c>
      <c r="F658" s="84" t="str">
        <f t="array" ref="F658">XLOOKUP(G658,Reference!$F:$F,Reference!$D:$D,"null")</f>
        <v>Makanan dan Pakaian </v>
      </c>
      <c r="G658" s="85" t="s">
        <v>56</v>
      </c>
      <c r="H658" s="86">
        <v>114.02</v>
      </c>
      <c r="I658" s="86">
        <v>114.02</v>
      </c>
      <c r="J658" s="87">
        <f t="shared" si="2"/>
        <v>0</v>
      </c>
      <c r="K658" s="84" t="str">
        <f t="shared" si="3"/>
        <v>Stabil</v>
      </c>
      <c r="L658" s="84">
        <f t="shared" si="4"/>
        <v>0</v>
      </c>
      <c r="M658" s="88" t="str">
        <f t="shared" si="5"/>
        <v>Perubahan Normal</v>
      </c>
    </row>
    <row r="659" ht="18.75" customHeight="1">
      <c r="A659" s="80" t="s">
        <v>458</v>
      </c>
      <c r="B659" s="81" t="str">
        <f t="shared" si="1"/>
        <v>Kota Dumai</v>
      </c>
      <c r="C659" s="81" t="str">
        <f t="array" ref="C659">XLOOKUP(B659,Reference!$A$2:$A$152,Reference!$B$2:$B$152)</f>
        <v>Riau</v>
      </c>
      <c r="D659" s="82" t="s">
        <v>1097</v>
      </c>
      <c r="E659" s="83">
        <v>45323.0</v>
      </c>
      <c r="F659" s="84" t="str">
        <f t="array" ref="F659">XLOOKUP(G659,Reference!$F:$F,Reference!$D:$D,"null")</f>
        <v>Makanan dan Pakaian </v>
      </c>
      <c r="G659" s="85" t="s">
        <v>56</v>
      </c>
      <c r="H659" s="86">
        <v>102.02</v>
      </c>
      <c r="I659" s="86">
        <v>101.8</v>
      </c>
      <c r="J659" s="87">
        <f t="shared" si="2"/>
        <v>0.2161100196</v>
      </c>
      <c r="K659" s="84" t="str">
        <f t="shared" si="3"/>
        <v>Inflasi Normal</v>
      </c>
      <c r="L659" s="84">
        <f t="shared" si="4"/>
        <v>0.22</v>
      </c>
      <c r="M659" s="88" t="str">
        <f t="shared" si="5"/>
        <v>Perubahan Normal</v>
      </c>
    </row>
    <row r="660" ht="18.75" customHeight="1">
      <c r="A660" s="80" t="s">
        <v>423</v>
      </c>
      <c r="B660" s="81" t="str">
        <f t="shared" si="1"/>
        <v>Kota Kotamobagu</v>
      </c>
      <c r="C660" s="81" t="str">
        <f t="array" ref="C660">XLOOKUP(B660,Reference!$A$2:$A$152,Reference!$B$2:$B$152)</f>
        <v>Sulawesi Utara</v>
      </c>
      <c r="D660" s="82" t="s">
        <v>1098</v>
      </c>
      <c r="E660" s="83">
        <v>45352.0</v>
      </c>
      <c r="F660" s="84" t="str">
        <f t="array" ref="F660">XLOOKUP(G660,Reference!$F:$F,Reference!$D:$D,"null")</f>
        <v>Makanan dan Pakaian </v>
      </c>
      <c r="G660" s="85" t="s">
        <v>56</v>
      </c>
      <c r="H660" s="86">
        <v>106.47</v>
      </c>
      <c r="I660" s="86">
        <v>106.59</v>
      </c>
      <c r="J660" s="87">
        <f t="shared" si="2"/>
        <v>-0.1125809175</v>
      </c>
      <c r="K660" s="84" t="str">
        <f t="shared" si="3"/>
        <v>Deflasi</v>
      </c>
      <c r="L660" s="84">
        <f t="shared" si="4"/>
        <v>-0.12</v>
      </c>
      <c r="M660" s="88" t="str">
        <f t="shared" si="5"/>
        <v>Perubahan Normal</v>
      </c>
    </row>
    <row r="661" ht="18.75" customHeight="1">
      <c r="A661" s="80" t="s">
        <v>318</v>
      </c>
      <c r="B661" s="81" t="str">
        <f t="shared" si="1"/>
        <v>Tanjung</v>
      </c>
      <c r="C661" s="81" t="str">
        <f t="array" ref="C661">XLOOKUP(B661,Reference!$A$2:$A$152,Reference!$B$2:$B$152)</f>
        <v>Kalimantan Selatan</v>
      </c>
      <c r="D661" s="82" t="s">
        <v>1099</v>
      </c>
      <c r="E661" s="83">
        <v>45323.0</v>
      </c>
      <c r="F661" s="84" t="str">
        <f t="array" ref="F661">XLOOKUP(G661,Reference!$F:$F,Reference!$D:$D,"null")</f>
        <v>Rekreasi dan Kendaraan</v>
      </c>
      <c r="G661" s="85" t="s">
        <v>105</v>
      </c>
      <c r="H661" s="86">
        <v>100.75</v>
      </c>
      <c r="I661" s="86">
        <v>100.75</v>
      </c>
      <c r="J661" s="87">
        <f t="shared" si="2"/>
        <v>0</v>
      </c>
      <c r="K661" s="84" t="str">
        <f t="shared" si="3"/>
        <v>Stabil</v>
      </c>
      <c r="L661" s="84">
        <f t="shared" si="4"/>
        <v>0</v>
      </c>
      <c r="M661" s="88" t="str">
        <f t="shared" si="5"/>
        <v>Perubahan Normal</v>
      </c>
    </row>
    <row r="662" ht="18.75" customHeight="1">
      <c r="A662" s="80" t="s">
        <v>548</v>
      </c>
      <c r="B662" s="81" t="str">
        <f t="shared" si="1"/>
        <v>Kota Metro</v>
      </c>
      <c r="C662" s="81" t="str">
        <f t="array" ref="C662">XLOOKUP(B662,Reference!$A$2:$A$152,Reference!$B$2:$B$152)</f>
        <v>Lampung</v>
      </c>
      <c r="D662" s="82" t="s">
        <v>1100</v>
      </c>
      <c r="E662" s="83">
        <v>45352.0</v>
      </c>
      <c r="F662" s="84" t="str">
        <f t="array" ref="F662">XLOOKUP(G662,Reference!$F:$F,Reference!$D:$D,"null")</f>
        <v>Makanan dan Pakaian </v>
      </c>
      <c r="G662" s="85" t="s">
        <v>48</v>
      </c>
      <c r="H662" s="86">
        <v>113.93</v>
      </c>
      <c r="I662" s="86">
        <v>112.04</v>
      </c>
      <c r="J662" s="87">
        <f t="shared" si="2"/>
        <v>1.686897537</v>
      </c>
      <c r="K662" s="84" t="str">
        <f t="shared" si="3"/>
        <v>Inflasi Tinggi</v>
      </c>
      <c r="L662" s="84">
        <f t="shared" si="4"/>
        <v>1.89</v>
      </c>
      <c r="M662" s="88" t="str">
        <f t="shared" si="5"/>
        <v>Akselerasi Persentase</v>
      </c>
    </row>
    <row r="663" ht="18.75" customHeight="1">
      <c r="A663" s="80" t="s">
        <v>680</v>
      </c>
      <c r="B663" s="81" t="str">
        <f t="shared" si="1"/>
        <v>Kota Pekanbaru</v>
      </c>
      <c r="C663" s="81" t="str">
        <f t="array" ref="C663">XLOOKUP(B663,Reference!$A$2:$A$152,Reference!$B$2:$B$152)</f>
        <v>Riau</v>
      </c>
      <c r="D663" s="82" t="s">
        <v>1101</v>
      </c>
      <c r="E663" s="83">
        <v>45352.0</v>
      </c>
      <c r="F663" s="84" t="str">
        <f t="array" ref="F663">XLOOKUP(G663,Reference!$F:$F,Reference!$D:$D,"null")</f>
        <v>Makanan dan Pakaian </v>
      </c>
      <c r="G663" s="85" t="s">
        <v>56</v>
      </c>
      <c r="H663" s="86">
        <v>103.75</v>
      </c>
      <c r="I663" s="86">
        <v>103.74</v>
      </c>
      <c r="J663" s="87">
        <f t="shared" si="2"/>
        <v>0.009639483324</v>
      </c>
      <c r="K663" s="84" t="str">
        <f t="shared" si="3"/>
        <v>Inflasi Normal</v>
      </c>
      <c r="L663" s="84">
        <f t="shared" si="4"/>
        <v>0.01</v>
      </c>
      <c r="M663" s="88" t="str">
        <f t="shared" si="5"/>
        <v>Perubahan Normal</v>
      </c>
    </row>
    <row r="664" ht="18.75" customHeight="1">
      <c r="A664" s="80" t="s">
        <v>427</v>
      </c>
      <c r="B664" s="81" t="str">
        <f t="shared" si="1"/>
        <v>Kota Malang</v>
      </c>
      <c r="C664" s="81" t="str">
        <f t="array" ref="C664">XLOOKUP(B664,Reference!$A$2:$A$152,Reference!$B$2:$B$152)</f>
        <v>Jawa Timur</v>
      </c>
      <c r="D664" s="82" t="s">
        <v>1102</v>
      </c>
      <c r="E664" s="83">
        <v>45323.0</v>
      </c>
      <c r="F664" s="84" t="str">
        <f t="array" ref="F664">XLOOKUP(G664,Reference!$F:$F,Reference!$D:$D,"null")</f>
        <v>Rumah Tangga</v>
      </c>
      <c r="G664" s="85" t="s">
        <v>89</v>
      </c>
      <c r="H664" s="86">
        <v>101.41</v>
      </c>
      <c r="I664" s="86">
        <v>101.53</v>
      </c>
      <c r="J664" s="87">
        <f t="shared" si="2"/>
        <v>-0.1181916675</v>
      </c>
      <c r="K664" s="84" t="str">
        <f t="shared" si="3"/>
        <v>Deflasi</v>
      </c>
      <c r="L664" s="84">
        <f t="shared" si="4"/>
        <v>-0.12</v>
      </c>
      <c r="M664" s="88" t="str">
        <f t="shared" si="5"/>
        <v>Perubahan Normal</v>
      </c>
    </row>
    <row r="665" ht="18.75" customHeight="1">
      <c r="A665" s="80" t="s">
        <v>419</v>
      </c>
      <c r="B665" s="81" t="str">
        <f t="shared" si="1"/>
        <v>Kota Singkawang</v>
      </c>
      <c r="C665" s="81" t="str">
        <f t="array" ref="C665">XLOOKUP(B665,Reference!$A$2:$A$152,Reference!$B$2:$B$152)</f>
        <v>Kalimantan Barat</v>
      </c>
      <c r="D665" s="82" t="s">
        <v>1103</v>
      </c>
      <c r="E665" s="83">
        <v>45352.0</v>
      </c>
      <c r="F665" s="84" t="str">
        <f t="array" ref="F665">XLOOKUP(G665,Reference!$F:$F,Reference!$D:$D,"null")</f>
        <v>Rumah Tangga</v>
      </c>
      <c r="G665" s="85" t="s">
        <v>84</v>
      </c>
      <c r="H665" s="86">
        <v>101.47</v>
      </c>
      <c r="I665" s="86">
        <v>101.47</v>
      </c>
      <c r="J665" s="87">
        <f t="shared" si="2"/>
        <v>0</v>
      </c>
      <c r="K665" s="84" t="str">
        <f t="shared" si="3"/>
        <v>Stabil</v>
      </c>
      <c r="L665" s="84">
        <f t="shared" si="4"/>
        <v>0</v>
      </c>
      <c r="M665" s="88" t="str">
        <f t="shared" si="5"/>
        <v>Perubahan Normal</v>
      </c>
    </row>
    <row r="666" ht="18.75" customHeight="1">
      <c r="A666" s="80" t="s">
        <v>492</v>
      </c>
      <c r="B666" s="81" t="str">
        <f t="shared" si="1"/>
        <v>Kota Cilegon</v>
      </c>
      <c r="C666" s="81" t="str">
        <f t="array" ref="C666">XLOOKUP(B666,Reference!$A$2:$A$152,Reference!$B$2:$B$152)</f>
        <v>Banten</v>
      </c>
      <c r="D666" s="82" t="s">
        <v>1104</v>
      </c>
      <c r="E666" s="83">
        <v>45323.0</v>
      </c>
      <c r="F666" s="84" t="str">
        <f t="array" ref="F666">XLOOKUP(G666,Reference!$F:$F,Reference!$D:$D,"null")</f>
        <v>Makanan dan Pakaian </v>
      </c>
      <c r="G666" s="85" t="s">
        <v>56</v>
      </c>
      <c r="H666" s="86">
        <v>103.5</v>
      </c>
      <c r="I666" s="86">
        <v>103.5</v>
      </c>
      <c r="J666" s="87">
        <f t="shared" si="2"/>
        <v>0</v>
      </c>
      <c r="K666" s="84" t="str">
        <f t="shared" si="3"/>
        <v>Stabil</v>
      </c>
      <c r="L666" s="84">
        <f t="shared" si="4"/>
        <v>0</v>
      </c>
      <c r="M666" s="88" t="str">
        <f t="shared" si="5"/>
        <v>Perubahan Normal</v>
      </c>
    </row>
    <row r="667" ht="18.75" customHeight="1">
      <c r="A667" s="80" t="s">
        <v>329</v>
      </c>
      <c r="B667" s="81" t="str">
        <f t="shared" si="1"/>
        <v>Kab Penajam Paser Utara</v>
      </c>
      <c r="C667" s="81" t="str">
        <f t="array" ref="C667">XLOOKUP(B667,Reference!$A$2:$A$152,Reference!$B$2:$B$152)</f>
        <v>Kalimantan Timur</v>
      </c>
      <c r="D667" s="82" t="s">
        <v>1105</v>
      </c>
      <c r="E667" s="83">
        <v>45352.0</v>
      </c>
      <c r="F667" s="84" t="str">
        <f t="array" ref="F667">XLOOKUP(G667,Reference!$F:$F,Reference!$D:$D,"null")</f>
        <v>Rekreasi dan Kendaraan</v>
      </c>
      <c r="G667" s="85" t="s">
        <v>105</v>
      </c>
      <c r="H667" s="86">
        <v>107.8</v>
      </c>
      <c r="I667" s="86">
        <v>107.8</v>
      </c>
      <c r="J667" s="87">
        <f t="shared" si="2"/>
        <v>0</v>
      </c>
      <c r="K667" s="84" t="str">
        <f t="shared" si="3"/>
        <v>Stabil</v>
      </c>
      <c r="L667" s="84">
        <f t="shared" si="4"/>
        <v>0</v>
      </c>
      <c r="M667" s="88" t="str">
        <f t="shared" si="5"/>
        <v>Perubahan Normal</v>
      </c>
    </row>
    <row r="668" ht="18.75" customHeight="1">
      <c r="A668" s="80" t="s">
        <v>822</v>
      </c>
      <c r="B668" s="81" t="str">
        <f t="shared" si="1"/>
        <v>Kota Pontianak</v>
      </c>
      <c r="C668" s="81" t="str">
        <f t="array" ref="C668">XLOOKUP(B668,Reference!$A$2:$A$152,Reference!$B$2:$B$152)</f>
        <v>Kalimantan Barat</v>
      </c>
      <c r="D668" s="82" t="s">
        <v>1106</v>
      </c>
      <c r="E668" s="83">
        <v>45352.0</v>
      </c>
      <c r="F668" s="84" t="str">
        <f t="array" ref="F668">XLOOKUP(G668,Reference!$F:$F,Reference!$D:$D,"null")</f>
        <v>Rekreasi dan Kendaraan</v>
      </c>
      <c r="G668" s="85" t="s">
        <v>102</v>
      </c>
      <c r="H668" s="86">
        <v>102.3</v>
      </c>
      <c r="I668" s="86">
        <v>104.73</v>
      </c>
      <c r="J668" s="87">
        <f t="shared" si="2"/>
        <v>-2.320252077</v>
      </c>
      <c r="K668" s="84" t="str">
        <f t="shared" si="3"/>
        <v>Deflasi</v>
      </c>
      <c r="L668" s="84">
        <f t="shared" si="4"/>
        <v>-2.43</v>
      </c>
      <c r="M668" s="88" t="str">
        <f t="shared" si="5"/>
        <v>Perubahan Normal</v>
      </c>
    </row>
    <row r="669" ht="18.75" customHeight="1">
      <c r="A669" s="80" t="s">
        <v>631</v>
      </c>
      <c r="B669" s="81" t="str">
        <f t="shared" si="1"/>
        <v>Kab Toli Toli</v>
      </c>
      <c r="C669" s="81" t="str">
        <f t="array" ref="C669">XLOOKUP(B669,Reference!$A$2:$A$152,Reference!$B$2:$B$152)</f>
        <v>Sulawesi Tengah</v>
      </c>
      <c r="D669" s="82" t="s">
        <v>1107</v>
      </c>
      <c r="E669" s="83">
        <v>45352.0</v>
      </c>
      <c r="F669" s="84" t="str">
        <f t="array" ref="F669">XLOOKUP(G669,Reference!$F:$F,Reference!$D:$D,"null")</f>
        <v>Rekreasi dan Kendaraan</v>
      </c>
      <c r="G669" s="85" t="s">
        <v>105</v>
      </c>
      <c r="H669" s="86">
        <v>101.06</v>
      </c>
      <c r="I669" s="86">
        <v>101.06</v>
      </c>
      <c r="J669" s="87">
        <f t="shared" si="2"/>
        <v>0</v>
      </c>
      <c r="K669" s="84" t="str">
        <f t="shared" si="3"/>
        <v>Stabil</v>
      </c>
      <c r="L669" s="84">
        <f t="shared" si="4"/>
        <v>0</v>
      </c>
      <c r="M669" s="88" t="str">
        <f t="shared" si="5"/>
        <v>Perubahan Normal</v>
      </c>
    </row>
    <row r="670" ht="18.75" customHeight="1">
      <c r="A670" s="80" t="s">
        <v>397</v>
      </c>
      <c r="B670" s="81" t="str">
        <f t="shared" si="1"/>
        <v>Kota Pematangsiantar</v>
      </c>
      <c r="C670" s="81" t="str">
        <f t="array" ref="C670">XLOOKUP(B670,Reference!$A$2:$A$152,Reference!$B$2:$B$152)</f>
        <v>Sumatera Utara</v>
      </c>
      <c r="D670" s="82" t="s">
        <v>1108</v>
      </c>
      <c r="E670" s="83">
        <v>45352.0</v>
      </c>
      <c r="F670" s="84" t="str">
        <f t="array" ref="F670">XLOOKUP(G670,Reference!$F:$F,Reference!$D:$D,"null")</f>
        <v>Rumah Tangga</v>
      </c>
      <c r="G670" s="85" t="s">
        <v>84</v>
      </c>
      <c r="H670" s="86">
        <v>101.34</v>
      </c>
      <c r="I670" s="86">
        <v>101.34</v>
      </c>
      <c r="J670" s="87">
        <f t="shared" si="2"/>
        <v>0</v>
      </c>
      <c r="K670" s="84" t="str">
        <f t="shared" si="3"/>
        <v>Stabil</v>
      </c>
      <c r="L670" s="84">
        <f t="shared" si="4"/>
        <v>0</v>
      </c>
      <c r="M670" s="88" t="str">
        <f t="shared" si="5"/>
        <v>Perubahan Normal</v>
      </c>
    </row>
    <row r="671" ht="18.75" customHeight="1">
      <c r="A671" s="80" t="s">
        <v>468</v>
      </c>
      <c r="B671" s="81" t="str">
        <f t="shared" si="1"/>
        <v>Timika</v>
      </c>
      <c r="C671" s="81" t="str">
        <f t="array" ref="C671">XLOOKUP(B671,Reference!$A$2:$A$152,Reference!$B$2:$B$152)</f>
        <v>Papua</v>
      </c>
      <c r="D671" s="82" t="s">
        <v>1109</v>
      </c>
      <c r="E671" s="83">
        <v>45352.0</v>
      </c>
      <c r="F671" s="84" t="str">
        <f t="array" ref="F671">XLOOKUP(G671,Reference!$F:$F,Reference!$D:$D,"null")</f>
        <v>Makanan dan Pakaian </v>
      </c>
      <c r="G671" s="85" t="s">
        <v>56</v>
      </c>
      <c r="H671" s="86">
        <v>95.42</v>
      </c>
      <c r="I671" s="86">
        <v>95.31</v>
      </c>
      <c r="J671" s="87">
        <f t="shared" si="2"/>
        <v>0.1154128633</v>
      </c>
      <c r="K671" s="84" t="str">
        <f t="shared" si="3"/>
        <v>Inflasi Normal</v>
      </c>
      <c r="L671" s="84">
        <f t="shared" si="4"/>
        <v>0.11</v>
      </c>
      <c r="M671" s="88" t="str">
        <f t="shared" si="5"/>
        <v>Perubahan Normal</v>
      </c>
    </row>
    <row r="672" ht="18.75" customHeight="1">
      <c r="A672" s="80" t="s">
        <v>990</v>
      </c>
      <c r="B672" s="81" t="str">
        <f t="shared" si="1"/>
        <v>Kab Pandeglang</v>
      </c>
      <c r="C672" s="81" t="str">
        <f t="array" ref="C672">XLOOKUP(B672,Reference!$A$2:$A$152,Reference!$B$2:$B$152)</f>
        <v>Banten</v>
      </c>
      <c r="D672" s="82" t="s">
        <v>1110</v>
      </c>
      <c r="E672" s="83">
        <v>45352.0</v>
      </c>
      <c r="F672" s="84" t="str">
        <f t="array" ref="F672">XLOOKUP(G672,Reference!$F:$F,Reference!$D:$D,"null")</f>
        <v>Rekreasi dan Kendaraan</v>
      </c>
      <c r="G672" s="85" t="s">
        <v>105</v>
      </c>
      <c r="H672" s="86">
        <v>105.76</v>
      </c>
      <c r="I672" s="86">
        <v>105.65</v>
      </c>
      <c r="J672" s="87">
        <f t="shared" si="2"/>
        <v>0.1041173687</v>
      </c>
      <c r="K672" s="84" t="str">
        <f t="shared" si="3"/>
        <v>Inflasi Normal</v>
      </c>
      <c r="L672" s="84">
        <f t="shared" si="4"/>
        <v>0.11</v>
      </c>
      <c r="M672" s="88" t="str">
        <f t="shared" si="5"/>
        <v>Perubahan Normal</v>
      </c>
    </row>
    <row r="673" ht="18.75" customHeight="1">
      <c r="A673" s="80" t="s">
        <v>654</v>
      </c>
      <c r="B673" s="81" t="str">
        <f t="shared" si="1"/>
        <v>Kab Aceh Tengah</v>
      </c>
      <c r="C673" s="81" t="str">
        <f t="array" ref="C673">XLOOKUP(B673,Reference!$A$2:$A$152,Reference!$B$2:$B$152)</f>
        <v>Aceh</v>
      </c>
      <c r="D673" s="82" t="s">
        <v>1111</v>
      </c>
      <c r="E673" s="83">
        <v>45352.0</v>
      </c>
      <c r="F673" s="84" t="str">
        <f t="array" ref="F673">XLOOKUP(G673,Reference!$F:$F,Reference!$D:$D,"null")</f>
        <v>Makanan dan Pakaian </v>
      </c>
      <c r="G673" s="85" t="s">
        <v>64</v>
      </c>
      <c r="H673" s="86">
        <v>110.59</v>
      </c>
      <c r="I673" s="86">
        <v>109.76</v>
      </c>
      <c r="J673" s="87">
        <f t="shared" si="2"/>
        <v>0.7561953353</v>
      </c>
      <c r="K673" s="84" t="str">
        <f t="shared" si="3"/>
        <v>Inflasi Tinggi</v>
      </c>
      <c r="L673" s="84">
        <f t="shared" si="4"/>
        <v>0.83</v>
      </c>
      <c r="M673" s="88" t="str">
        <f t="shared" si="5"/>
        <v>Akselerasi Persentase</v>
      </c>
    </row>
    <row r="674" ht="18.75" customHeight="1">
      <c r="A674" s="80" t="s">
        <v>631</v>
      </c>
      <c r="B674" s="81" t="str">
        <f t="shared" si="1"/>
        <v>Kab Toli Toli</v>
      </c>
      <c r="C674" s="81" t="str">
        <f t="array" ref="C674">XLOOKUP(B674,Reference!$A$2:$A$152,Reference!$B$2:$B$152)</f>
        <v>Sulawesi Tengah</v>
      </c>
      <c r="D674" s="82" t="s">
        <v>1112</v>
      </c>
      <c r="E674" s="83">
        <v>45323.0</v>
      </c>
      <c r="F674" s="84" t="str">
        <f t="array" ref="F674">XLOOKUP(G674,Reference!$F:$F,Reference!$D:$D,"null")</f>
        <v>Rumah Tangga</v>
      </c>
      <c r="G674" s="85" t="s">
        <v>84</v>
      </c>
      <c r="H674" s="86">
        <v>99.8</v>
      </c>
      <c r="I674" s="86">
        <v>100.06</v>
      </c>
      <c r="J674" s="87">
        <f t="shared" si="2"/>
        <v>-0.2598440935</v>
      </c>
      <c r="K674" s="84" t="str">
        <f t="shared" si="3"/>
        <v>Deflasi</v>
      </c>
      <c r="L674" s="84">
        <f t="shared" si="4"/>
        <v>-0.26</v>
      </c>
      <c r="M674" s="88" t="str">
        <f t="shared" si="5"/>
        <v>Perubahan Normal</v>
      </c>
    </row>
    <row r="675" ht="18.75" customHeight="1">
      <c r="A675" s="80" t="s">
        <v>524</v>
      </c>
      <c r="B675" s="81" t="str">
        <f t="shared" si="1"/>
        <v>Kudus</v>
      </c>
      <c r="C675" s="81" t="str">
        <f t="array" ref="C675">XLOOKUP(B675,Reference!$A$2:$A$152,Reference!$B$2:$B$152)</f>
        <v>Jawa Tengah</v>
      </c>
      <c r="D675" s="82" t="s">
        <v>1113</v>
      </c>
      <c r="E675" s="83">
        <v>45352.0</v>
      </c>
      <c r="F675" s="84" t="str">
        <f t="array" ref="F675">XLOOKUP(G675,Reference!$F:$F,Reference!$D:$D,"null")</f>
        <v>Makanan dan Pakaian </v>
      </c>
      <c r="G675" s="85" t="s">
        <v>56</v>
      </c>
      <c r="H675" s="86">
        <v>104.04</v>
      </c>
      <c r="I675" s="86">
        <v>103.61</v>
      </c>
      <c r="J675" s="87">
        <f t="shared" si="2"/>
        <v>0.4150178554</v>
      </c>
      <c r="K675" s="84" t="str">
        <f t="shared" si="3"/>
        <v>Inflasi Normal</v>
      </c>
      <c r="L675" s="84">
        <f t="shared" si="4"/>
        <v>0.43</v>
      </c>
      <c r="M675" s="88" t="str">
        <f t="shared" si="5"/>
        <v>Perubahan Normal</v>
      </c>
    </row>
    <row r="676" ht="18.75" customHeight="1">
      <c r="A676" s="80" t="s">
        <v>485</v>
      </c>
      <c r="B676" s="81" t="str">
        <f t="shared" si="1"/>
        <v>Banyuwangi</v>
      </c>
      <c r="C676" s="81" t="str">
        <f t="array" ref="C676">XLOOKUP(B676,Reference!$A$2:$A$152,Reference!$B$2:$B$152)</f>
        <v>Jawa Timur</v>
      </c>
      <c r="D676" s="82" t="s">
        <v>1114</v>
      </c>
      <c r="E676" s="83">
        <v>45323.0</v>
      </c>
      <c r="F676" s="84" t="str">
        <f t="array" ref="F676">XLOOKUP(G676,Reference!$F:$F,Reference!$D:$D,"null")</f>
        <v>Rumah Tangga</v>
      </c>
      <c r="G676" s="85" t="s">
        <v>89</v>
      </c>
      <c r="H676" s="86">
        <v>102.57</v>
      </c>
      <c r="I676" s="86">
        <v>102.57</v>
      </c>
      <c r="J676" s="87">
        <f t="shared" si="2"/>
        <v>0</v>
      </c>
      <c r="K676" s="84" t="str">
        <f t="shared" si="3"/>
        <v>Stabil</v>
      </c>
      <c r="L676" s="84">
        <f t="shared" si="4"/>
        <v>0</v>
      </c>
      <c r="M676" s="88" t="str">
        <f t="shared" si="5"/>
        <v>Perubahan Normal</v>
      </c>
    </row>
    <row r="677" ht="18.75" customHeight="1">
      <c r="A677" s="80" t="s">
        <v>448</v>
      </c>
      <c r="B677" s="81" t="str">
        <f t="shared" si="1"/>
        <v>Tanjung Selor</v>
      </c>
      <c r="C677" s="81" t="str">
        <f t="array" ref="C677">XLOOKUP(B677,Reference!$A$2:$A$152,Reference!$B$2:$B$152)</f>
        <v>Kalimantan Utara</v>
      </c>
      <c r="D677" s="82" t="s">
        <v>1115</v>
      </c>
      <c r="E677" s="83">
        <v>45352.0</v>
      </c>
      <c r="F677" s="84" t="str">
        <f t="array" ref="F677">XLOOKUP(G677,Reference!$F:$F,Reference!$D:$D,"null")</f>
        <v>Pendidikan dan Kesehatan</v>
      </c>
      <c r="G677" s="85" t="s">
        <v>98</v>
      </c>
      <c r="H677" s="86">
        <v>103.87</v>
      </c>
      <c r="I677" s="86">
        <v>104.23</v>
      </c>
      <c r="J677" s="87">
        <f t="shared" si="2"/>
        <v>-0.3453900029</v>
      </c>
      <c r="K677" s="84" t="str">
        <f t="shared" si="3"/>
        <v>Deflasi</v>
      </c>
      <c r="L677" s="84">
        <f t="shared" si="4"/>
        <v>-0.36</v>
      </c>
      <c r="M677" s="88" t="str">
        <f t="shared" si="5"/>
        <v>Perubahan Normal</v>
      </c>
    </row>
    <row r="678" ht="18.75" customHeight="1">
      <c r="A678" s="80" t="s">
        <v>505</v>
      </c>
      <c r="B678" s="81" t="str">
        <f t="shared" si="1"/>
        <v>Kota Denpasar</v>
      </c>
      <c r="C678" s="81" t="str">
        <f t="array" ref="C678">XLOOKUP(B678,Reference!$A$2:$A$152,Reference!$B$2:$B$152)</f>
        <v>Bali</v>
      </c>
      <c r="D678" s="82" t="s">
        <v>1116</v>
      </c>
      <c r="E678" s="83">
        <v>45323.0</v>
      </c>
      <c r="F678" s="84" t="str">
        <f t="array" ref="F678">XLOOKUP(G678,Reference!$F:$F,Reference!$D:$D,"null")</f>
        <v>Rekreasi dan Kendaraan</v>
      </c>
      <c r="G678" s="89" t="s">
        <v>105</v>
      </c>
      <c r="H678" s="90">
        <v>102.68</v>
      </c>
      <c r="I678" s="90">
        <v>102.38</v>
      </c>
      <c r="J678" s="87">
        <f t="shared" si="2"/>
        <v>0.2930259816</v>
      </c>
      <c r="K678" s="84" t="str">
        <f t="shared" si="3"/>
        <v>Inflasi Normal</v>
      </c>
      <c r="L678" s="91">
        <f t="shared" si="4"/>
        <v>0.3</v>
      </c>
      <c r="M678" s="88" t="str">
        <f t="shared" si="5"/>
        <v>Perubahan Normal</v>
      </c>
    </row>
    <row r="679" ht="18.75" customHeight="1">
      <c r="A679" s="80" t="s">
        <v>508</v>
      </c>
      <c r="B679" s="81" t="str">
        <f t="shared" si="1"/>
        <v>Kab Minahasa Selatan</v>
      </c>
      <c r="C679" s="81" t="str">
        <f t="array" ref="C679">XLOOKUP(B679,Reference!$A$2:$A$152,Reference!$B$2:$B$152)</f>
        <v>Sulawesi Utara</v>
      </c>
      <c r="D679" s="82" t="s">
        <v>1117</v>
      </c>
      <c r="E679" s="83">
        <v>45323.0</v>
      </c>
      <c r="F679" s="84" t="str">
        <f t="array" ref="F679">XLOOKUP(G679,Reference!$F:$F,Reference!$D:$D,"null")</f>
        <v>Pendidikan dan Kesehatan</v>
      </c>
      <c r="G679" s="85" t="s">
        <v>98</v>
      </c>
      <c r="H679" s="86">
        <v>101.55</v>
      </c>
      <c r="I679" s="86">
        <v>101.55</v>
      </c>
      <c r="J679" s="87">
        <f t="shared" si="2"/>
        <v>0</v>
      </c>
      <c r="K679" s="84" t="str">
        <f t="shared" si="3"/>
        <v>Stabil</v>
      </c>
      <c r="L679" s="84">
        <f t="shared" si="4"/>
        <v>0</v>
      </c>
      <c r="M679" s="88" t="str">
        <f t="shared" si="5"/>
        <v>Perubahan Normal</v>
      </c>
    </row>
    <row r="680" ht="18.75" customHeight="1">
      <c r="A680" s="80" t="s">
        <v>699</v>
      </c>
      <c r="B680" s="81" t="str">
        <f t="shared" si="1"/>
        <v>Mamuju</v>
      </c>
      <c r="C680" s="81" t="str">
        <f t="array" ref="C680">XLOOKUP(B680,Reference!$A$2:$A$152,Reference!$B$2:$B$152)</f>
        <v>Sulawesi Barat</v>
      </c>
      <c r="D680" s="82" t="s">
        <v>1118</v>
      </c>
      <c r="E680" s="83">
        <v>45352.0</v>
      </c>
      <c r="F680" s="84" t="str">
        <f t="array" ref="F680">XLOOKUP(G680,Reference!$F:$F,Reference!$D:$D,"null")</f>
        <v>Rekreasi dan Kendaraan</v>
      </c>
      <c r="G680" s="85" t="s">
        <v>102</v>
      </c>
      <c r="H680" s="86">
        <v>100.25</v>
      </c>
      <c r="I680" s="86">
        <v>100.16</v>
      </c>
      <c r="J680" s="87">
        <f t="shared" si="2"/>
        <v>0.08985623003</v>
      </c>
      <c r="K680" s="84" t="str">
        <f t="shared" si="3"/>
        <v>Inflasi Normal</v>
      </c>
      <c r="L680" s="84">
        <f t="shared" si="4"/>
        <v>0.09</v>
      </c>
      <c r="M680" s="88" t="str">
        <f t="shared" si="5"/>
        <v>Perubahan Normal</v>
      </c>
    </row>
    <row r="681" ht="18.75" customHeight="1">
      <c r="A681" s="80" t="s">
        <v>837</v>
      </c>
      <c r="B681" s="81" t="str">
        <f t="shared" si="1"/>
        <v>Kab Luwu Timur</v>
      </c>
      <c r="C681" s="81" t="str">
        <f t="array" ref="C681">XLOOKUP(B681,Reference!$A$2:$A$152,Reference!$B$2:$B$152)</f>
        <v>Sulawesi Selatan</v>
      </c>
      <c r="D681" s="82" t="s">
        <v>1119</v>
      </c>
      <c r="E681" s="83">
        <v>45323.0</v>
      </c>
      <c r="F681" s="84" t="str">
        <f t="array" ref="F681">XLOOKUP(G681,Reference!$F:$F,Reference!$D:$D,"null")</f>
        <v>Rumah Tangga</v>
      </c>
      <c r="G681" s="85" t="s">
        <v>89</v>
      </c>
      <c r="H681" s="86">
        <v>108.41</v>
      </c>
      <c r="I681" s="86">
        <v>111.66</v>
      </c>
      <c r="J681" s="87">
        <f t="shared" si="2"/>
        <v>-2.91062153</v>
      </c>
      <c r="K681" s="84" t="str">
        <f t="shared" si="3"/>
        <v>Deflasi</v>
      </c>
      <c r="L681" s="84">
        <f t="shared" si="4"/>
        <v>-3.25</v>
      </c>
      <c r="M681" s="88" t="str">
        <f t="shared" si="5"/>
        <v>Perubahan Normal</v>
      </c>
    </row>
    <row r="682" ht="18.75" customHeight="1">
      <c r="A682" s="80" t="s">
        <v>905</v>
      </c>
      <c r="B682" s="81" t="str">
        <f t="shared" si="1"/>
        <v>Kota Ambon</v>
      </c>
      <c r="C682" s="81" t="str">
        <f t="array" ref="C682">XLOOKUP(B682,Reference!$A$2:$A$152,Reference!$B$2:$B$152)</f>
        <v>Maluku</v>
      </c>
      <c r="D682" s="82" t="s">
        <v>1120</v>
      </c>
      <c r="E682" s="83">
        <v>45352.0</v>
      </c>
      <c r="F682" s="84" t="str">
        <f t="array" ref="F682">XLOOKUP(G682,Reference!$F:$F,Reference!$D:$D,"null")</f>
        <v>Makanan dan Pakaian </v>
      </c>
      <c r="G682" s="85" t="s">
        <v>48</v>
      </c>
      <c r="H682" s="86">
        <v>103.96</v>
      </c>
      <c r="I682" s="86">
        <v>105.3</v>
      </c>
      <c r="J682" s="87">
        <f t="shared" si="2"/>
        <v>-1.272554606</v>
      </c>
      <c r="K682" s="84" t="str">
        <f t="shared" si="3"/>
        <v>Deflasi</v>
      </c>
      <c r="L682" s="84">
        <f t="shared" si="4"/>
        <v>-1.34</v>
      </c>
      <c r="M682" s="88" t="str">
        <f t="shared" si="5"/>
        <v>Perubahan Normal</v>
      </c>
    </row>
    <row r="683" ht="18.75" customHeight="1">
      <c r="A683" s="80" t="s">
        <v>478</v>
      </c>
      <c r="B683" s="81" t="str">
        <f t="shared" si="1"/>
        <v>Kab Maluku Tengah</v>
      </c>
      <c r="C683" s="81" t="str">
        <f t="array" ref="C683">XLOOKUP(B683,Reference!$A$2:$A$152,Reference!$B$2:$B$152)</f>
        <v>Maluku</v>
      </c>
      <c r="D683" s="82" t="s">
        <v>1121</v>
      </c>
      <c r="E683" s="83">
        <v>45352.0</v>
      </c>
      <c r="F683" s="84" t="str">
        <f t="array" ref="F683">XLOOKUP(G683,Reference!$F:$F,Reference!$D:$D,"null")</f>
        <v>Makanan dan Pakaian </v>
      </c>
      <c r="G683" s="85" t="s">
        <v>48</v>
      </c>
      <c r="H683" s="86">
        <v>98.03</v>
      </c>
      <c r="I683" s="86">
        <v>101.55</v>
      </c>
      <c r="J683" s="87">
        <f t="shared" si="2"/>
        <v>-3.466272772</v>
      </c>
      <c r="K683" s="84" t="str">
        <f t="shared" si="3"/>
        <v>Deflasi</v>
      </c>
      <c r="L683" s="84">
        <f t="shared" si="4"/>
        <v>-3.52</v>
      </c>
      <c r="M683" s="88" t="str">
        <f t="shared" si="5"/>
        <v>Perubahan Normal</v>
      </c>
    </row>
    <row r="684" ht="18.75" customHeight="1">
      <c r="A684" s="80" t="s">
        <v>346</v>
      </c>
      <c r="B684" s="81" t="str">
        <f t="shared" si="1"/>
        <v>Kab Timor Tengah Selatan</v>
      </c>
      <c r="C684" s="81" t="str">
        <f t="array" ref="C684">XLOOKUP(B684,Reference!$A$2:$A$152,Reference!$B$2:$B$152)</f>
        <v>Nusa Tenggara Timur (NTT)</v>
      </c>
      <c r="D684" s="82" t="s">
        <v>1122</v>
      </c>
      <c r="E684" s="83">
        <v>45323.0</v>
      </c>
      <c r="F684" s="84" t="str">
        <f t="array" ref="F684">XLOOKUP(G684,Reference!$F:$F,Reference!$D:$D,"null")</f>
        <v>Pendidikan dan Kesehatan</v>
      </c>
      <c r="G684" s="85" t="s">
        <v>98</v>
      </c>
      <c r="H684" s="86">
        <v>109.28</v>
      </c>
      <c r="I684" s="86">
        <v>109.28</v>
      </c>
      <c r="J684" s="87">
        <f t="shared" si="2"/>
        <v>0</v>
      </c>
      <c r="K684" s="84" t="str">
        <f t="shared" si="3"/>
        <v>Stabil</v>
      </c>
      <c r="L684" s="84">
        <f t="shared" si="4"/>
        <v>0</v>
      </c>
      <c r="M684" s="88" t="str">
        <f t="shared" si="5"/>
        <v>Perubahan Normal</v>
      </c>
    </row>
    <row r="685" ht="18.75" customHeight="1">
      <c r="A685" s="80" t="s">
        <v>445</v>
      </c>
      <c r="B685" s="81" t="str">
        <f t="shared" si="1"/>
        <v>Kab Bangka Barat</v>
      </c>
      <c r="C685" s="81" t="str">
        <f t="array" ref="C685">XLOOKUP(B685,Reference!$A$2:$A$152,Reference!$B$2:$B$152)</f>
        <v>Kepulauan Bangka Belitung</v>
      </c>
      <c r="D685" s="82" t="s">
        <v>1123</v>
      </c>
      <c r="E685" s="83">
        <v>45352.0</v>
      </c>
      <c r="F685" s="84" t="str">
        <f t="array" ref="F685">XLOOKUP(G685,Reference!$F:$F,Reference!$D:$D,"null")</f>
        <v>Makanan dan Pakaian </v>
      </c>
      <c r="G685" s="85" t="s">
        <v>72</v>
      </c>
      <c r="H685" s="86">
        <v>106.88</v>
      </c>
      <c r="I685" s="86">
        <v>106.88</v>
      </c>
      <c r="J685" s="87">
        <f t="shared" si="2"/>
        <v>0</v>
      </c>
      <c r="K685" s="84" t="str">
        <f t="shared" si="3"/>
        <v>Stabil</v>
      </c>
      <c r="L685" s="84">
        <f t="shared" si="4"/>
        <v>0</v>
      </c>
      <c r="M685" s="88" t="str">
        <f t="shared" si="5"/>
        <v>Perubahan Normal</v>
      </c>
    </row>
    <row r="686" ht="18.75" customHeight="1">
      <c r="A686" s="80" t="s">
        <v>387</v>
      </c>
      <c r="B686" s="81" t="str">
        <f t="shared" si="1"/>
        <v>Kota Semarang</v>
      </c>
      <c r="C686" s="81" t="str">
        <f t="array" ref="C686">XLOOKUP(B686,Reference!$A$2:$A$152,Reference!$B$2:$B$152)</f>
        <v>Jawa Tengah</v>
      </c>
      <c r="D686" s="82" t="s">
        <v>1124</v>
      </c>
      <c r="E686" s="83">
        <v>45323.0</v>
      </c>
      <c r="F686" s="84" t="str">
        <f t="array" ref="F686">XLOOKUP(G686,Reference!$F:$F,Reference!$D:$D,"null")</f>
        <v>Rumah Tangga</v>
      </c>
      <c r="G686" s="85" t="s">
        <v>84</v>
      </c>
      <c r="H686" s="86">
        <v>100.03</v>
      </c>
      <c r="I686" s="86">
        <v>100.03</v>
      </c>
      <c r="J686" s="87">
        <f t="shared" si="2"/>
        <v>0</v>
      </c>
      <c r="K686" s="84" t="str">
        <f t="shared" si="3"/>
        <v>Stabil</v>
      </c>
      <c r="L686" s="84">
        <f t="shared" si="4"/>
        <v>0</v>
      </c>
      <c r="M686" s="88" t="str">
        <f t="shared" si="5"/>
        <v>Perubahan Normal</v>
      </c>
    </row>
    <row r="687" ht="18.75" customHeight="1">
      <c r="A687" s="80" t="s">
        <v>905</v>
      </c>
      <c r="B687" s="81" t="str">
        <f t="shared" si="1"/>
        <v>Kota Ambon</v>
      </c>
      <c r="C687" s="81" t="str">
        <f t="array" ref="C687">XLOOKUP(B687,Reference!$A$2:$A$152,Reference!$B$2:$B$152)</f>
        <v>Maluku</v>
      </c>
      <c r="D687" s="82" t="s">
        <v>1125</v>
      </c>
      <c r="E687" s="83">
        <v>45323.0</v>
      </c>
      <c r="F687" s="84" t="str">
        <f t="array" ref="F687">XLOOKUP(G687,Reference!$F:$F,Reference!$D:$D,"null")</f>
        <v>Rekreasi dan Kendaraan</v>
      </c>
      <c r="G687" s="85" t="s">
        <v>102</v>
      </c>
      <c r="H687" s="86">
        <v>104.12</v>
      </c>
      <c r="I687" s="86">
        <v>104.08</v>
      </c>
      <c r="J687" s="87">
        <f t="shared" si="2"/>
        <v>0.0384319754</v>
      </c>
      <c r="K687" s="84" t="str">
        <f t="shared" si="3"/>
        <v>Inflasi Normal</v>
      </c>
      <c r="L687" s="84">
        <f t="shared" si="4"/>
        <v>0.04</v>
      </c>
      <c r="M687" s="88" t="str">
        <f t="shared" si="5"/>
        <v>Perubahan Normal</v>
      </c>
    </row>
    <row r="688" ht="18.75" customHeight="1">
      <c r="A688" s="80" t="s">
        <v>548</v>
      </c>
      <c r="B688" s="81" t="str">
        <f t="shared" si="1"/>
        <v>Kota Metro</v>
      </c>
      <c r="C688" s="81" t="str">
        <f t="array" ref="C688">XLOOKUP(B688,Reference!$A$2:$A$152,Reference!$B$2:$B$152)</f>
        <v>Lampung</v>
      </c>
      <c r="D688" s="82" t="s">
        <v>1126</v>
      </c>
      <c r="E688" s="83">
        <v>45352.0</v>
      </c>
      <c r="F688" s="84" t="str">
        <f t="array" ref="F688">XLOOKUP(G688,Reference!$F:$F,Reference!$D:$D,"null")</f>
        <v>Rekreasi dan Kendaraan</v>
      </c>
      <c r="G688" s="89" t="s">
        <v>105</v>
      </c>
      <c r="H688" s="90">
        <v>106.28</v>
      </c>
      <c r="I688" s="90">
        <v>106.04</v>
      </c>
      <c r="J688" s="87">
        <f t="shared" si="2"/>
        <v>0.2263296869</v>
      </c>
      <c r="K688" s="84" t="str">
        <f t="shared" si="3"/>
        <v>Inflasi Normal</v>
      </c>
      <c r="L688" s="91">
        <f t="shared" si="4"/>
        <v>0.24</v>
      </c>
      <c r="M688" s="88" t="str">
        <f t="shared" si="5"/>
        <v>Perubahan Normal</v>
      </c>
    </row>
    <row r="689" ht="18.75" customHeight="1">
      <c r="A689" s="80" t="s">
        <v>505</v>
      </c>
      <c r="B689" s="81" t="str">
        <f t="shared" si="1"/>
        <v>Kota Denpasar</v>
      </c>
      <c r="C689" s="81" t="str">
        <f t="array" ref="C689">XLOOKUP(B689,Reference!$A$2:$A$152,Reference!$B$2:$B$152)</f>
        <v>Bali</v>
      </c>
      <c r="D689" s="82" t="s">
        <v>1127</v>
      </c>
      <c r="E689" s="83">
        <v>45323.0</v>
      </c>
      <c r="F689" s="84" t="str">
        <f t="array" ref="F689">XLOOKUP(G689,Reference!$F:$F,Reference!$D:$D,"null")</f>
        <v>Pendidikan dan Kesehatan</v>
      </c>
      <c r="G689" s="85" t="s">
        <v>98</v>
      </c>
      <c r="H689" s="86">
        <v>99.15</v>
      </c>
      <c r="I689" s="86">
        <v>99.93</v>
      </c>
      <c r="J689" s="87">
        <f t="shared" si="2"/>
        <v>-0.7805463825</v>
      </c>
      <c r="K689" s="84" t="str">
        <f t="shared" si="3"/>
        <v>Deflasi</v>
      </c>
      <c r="L689" s="84">
        <f t="shared" si="4"/>
        <v>-0.78</v>
      </c>
      <c r="M689" s="88" t="str">
        <f t="shared" si="5"/>
        <v>Perubahan Normal</v>
      </c>
    </row>
    <row r="690" ht="18.75" customHeight="1">
      <c r="A690" s="80" t="s">
        <v>663</v>
      </c>
      <c r="B690" s="81" t="str">
        <f t="shared" si="1"/>
        <v>Kota Serang</v>
      </c>
      <c r="C690" s="81" t="str">
        <f t="array" ref="C690">XLOOKUP(B690,Reference!$A$2:$A$152,Reference!$B$2:$B$152)</f>
        <v>Banten</v>
      </c>
      <c r="D690" s="82" t="s">
        <v>1128</v>
      </c>
      <c r="E690" s="83">
        <v>45352.0</v>
      </c>
      <c r="F690" s="84" t="str">
        <f t="array" ref="F690">XLOOKUP(G690,Reference!$F:$F,Reference!$D:$D,"null")</f>
        <v>Pendidikan dan Kesehatan</v>
      </c>
      <c r="G690" s="85" t="s">
        <v>98</v>
      </c>
      <c r="H690" s="86">
        <v>102.38</v>
      </c>
      <c r="I690" s="86">
        <v>100.33</v>
      </c>
      <c r="J690" s="87">
        <f t="shared" si="2"/>
        <v>2.043257251</v>
      </c>
      <c r="K690" s="84" t="str">
        <f t="shared" si="3"/>
        <v>Inflasi Tinggi</v>
      </c>
      <c r="L690" s="84">
        <f t="shared" si="4"/>
        <v>2.05</v>
      </c>
      <c r="M690" s="88" t="str">
        <f t="shared" si="5"/>
        <v>Akselerasi Kuat</v>
      </c>
    </row>
    <row r="691" ht="18.75" customHeight="1">
      <c r="A691" s="80" t="s">
        <v>429</v>
      </c>
      <c r="B691" s="81" t="str">
        <f t="shared" si="1"/>
        <v>Kab Nabire</v>
      </c>
      <c r="C691" s="81" t="str">
        <f t="array" ref="C691">XLOOKUP(B691,Reference!$A$2:$A$152,Reference!$B$2:$B$152)</f>
        <v>Papua</v>
      </c>
      <c r="D691" s="82" t="s">
        <v>1129</v>
      </c>
      <c r="E691" s="83">
        <v>45352.0</v>
      </c>
      <c r="F691" s="84" t="str">
        <f t="array" ref="F691">XLOOKUP(G691,Reference!$F:$F,Reference!$D:$D,"null")</f>
        <v>Pendidikan dan Kesehatan</v>
      </c>
      <c r="G691" s="85" t="s">
        <v>95</v>
      </c>
      <c r="H691" s="86">
        <v>100.21</v>
      </c>
      <c r="I691" s="86">
        <v>100.21</v>
      </c>
      <c r="J691" s="87">
        <f t="shared" si="2"/>
        <v>0</v>
      </c>
      <c r="K691" s="84" t="str">
        <f t="shared" si="3"/>
        <v>Stabil</v>
      </c>
      <c r="L691" s="84">
        <f t="shared" si="4"/>
        <v>0</v>
      </c>
      <c r="M691" s="88" t="str">
        <f t="shared" si="5"/>
        <v>Perubahan Normal</v>
      </c>
    </row>
    <row r="692" ht="18.75" customHeight="1">
      <c r="A692" s="80" t="s">
        <v>466</v>
      </c>
      <c r="B692" s="81" t="str">
        <f t="shared" si="1"/>
        <v>Kota Surabaya</v>
      </c>
      <c r="C692" s="81" t="str">
        <f t="array" ref="C692">XLOOKUP(B692,Reference!$A$2:$A$152,Reference!$B$2:$B$152)</f>
        <v>Jawa Timur</v>
      </c>
      <c r="D692" s="82" t="s">
        <v>1130</v>
      </c>
      <c r="E692" s="83">
        <v>45352.0</v>
      </c>
      <c r="F692" s="84" t="str">
        <f t="array" ref="F692">XLOOKUP(G692,Reference!$F:$F,Reference!$D:$D,"null")</f>
        <v>Makanan dan Pakaian </v>
      </c>
      <c r="G692" s="85" t="s">
        <v>56</v>
      </c>
      <c r="H692" s="86">
        <v>105.01</v>
      </c>
      <c r="I692" s="86">
        <v>104.94</v>
      </c>
      <c r="J692" s="87">
        <f t="shared" si="2"/>
        <v>0.06670478369</v>
      </c>
      <c r="K692" s="84" t="str">
        <f t="shared" si="3"/>
        <v>Inflasi Normal</v>
      </c>
      <c r="L692" s="84">
        <f t="shared" si="4"/>
        <v>0.07</v>
      </c>
      <c r="M692" s="88" t="str">
        <f t="shared" si="5"/>
        <v>Perubahan Normal</v>
      </c>
    </row>
    <row r="693" ht="18.75" customHeight="1">
      <c r="A693" s="80" t="s">
        <v>600</v>
      </c>
      <c r="B693" s="81" t="str">
        <f t="shared" si="1"/>
        <v>Kota Banda Aceh</v>
      </c>
      <c r="C693" s="81" t="str">
        <f t="array" ref="C693">XLOOKUP(B693,Reference!$A$2:$A$152,Reference!$B$2:$B$152)</f>
        <v>Aceh</v>
      </c>
      <c r="D693" s="82" t="s">
        <v>1131</v>
      </c>
      <c r="E693" s="83">
        <v>45323.0</v>
      </c>
      <c r="F693" s="84" t="str">
        <f t="array" ref="F693">XLOOKUP(G693,Reference!$F:$F,Reference!$D:$D,"null")</f>
        <v>Rekreasi dan Kendaraan</v>
      </c>
      <c r="G693" s="85" t="s">
        <v>102</v>
      </c>
      <c r="H693" s="86">
        <v>99.93</v>
      </c>
      <c r="I693" s="86">
        <v>99.93</v>
      </c>
      <c r="J693" s="87">
        <f t="shared" si="2"/>
        <v>0</v>
      </c>
      <c r="K693" s="84" t="str">
        <f t="shared" si="3"/>
        <v>Stabil</v>
      </c>
      <c r="L693" s="84">
        <f t="shared" si="4"/>
        <v>0</v>
      </c>
      <c r="M693" s="88" t="str">
        <f t="shared" si="5"/>
        <v>Perubahan Normal</v>
      </c>
    </row>
    <row r="694" ht="18.75" customHeight="1">
      <c r="A694" s="80" t="s">
        <v>419</v>
      </c>
      <c r="B694" s="81" t="str">
        <f t="shared" si="1"/>
        <v>Kota Singkawang</v>
      </c>
      <c r="C694" s="81" t="str">
        <f t="array" ref="C694">XLOOKUP(B694,Reference!$A$2:$A$152,Reference!$B$2:$B$152)</f>
        <v>Kalimantan Barat</v>
      </c>
      <c r="D694" s="82" t="s">
        <v>1132</v>
      </c>
      <c r="E694" s="83">
        <v>45323.0</v>
      </c>
      <c r="F694" s="84" t="str">
        <f t="array" ref="F694">XLOOKUP(G694,Reference!$F:$F,Reference!$D:$D,"null")</f>
        <v>Rekreasi dan Kendaraan</v>
      </c>
      <c r="G694" s="85" t="s">
        <v>102</v>
      </c>
      <c r="H694" s="86">
        <v>101.73</v>
      </c>
      <c r="I694" s="86">
        <v>101.61</v>
      </c>
      <c r="J694" s="87">
        <f t="shared" si="2"/>
        <v>0.1180986123</v>
      </c>
      <c r="K694" s="84" t="str">
        <f t="shared" si="3"/>
        <v>Inflasi Normal</v>
      </c>
      <c r="L694" s="84">
        <f t="shared" si="4"/>
        <v>0.12</v>
      </c>
      <c r="M694" s="88" t="str">
        <f t="shared" si="5"/>
        <v>Perubahan Normal</v>
      </c>
    </row>
    <row r="695" ht="18.75" customHeight="1">
      <c r="A695" s="80" t="s">
        <v>294</v>
      </c>
      <c r="B695" s="81" t="str">
        <f t="shared" si="1"/>
        <v>Kab Labuhanbatu</v>
      </c>
      <c r="C695" s="81" t="str">
        <f t="array" ref="C695">XLOOKUP(B695,Reference!$A$2:$A$152,Reference!$B$2:$B$152)</f>
        <v>Sumatera Utara</v>
      </c>
      <c r="D695" s="82" t="s">
        <v>1133</v>
      </c>
      <c r="E695" s="83">
        <v>45352.0</v>
      </c>
      <c r="F695" s="84" t="str">
        <f t="array" ref="F695">XLOOKUP(G695,Reference!$F:$F,Reference!$D:$D,"null")</f>
        <v>Makanan dan Pakaian </v>
      </c>
      <c r="G695" s="85" t="s">
        <v>56</v>
      </c>
      <c r="H695" s="86">
        <v>108.33</v>
      </c>
      <c r="I695" s="86">
        <v>108.33</v>
      </c>
      <c r="J695" s="87">
        <f t="shared" si="2"/>
        <v>0</v>
      </c>
      <c r="K695" s="84" t="str">
        <f t="shared" si="3"/>
        <v>Stabil</v>
      </c>
      <c r="L695" s="84">
        <f t="shared" si="4"/>
        <v>0</v>
      </c>
      <c r="M695" s="88" t="str">
        <f t="shared" si="5"/>
        <v>Perubahan Normal</v>
      </c>
    </row>
    <row r="696" ht="18.75" customHeight="1">
      <c r="A696" s="80" t="s">
        <v>606</v>
      </c>
      <c r="B696" s="81" t="str">
        <f t="shared" si="1"/>
        <v>Kota Pare Pare</v>
      </c>
      <c r="C696" s="81" t="str">
        <f t="array" ref="C696">XLOOKUP(B696,Reference!$A$2:$A$152,Reference!$B$2:$B$152)</f>
        <v>Sulawesi Selatan</v>
      </c>
      <c r="D696" s="82" t="s">
        <v>1134</v>
      </c>
      <c r="E696" s="83">
        <v>45352.0</v>
      </c>
      <c r="F696" s="84" t="str">
        <f t="array" ref="F696">XLOOKUP(G696,Reference!$F:$F,Reference!$D:$D,"null")</f>
        <v>Makanan dan Pakaian </v>
      </c>
      <c r="G696" s="85" t="s">
        <v>56</v>
      </c>
      <c r="H696" s="86">
        <v>101.0</v>
      </c>
      <c r="I696" s="86">
        <v>100.53</v>
      </c>
      <c r="J696" s="87">
        <f t="shared" si="2"/>
        <v>0.4675221327</v>
      </c>
      <c r="K696" s="84" t="str">
        <f t="shared" si="3"/>
        <v>Inflasi Normal</v>
      </c>
      <c r="L696" s="84">
        <f t="shared" si="4"/>
        <v>0.47</v>
      </c>
      <c r="M696" s="88" t="str">
        <f t="shared" si="5"/>
        <v>Perubahan Normal</v>
      </c>
    </row>
    <row r="697" ht="18.75" customHeight="1">
      <c r="A697" s="80" t="s">
        <v>445</v>
      </c>
      <c r="B697" s="81" t="str">
        <f t="shared" si="1"/>
        <v>Kab Bangka Barat</v>
      </c>
      <c r="C697" s="81" t="str">
        <f t="array" ref="C697">XLOOKUP(B697,Reference!$A$2:$A$152,Reference!$B$2:$B$152)</f>
        <v>Kepulauan Bangka Belitung</v>
      </c>
      <c r="D697" s="82" t="s">
        <v>1135</v>
      </c>
      <c r="E697" s="83">
        <v>45323.0</v>
      </c>
      <c r="F697" s="84" t="str">
        <f t="array" ref="F697">XLOOKUP(G697,Reference!$F:$F,Reference!$D:$D,"null")</f>
        <v>Rekreasi dan Kendaraan</v>
      </c>
      <c r="G697" s="85" t="s">
        <v>102</v>
      </c>
      <c r="H697" s="86">
        <v>101.56</v>
      </c>
      <c r="I697" s="86">
        <v>101.56</v>
      </c>
      <c r="J697" s="87">
        <f t="shared" si="2"/>
        <v>0</v>
      </c>
      <c r="K697" s="84" t="str">
        <f t="shared" si="3"/>
        <v>Stabil</v>
      </c>
      <c r="L697" s="84">
        <f t="shared" si="4"/>
        <v>0</v>
      </c>
      <c r="M697" s="88" t="str">
        <f t="shared" si="5"/>
        <v>Perubahan Normal</v>
      </c>
    </row>
    <row r="698" ht="18.75" customHeight="1">
      <c r="A698" s="80" t="s">
        <v>296</v>
      </c>
      <c r="B698" s="81" t="str">
        <f t="shared" si="1"/>
        <v>Kota Bogor</v>
      </c>
      <c r="C698" s="81" t="str">
        <f t="array" ref="C698">XLOOKUP(B698,Reference!$A$2:$A$152,Reference!$B$2:$B$152)</f>
        <v>Jawa Barat</v>
      </c>
      <c r="D698" s="82" t="s">
        <v>1136</v>
      </c>
      <c r="E698" s="83">
        <v>45352.0</v>
      </c>
      <c r="F698" s="84" t="str">
        <f t="array" ref="F698">XLOOKUP(G698,Reference!$F:$F,Reference!$D:$D,"null")</f>
        <v>Rekreasi dan Kendaraan</v>
      </c>
      <c r="G698" s="85" t="s">
        <v>105</v>
      </c>
      <c r="H698" s="86">
        <v>104.52</v>
      </c>
      <c r="I698" s="86">
        <v>104.21</v>
      </c>
      <c r="J698" s="87">
        <f t="shared" si="2"/>
        <v>0.2974762499</v>
      </c>
      <c r="K698" s="84" t="str">
        <f t="shared" si="3"/>
        <v>Inflasi Normal</v>
      </c>
      <c r="L698" s="84">
        <f t="shared" si="4"/>
        <v>0.31</v>
      </c>
      <c r="M698" s="88" t="str">
        <f t="shared" si="5"/>
        <v>Perubahan Normal</v>
      </c>
    </row>
    <row r="699" ht="18.75" customHeight="1">
      <c r="A699" s="80" t="s">
        <v>656</v>
      </c>
      <c r="B699" s="81" t="str">
        <f t="shared" si="1"/>
        <v>Kota Palopo</v>
      </c>
      <c r="C699" s="81" t="str">
        <f t="array" ref="C699">XLOOKUP(B699,Reference!$A$2:$A$152,Reference!$B$2:$B$152)</f>
        <v>Sulawesi Selatan</v>
      </c>
      <c r="D699" s="82" t="s">
        <v>1137</v>
      </c>
      <c r="E699" s="83">
        <v>45352.0</v>
      </c>
      <c r="F699" s="84" t="str">
        <f t="array" ref="F699">XLOOKUP(G699,Reference!$F:$F,Reference!$D:$D,"null")</f>
        <v>Pendidikan dan Kesehatan</v>
      </c>
      <c r="G699" s="85" t="s">
        <v>98</v>
      </c>
      <c r="H699" s="86">
        <v>100.27</v>
      </c>
      <c r="I699" s="86">
        <v>100.27</v>
      </c>
      <c r="J699" s="87">
        <f t="shared" si="2"/>
        <v>0</v>
      </c>
      <c r="K699" s="84" t="str">
        <f t="shared" si="3"/>
        <v>Stabil</v>
      </c>
      <c r="L699" s="84">
        <f t="shared" si="4"/>
        <v>0</v>
      </c>
      <c r="M699" s="88" t="str">
        <f t="shared" si="5"/>
        <v>Perubahan Normal</v>
      </c>
    </row>
    <row r="700" ht="18.75" customHeight="1">
      <c r="A700" s="80" t="s">
        <v>355</v>
      </c>
      <c r="B700" s="81" t="str">
        <f t="shared" si="1"/>
        <v>Kota Gorontalo</v>
      </c>
      <c r="C700" s="81" t="str">
        <f t="array" ref="C700">XLOOKUP(B700,Reference!$A$2:$A$152,Reference!$B$2:$B$152)</f>
        <v>Gorontalo</v>
      </c>
      <c r="D700" s="82" t="s">
        <v>1138</v>
      </c>
      <c r="E700" s="83">
        <v>45352.0</v>
      </c>
      <c r="F700" s="84" t="str">
        <f t="array" ref="F700">XLOOKUP(G700,Reference!$F:$F,Reference!$D:$D,"null")</f>
        <v>Rekreasi dan Kendaraan</v>
      </c>
      <c r="G700" s="85" t="s">
        <v>102</v>
      </c>
      <c r="H700" s="86">
        <v>102.84</v>
      </c>
      <c r="I700" s="86">
        <v>102.89</v>
      </c>
      <c r="J700" s="87">
        <f t="shared" si="2"/>
        <v>-0.04859558752</v>
      </c>
      <c r="K700" s="84" t="str">
        <f t="shared" si="3"/>
        <v>Deflasi</v>
      </c>
      <c r="L700" s="84">
        <f t="shared" si="4"/>
        <v>-0.05</v>
      </c>
      <c r="M700" s="88" t="str">
        <f t="shared" si="5"/>
        <v>Perubahan Normal</v>
      </c>
    </row>
    <row r="701" ht="18.75" customHeight="1">
      <c r="A701" s="80" t="s">
        <v>346</v>
      </c>
      <c r="B701" s="81" t="str">
        <f t="shared" si="1"/>
        <v>Kab Timor Tengah Selatan</v>
      </c>
      <c r="C701" s="81" t="str">
        <f t="array" ref="C701">XLOOKUP(B701,Reference!$A$2:$A$152,Reference!$B$2:$B$152)</f>
        <v>Nusa Tenggara Timur (NTT)</v>
      </c>
      <c r="D701" s="82" t="s">
        <v>1139</v>
      </c>
      <c r="E701" s="83">
        <v>45352.0</v>
      </c>
      <c r="F701" s="84" t="str">
        <f t="array" ref="F701">XLOOKUP(G701,Reference!$F:$F,Reference!$D:$D,"null")</f>
        <v>Pendidikan dan Kesehatan</v>
      </c>
      <c r="G701" s="85" t="s">
        <v>95</v>
      </c>
      <c r="H701" s="86">
        <v>100.0</v>
      </c>
      <c r="I701" s="86">
        <v>100.0</v>
      </c>
      <c r="J701" s="87">
        <f t="shared" si="2"/>
        <v>0</v>
      </c>
      <c r="K701" s="84" t="str">
        <f t="shared" si="3"/>
        <v>Stabil</v>
      </c>
      <c r="L701" s="84">
        <f t="shared" si="4"/>
        <v>0</v>
      </c>
      <c r="M701" s="88" t="str">
        <f t="shared" si="5"/>
        <v>Perubahan Normal</v>
      </c>
    </row>
    <row r="702" ht="18.75" customHeight="1">
      <c r="A702" s="80" t="s">
        <v>490</v>
      </c>
      <c r="B702" s="81" t="str">
        <f t="shared" si="1"/>
        <v>Kab Kerinci</v>
      </c>
      <c r="C702" s="81" t="str">
        <f t="array" ref="C702">XLOOKUP(B702,Reference!$A$2:$A$152,Reference!$B$2:$B$152)</f>
        <v>Jambi</v>
      </c>
      <c r="D702" s="82" t="s">
        <v>1140</v>
      </c>
      <c r="E702" s="83">
        <v>45352.0</v>
      </c>
      <c r="F702" s="84" t="str">
        <f t="array" ref="F702">XLOOKUP(G702,Reference!$F:$F,Reference!$D:$D,"null")</f>
        <v>Rekreasi dan Kendaraan</v>
      </c>
      <c r="G702" s="89" t="s">
        <v>105</v>
      </c>
      <c r="H702" s="90">
        <v>100.0</v>
      </c>
      <c r="I702" s="90">
        <v>100.0</v>
      </c>
      <c r="J702" s="87">
        <f t="shared" si="2"/>
        <v>0</v>
      </c>
      <c r="K702" s="84" t="str">
        <f t="shared" si="3"/>
        <v>Stabil</v>
      </c>
      <c r="L702" s="91">
        <f t="shared" si="4"/>
        <v>0</v>
      </c>
      <c r="M702" s="88" t="str">
        <f t="shared" si="5"/>
        <v>Perubahan Normal</v>
      </c>
    </row>
    <row r="703" ht="18.75" customHeight="1">
      <c r="A703" s="80" t="s">
        <v>376</v>
      </c>
      <c r="B703" s="81" t="str">
        <f t="shared" si="1"/>
        <v>Bulukumba</v>
      </c>
      <c r="C703" s="81" t="str">
        <f t="array" ref="C703">XLOOKUP(B703,Reference!$A$2:$A$152,Reference!$B$2:$B$152)</f>
        <v>Sulawesi Selatan</v>
      </c>
      <c r="D703" s="82" t="s">
        <v>1141</v>
      </c>
      <c r="E703" s="83">
        <v>45323.0</v>
      </c>
      <c r="F703" s="84" t="str">
        <f t="array" ref="F703">XLOOKUP(G703,Reference!$F:$F,Reference!$D:$D,"null")</f>
        <v>Rekreasi dan Kendaraan</v>
      </c>
      <c r="G703" s="85" t="s">
        <v>105</v>
      </c>
      <c r="H703" s="86">
        <v>100.7</v>
      </c>
      <c r="I703" s="86">
        <v>100.7</v>
      </c>
      <c r="J703" s="87">
        <f t="shared" si="2"/>
        <v>0</v>
      </c>
      <c r="K703" s="84" t="str">
        <f t="shared" si="3"/>
        <v>Stabil</v>
      </c>
      <c r="L703" s="84">
        <f t="shared" si="4"/>
        <v>0</v>
      </c>
      <c r="M703" s="88" t="str">
        <f t="shared" si="5"/>
        <v>Perubahan Normal</v>
      </c>
    </row>
    <row r="704" ht="18.75" customHeight="1">
      <c r="A704" s="80" t="s">
        <v>399</v>
      </c>
      <c r="B704" s="81" t="str">
        <f t="shared" si="1"/>
        <v>Sampit</v>
      </c>
      <c r="C704" s="81" t="str">
        <f t="array" ref="C704">XLOOKUP(B704,Reference!$A$2:$A$152,Reference!$B$2:$B$152)</f>
        <v>Kalimantan Tengah</v>
      </c>
      <c r="D704" s="82" t="s">
        <v>1142</v>
      </c>
      <c r="E704" s="83">
        <v>45323.0</v>
      </c>
      <c r="F704" s="84" t="str">
        <f t="array" ref="F704">XLOOKUP(G704,Reference!$F:$F,Reference!$D:$D,"null")</f>
        <v>Rekreasi dan Kendaraan</v>
      </c>
      <c r="G704" s="85" t="s">
        <v>102</v>
      </c>
      <c r="H704" s="86">
        <v>101.11</v>
      </c>
      <c r="I704" s="86">
        <v>101.11</v>
      </c>
      <c r="J704" s="87">
        <f t="shared" si="2"/>
        <v>0</v>
      </c>
      <c r="K704" s="84" t="str">
        <f t="shared" si="3"/>
        <v>Stabil</v>
      </c>
      <c r="L704" s="84">
        <f t="shared" si="4"/>
        <v>0</v>
      </c>
      <c r="M704" s="88" t="str">
        <f t="shared" si="5"/>
        <v>Perubahan Normal</v>
      </c>
    </row>
    <row r="705" ht="18.75" customHeight="1">
      <c r="A705" s="80" t="s">
        <v>669</v>
      </c>
      <c r="B705" s="81" t="str">
        <f t="shared" si="1"/>
        <v>Kab Sidenreng Rappang</v>
      </c>
      <c r="C705" s="81" t="str">
        <f t="array" ref="C705">XLOOKUP(B705,Reference!$A$2:$A$152,Reference!$B$2:$B$152)</f>
        <v>Sulawesi Selatan</v>
      </c>
      <c r="D705" s="82" t="s">
        <v>1143</v>
      </c>
      <c r="E705" s="83">
        <v>45352.0</v>
      </c>
      <c r="F705" s="84" t="str">
        <f t="array" ref="F705">XLOOKUP(G705,Reference!$F:$F,Reference!$D:$D,"null")</f>
        <v>Rumah Tangga</v>
      </c>
      <c r="G705" s="85" t="s">
        <v>80</v>
      </c>
      <c r="H705" s="86">
        <v>101.58</v>
      </c>
      <c r="I705" s="86">
        <v>101.58</v>
      </c>
      <c r="J705" s="87">
        <f t="shared" si="2"/>
        <v>0</v>
      </c>
      <c r="K705" s="84" t="str">
        <f t="shared" si="3"/>
        <v>Stabil</v>
      </c>
      <c r="L705" s="84">
        <f t="shared" si="4"/>
        <v>0</v>
      </c>
      <c r="M705" s="88" t="str">
        <f t="shared" si="5"/>
        <v>Perubahan Normal</v>
      </c>
    </row>
    <row r="706" ht="18.75" customHeight="1">
      <c r="A706" s="80" t="s">
        <v>335</v>
      </c>
      <c r="B706" s="81" t="str">
        <f t="shared" si="1"/>
        <v>Kab Wonogiri</v>
      </c>
      <c r="C706" s="81" t="str">
        <f t="array" ref="C706">XLOOKUP(B706,Reference!$A$2:$A$152,Reference!$B$2:$B$152)</f>
        <v>Jawa Tengah</v>
      </c>
      <c r="D706" s="82" t="s">
        <v>1144</v>
      </c>
      <c r="E706" s="83">
        <v>45323.0</v>
      </c>
      <c r="F706" s="84" t="str">
        <f t="array" ref="F706">XLOOKUP(G706,Reference!$F:$F,Reference!$D:$D,"null")</f>
        <v>Rekreasi dan Kendaraan</v>
      </c>
      <c r="G706" s="85" t="s">
        <v>105</v>
      </c>
      <c r="H706" s="86">
        <v>103.39</v>
      </c>
      <c r="I706" s="86">
        <v>103.31</v>
      </c>
      <c r="J706" s="87">
        <f t="shared" si="2"/>
        <v>0.07743684058</v>
      </c>
      <c r="K706" s="84" t="str">
        <f t="shared" si="3"/>
        <v>Inflasi Normal</v>
      </c>
      <c r="L706" s="84">
        <f t="shared" si="4"/>
        <v>0.08</v>
      </c>
      <c r="M706" s="88" t="str">
        <f t="shared" si="5"/>
        <v>Perubahan Normal</v>
      </c>
    </row>
    <row r="707" ht="18.75" customHeight="1">
      <c r="A707" s="80" t="s">
        <v>965</v>
      </c>
      <c r="B707" s="81" t="str">
        <f t="shared" si="1"/>
        <v>Kab Konawe</v>
      </c>
      <c r="C707" s="81" t="str">
        <f t="array" ref="C707">XLOOKUP(B707,Reference!$A$2:$A$152,Reference!$B$2:$B$152)</f>
        <v>Sulawesi Tenggara</v>
      </c>
      <c r="D707" s="82" t="s">
        <v>1145</v>
      </c>
      <c r="E707" s="83">
        <v>45323.0</v>
      </c>
      <c r="F707" s="84" t="str">
        <f t="array" ref="F707">XLOOKUP(G707,Reference!$F:$F,Reference!$D:$D,"null")</f>
        <v>Makanan dan Pakaian </v>
      </c>
      <c r="G707" s="85" t="s">
        <v>64</v>
      </c>
      <c r="H707" s="86">
        <v>102.0</v>
      </c>
      <c r="I707" s="86">
        <v>102.0</v>
      </c>
      <c r="J707" s="87">
        <f t="shared" si="2"/>
        <v>0</v>
      </c>
      <c r="K707" s="84" t="str">
        <f t="shared" si="3"/>
        <v>Stabil</v>
      </c>
      <c r="L707" s="84">
        <f t="shared" si="4"/>
        <v>0</v>
      </c>
      <c r="M707" s="88" t="str">
        <f t="shared" si="5"/>
        <v>Perubahan Normal</v>
      </c>
    </row>
    <row r="708" ht="18.75" customHeight="1">
      <c r="A708" s="80" t="s">
        <v>515</v>
      </c>
      <c r="B708" s="81" t="str">
        <f t="shared" si="1"/>
        <v>Kab Gresik</v>
      </c>
      <c r="C708" s="81" t="str">
        <f t="array" ref="C708">XLOOKUP(B708,Reference!$A$2:$A$152,Reference!$B$2:$B$152)</f>
        <v>Jawa Timur</v>
      </c>
      <c r="D708" s="82" t="s">
        <v>1146</v>
      </c>
      <c r="E708" s="83">
        <v>45352.0</v>
      </c>
      <c r="F708" s="84" t="str">
        <f t="array" ref="F708">XLOOKUP(G708,Reference!$F:$F,Reference!$D:$D,"null")</f>
        <v>Rumah Tangga</v>
      </c>
      <c r="G708" s="85" t="s">
        <v>80</v>
      </c>
      <c r="H708" s="86">
        <v>102.47</v>
      </c>
      <c r="I708" s="86">
        <v>101.79</v>
      </c>
      <c r="J708" s="87">
        <f t="shared" si="2"/>
        <v>0.6680420474</v>
      </c>
      <c r="K708" s="84" t="str">
        <f t="shared" si="3"/>
        <v>Inflasi Tinggi</v>
      </c>
      <c r="L708" s="84">
        <f t="shared" si="4"/>
        <v>0.68</v>
      </c>
      <c r="M708" s="88" t="str">
        <f t="shared" si="5"/>
        <v>Akselerasi Persentase</v>
      </c>
    </row>
    <row r="709" ht="18.75" customHeight="1">
      <c r="A709" s="80" t="s">
        <v>628</v>
      </c>
      <c r="B709" s="81" t="str">
        <f t="shared" si="1"/>
        <v>Watampone</v>
      </c>
      <c r="C709" s="81" t="str">
        <f t="array" ref="C709">XLOOKUP(B709,Reference!$A$2:$A$152,Reference!$B$2:$B$152)</f>
        <v>Sulawesi Selatan</v>
      </c>
      <c r="D709" s="82" t="s">
        <v>1147</v>
      </c>
      <c r="E709" s="83">
        <v>45352.0</v>
      </c>
      <c r="F709" s="84" t="str">
        <f t="array" ref="F709">XLOOKUP(G709,Reference!$F:$F,Reference!$D:$D,"null")</f>
        <v>Rekreasi dan Kendaraan</v>
      </c>
      <c r="G709" s="85" t="s">
        <v>105</v>
      </c>
      <c r="H709" s="86">
        <v>100.2</v>
      </c>
      <c r="I709" s="86">
        <v>100.2</v>
      </c>
      <c r="J709" s="87">
        <f t="shared" si="2"/>
        <v>0</v>
      </c>
      <c r="K709" s="84" t="str">
        <f t="shared" si="3"/>
        <v>Stabil</v>
      </c>
      <c r="L709" s="84">
        <f t="shared" si="4"/>
        <v>0</v>
      </c>
      <c r="M709" s="88" t="str">
        <f t="shared" si="5"/>
        <v>Perubahan Normal</v>
      </c>
    </row>
    <row r="710" ht="18.75" customHeight="1">
      <c r="A710" s="80" t="s">
        <v>378</v>
      </c>
      <c r="B710" s="81" t="str">
        <f t="shared" si="1"/>
        <v>Kab Berau</v>
      </c>
      <c r="C710" s="81" t="str">
        <f t="array" ref="C710">XLOOKUP(B710,Reference!$A$2:$A$152,Reference!$B$2:$B$152)</f>
        <v>Kalimantan Timur</v>
      </c>
      <c r="D710" s="82" t="s">
        <v>1148</v>
      </c>
      <c r="E710" s="83">
        <v>45352.0</v>
      </c>
      <c r="F710" s="84" t="str">
        <f t="array" ref="F710">XLOOKUP(G710,Reference!$F:$F,Reference!$D:$D,"null")</f>
        <v>Makanan dan Pakaian </v>
      </c>
      <c r="G710" s="85" t="s">
        <v>56</v>
      </c>
      <c r="H710" s="86">
        <v>104.25</v>
      </c>
      <c r="I710" s="86">
        <v>103.96</v>
      </c>
      <c r="J710" s="87">
        <f t="shared" si="2"/>
        <v>0.2789534436</v>
      </c>
      <c r="K710" s="84" t="str">
        <f t="shared" si="3"/>
        <v>Inflasi Normal</v>
      </c>
      <c r="L710" s="84">
        <f t="shared" si="4"/>
        <v>0.29</v>
      </c>
      <c r="M710" s="88" t="str">
        <f t="shared" si="5"/>
        <v>Perubahan Normal</v>
      </c>
    </row>
    <row r="711" ht="18.75" customHeight="1">
      <c r="A711" s="80" t="s">
        <v>431</v>
      </c>
      <c r="B711" s="81" t="str">
        <f t="shared" si="1"/>
        <v>Kota Ternate</v>
      </c>
      <c r="C711" s="81" t="str">
        <f t="array" ref="C711">XLOOKUP(B711,Reference!$A$2:$A$152,Reference!$B$2:$B$152)</f>
        <v>Maluku Utara</v>
      </c>
      <c r="D711" s="82" t="s">
        <v>1149</v>
      </c>
      <c r="E711" s="83">
        <v>45352.0</v>
      </c>
      <c r="F711" s="84" t="str">
        <f t="array" ref="F711">XLOOKUP(G711,Reference!$F:$F,Reference!$D:$D,"null")</f>
        <v>Makanan dan Pakaian </v>
      </c>
      <c r="G711" s="85" t="s">
        <v>48</v>
      </c>
      <c r="H711" s="86">
        <v>111.94</v>
      </c>
      <c r="I711" s="86">
        <v>109.24</v>
      </c>
      <c r="J711" s="87">
        <f t="shared" si="2"/>
        <v>2.471622116</v>
      </c>
      <c r="K711" s="84" t="str">
        <f t="shared" si="3"/>
        <v>Inflasi Tinggi</v>
      </c>
      <c r="L711" s="84">
        <f t="shared" si="4"/>
        <v>2.7</v>
      </c>
      <c r="M711" s="88" t="str">
        <f t="shared" si="5"/>
        <v>Akselerasi Kuat</v>
      </c>
    </row>
    <row r="712" ht="18.75" customHeight="1">
      <c r="A712" s="80" t="s">
        <v>395</v>
      </c>
      <c r="B712" s="81" t="str">
        <f t="shared" si="1"/>
        <v>Kota Bukittinggi</v>
      </c>
      <c r="C712" s="81" t="str">
        <f t="array" ref="C712">XLOOKUP(B712,Reference!$A$2:$A$152,Reference!$B$2:$B$152)</f>
        <v>Sumatera Barat</v>
      </c>
      <c r="D712" s="82" t="s">
        <v>1150</v>
      </c>
      <c r="E712" s="83">
        <v>45323.0</v>
      </c>
      <c r="F712" s="84" t="str">
        <f t="array" ref="F712">XLOOKUP(G712,Reference!$F:$F,Reference!$D:$D,"null")</f>
        <v>Makanan dan Pakaian </v>
      </c>
      <c r="G712" s="85" t="s">
        <v>72</v>
      </c>
      <c r="H712" s="86">
        <v>101.23</v>
      </c>
      <c r="I712" s="86">
        <v>101.23</v>
      </c>
      <c r="J712" s="87">
        <f t="shared" si="2"/>
        <v>0</v>
      </c>
      <c r="K712" s="84" t="str">
        <f t="shared" si="3"/>
        <v>Stabil</v>
      </c>
      <c r="L712" s="84">
        <f t="shared" si="4"/>
        <v>0</v>
      </c>
      <c r="M712" s="88" t="str">
        <f t="shared" si="5"/>
        <v>Perubahan Normal</v>
      </c>
    </row>
    <row r="713" ht="18.75" customHeight="1">
      <c r="A713" s="80" t="s">
        <v>497</v>
      </c>
      <c r="B713" s="81" t="str">
        <f t="shared" si="1"/>
        <v>Tanjung Pandan</v>
      </c>
      <c r="C713" s="81" t="str">
        <f t="array" ref="C713">XLOOKUP(B713,Reference!$A$2:$A$152,Reference!$B$2:$B$152)</f>
        <v>Kepulauan Bangka Belitung</v>
      </c>
      <c r="D713" s="82" t="s">
        <v>1151</v>
      </c>
      <c r="E713" s="83">
        <v>45323.0</v>
      </c>
      <c r="F713" s="84" t="str">
        <f t="array" ref="F713">XLOOKUP(G713,Reference!$F:$F,Reference!$D:$D,"null")</f>
        <v>Pendidikan dan Kesehatan</v>
      </c>
      <c r="G713" s="89" t="s">
        <v>98</v>
      </c>
      <c r="H713" s="90">
        <v>103.19</v>
      </c>
      <c r="I713" s="90">
        <v>103.19</v>
      </c>
      <c r="J713" s="87">
        <f t="shared" si="2"/>
        <v>0</v>
      </c>
      <c r="K713" s="84" t="str">
        <f t="shared" si="3"/>
        <v>Stabil</v>
      </c>
      <c r="L713" s="91">
        <f t="shared" si="4"/>
        <v>0</v>
      </c>
      <c r="M713" s="88" t="str">
        <f t="shared" si="5"/>
        <v>Perubahan Normal</v>
      </c>
    </row>
    <row r="714" ht="18.75" customHeight="1">
      <c r="A714" s="80" t="s">
        <v>421</v>
      </c>
      <c r="B714" s="81" t="str">
        <f t="shared" si="1"/>
        <v>Kab Halmahera Tengah</v>
      </c>
      <c r="C714" s="81" t="str">
        <f t="array" ref="C714">XLOOKUP(B714,Reference!$A$2:$A$152,Reference!$B$2:$B$152)</f>
        <v>Maluku Utara</v>
      </c>
      <c r="D714" s="82" t="s">
        <v>1152</v>
      </c>
      <c r="E714" s="83">
        <v>45323.0</v>
      </c>
      <c r="F714" s="84" t="str">
        <f t="array" ref="F714">XLOOKUP(G714,Reference!$F:$F,Reference!$D:$D,"null")</f>
        <v>Rumah Tangga</v>
      </c>
      <c r="G714" s="85" t="s">
        <v>84</v>
      </c>
      <c r="H714" s="86">
        <v>103.37</v>
      </c>
      <c r="I714" s="86">
        <v>103.53</v>
      </c>
      <c r="J714" s="87">
        <f t="shared" si="2"/>
        <v>-0.1545445765</v>
      </c>
      <c r="K714" s="84" t="str">
        <f t="shared" si="3"/>
        <v>Deflasi</v>
      </c>
      <c r="L714" s="84">
        <f t="shared" si="4"/>
        <v>-0.16</v>
      </c>
      <c r="M714" s="88" t="str">
        <f t="shared" si="5"/>
        <v>Perubahan Normal</v>
      </c>
    </row>
    <row r="715" ht="18.75" customHeight="1">
      <c r="A715" s="80" t="s">
        <v>438</v>
      </c>
      <c r="B715" s="81" t="str">
        <f t="shared" si="1"/>
        <v>Kab Muara Enim</v>
      </c>
      <c r="C715" s="81" t="str">
        <f t="array" ref="C715">XLOOKUP(B715,Reference!$A$2:$A$152,Reference!$B$2:$B$152)</f>
        <v>Sumatera Selatan</v>
      </c>
      <c r="D715" s="82" t="s">
        <v>1153</v>
      </c>
      <c r="E715" s="83">
        <v>45352.0</v>
      </c>
      <c r="F715" s="84" t="str">
        <f t="array" ref="F715">XLOOKUP(G715,Reference!$F:$F,Reference!$D:$D,"null")</f>
        <v>Pendidikan dan Kesehatan</v>
      </c>
      <c r="G715" s="85" t="s">
        <v>98</v>
      </c>
      <c r="H715" s="86">
        <v>100.34</v>
      </c>
      <c r="I715" s="86">
        <v>99.25</v>
      </c>
      <c r="J715" s="87">
        <f t="shared" si="2"/>
        <v>1.098236776</v>
      </c>
      <c r="K715" s="84" t="str">
        <f t="shared" si="3"/>
        <v>Inflasi Tinggi</v>
      </c>
      <c r="L715" s="84">
        <f t="shared" si="4"/>
        <v>1.09</v>
      </c>
      <c r="M715" s="88" t="str">
        <f t="shared" si="5"/>
        <v>Akselerasi Persentase</v>
      </c>
    </row>
    <row r="716" ht="18.75" customHeight="1">
      <c r="A716" s="80" t="s">
        <v>331</v>
      </c>
      <c r="B716" s="81" t="str">
        <f t="shared" si="1"/>
        <v>Kota Lhokseumawe</v>
      </c>
      <c r="C716" s="81" t="str">
        <f t="array" ref="C716">XLOOKUP(B716,Reference!$A$2:$A$152,Reference!$B$2:$B$152)</f>
        <v>Aceh</v>
      </c>
      <c r="D716" s="82" t="s">
        <v>1154</v>
      </c>
      <c r="E716" s="83">
        <v>45352.0</v>
      </c>
      <c r="F716" s="84" t="str">
        <f t="array" ref="F716">XLOOKUP(G716,Reference!$F:$F,Reference!$D:$D,"null")</f>
        <v>Makanan dan Pakaian </v>
      </c>
      <c r="G716" s="85" t="s">
        <v>72</v>
      </c>
      <c r="H716" s="86">
        <v>119.64</v>
      </c>
      <c r="I716" s="86">
        <v>117.23</v>
      </c>
      <c r="J716" s="87">
        <f t="shared" si="2"/>
        <v>2.055787768</v>
      </c>
      <c r="K716" s="84" t="str">
        <f t="shared" si="3"/>
        <v>Inflasi Tinggi</v>
      </c>
      <c r="L716" s="84">
        <f t="shared" si="4"/>
        <v>2.41</v>
      </c>
      <c r="M716" s="88" t="str">
        <f t="shared" si="5"/>
        <v>Akselerasi Kuat</v>
      </c>
    </row>
    <row r="717" ht="18.75" customHeight="1">
      <c r="A717" s="80" t="s">
        <v>628</v>
      </c>
      <c r="B717" s="81" t="str">
        <f t="shared" si="1"/>
        <v>Watampone</v>
      </c>
      <c r="C717" s="81" t="str">
        <f t="array" ref="C717">XLOOKUP(B717,Reference!$A$2:$A$152,Reference!$B$2:$B$152)</f>
        <v>Sulawesi Selatan</v>
      </c>
      <c r="D717" s="82" t="s">
        <v>1155</v>
      </c>
      <c r="E717" s="83">
        <v>45352.0</v>
      </c>
      <c r="F717" s="84" t="str">
        <f t="array" ref="F717">XLOOKUP(G717,Reference!$F:$F,Reference!$D:$D,"null")</f>
        <v>Rumah Tangga</v>
      </c>
      <c r="G717" s="85" t="s">
        <v>80</v>
      </c>
      <c r="H717" s="86">
        <v>101.58</v>
      </c>
      <c r="I717" s="86">
        <v>101.58</v>
      </c>
      <c r="J717" s="87">
        <f t="shared" si="2"/>
        <v>0</v>
      </c>
      <c r="K717" s="84" t="str">
        <f t="shared" si="3"/>
        <v>Stabil</v>
      </c>
      <c r="L717" s="84">
        <f t="shared" si="4"/>
        <v>0</v>
      </c>
      <c r="M717" s="88" t="str">
        <f t="shared" si="5"/>
        <v>Perubahan Normal</v>
      </c>
    </row>
    <row r="718" ht="18.75" customHeight="1">
      <c r="A718" s="80" t="s">
        <v>658</v>
      </c>
      <c r="B718" s="81" t="str">
        <f t="shared" si="1"/>
        <v>Kota Mataram</v>
      </c>
      <c r="C718" s="81" t="str">
        <f t="array" ref="C718">XLOOKUP(B718,Reference!$A$2:$A$152,Reference!$B$2:$B$152)</f>
        <v>Nusa Tenggara Barat (NTB)</v>
      </c>
      <c r="D718" s="82" t="s">
        <v>1156</v>
      </c>
      <c r="E718" s="83">
        <v>45352.0</v>
      </c>
      <c r="F718" s="84" t="str">
        <f t="array" ref="F718">XLOOKUP(G718,Reference!$F:$F,Reference!$D:$D,"null")</f>
        <v>Makanan dan Pakaian </v>
      </c>
      <c r="G718" s="85" t="s">
        <v>48</v>
      </c>
      <c r="H718" s="86">
        <v>111.56</v>
      </c>
      <c r="I718" s="86">
        <v>109.17</v>
      </c>
      <c r="J718" s="87">
        <f t="shared" si="2"/>
        <v>2.18924613</v>
      </c>
      <c r="K718" s="84" t="str">
        <f t="shared" si="3"/>
        <v>Inflasi Tinggi</v>
      </c>
      <c r="L718" s="84">
        <f t="shared" si="4"/>
        <v>2.39</v>
      </c>
      <c r="M718" s="88" t="str">
        <f t="shared" si="5"/>
        <v>Akselerasi Kuat</v>
      </c>
    </row>
    <row r="719" ht="18.75" customHeight="1">
      <c r="A719" s="80" t="s">
        <v>658</v>
      </c>
      <c r="B719" s="81" t="str">
        <f t="shared" si="1"/>
        <v>Kota Mataram</v>
      </c>
      <c r="C719" s="81" t="str">
        <f t="array" ref="C719">XLOOKUP(B719,Reference!$A$2:$A$152,Reference!$B$2:$B$152)</f>
        <v>Nusa Tenggara Barat (NTB)</v>
      </c>
      <c r="D719" s="82" t="s">
        <v>1157</v>
      </c>
      <c r="E719" s="83">
        <v>45323.0</v>
      </c>
      <c r="F719" s="84" t="str">
        <f t="array" ref="F719">XLOOKUP(G719,Reference!$F:$F,Reference!$D:$D,"null")</f>
        <v>Rumah Tangga</v>
      </c>
      <c r="G719" s="85" t="s">
        <v>89</v>
      </c>
      <c r="H719" s="86">
        <v>104.25</v>
      </c>
      <c r="I719" s="86">
        <v>103.97</v>
      </c>
      <c r="J719" s="87">
        <f t="shared" si="2"/>
        <v>0.2693084544</v>
      </c>
      <c r="K719" s="84" t="str">
        <f t="shared" si="3"/>
        <v>Inflasi Normal</v>
      </c>
      <c r="L719" s="84">
        <f t="shared" si="4"/>
        <v>0.28</v>
      </c>
      <c r="M719" s="88" t="str">
        <f t="shared" si="5"/>
        <v>Perubahan Normal</v>
      </c>
    </row>
    <row r="720" ht="18.75" customHeight="1">
      <c r="A720" s="80" t="s">
        <v>1031</v>
      </c>
      <c r="B720" s="81" t="str">
        <f t="shared" si="1"/>
        <v>Kab Majene</v>
      </c>
      <c r="C720" s="81" t="str">
        <f t="array" ref="C720">XLOOKUP(B720,Reference!$A$2:$A$152,Reference!$B$2:$B$152)</f>
        <v>Sulawesi Barat</v>
      </c>
      <c r="D720" s="82" t="s">
        <v>1158</v>
      </c>
      <c r="E720" s="83">
        <v>45352.0</v>
      </c>
      <c r="F720" s="84" t="str">
        <f t="array" ref="F720">XLOOKUP(G720,Reference!$F:$F,Reference!$D:$D,"null")</f>
        <v>Rekreasi dan Kendaraan</v>
      </c>
      <c r="G720" s="89" t="s">
        <v>105</v>
      </c>
      <c r="H720" s="90">
        <v>101.0</v>
      </c>
      <c r="I720" s="90">
        <v>101.0</v>
      </c>
      <c r="J720" s="87">
        <f t="shared" si="2"/>
        <v>0</v>
      </c>
      <c r="K720" s="84" t="str">
        <f t="shared" si="3"/>
        <v>Stabil</v>
      </c>
      <c r="L720" s="91">
        <f t="shared" si="4"/>
        <v>0</v>
      </c>
      <c r="M720" s="88" t="str">
        <f t="shared" si="5"/>
        <v>Perubahan Normal</v>
      </c>
    </row>
    <row r="721" ht="18.75" customHeight="1">
      <c r="A721" s="80" t="s">
        <v>990</v>
      </c>
      <c r="B721" s="81" t="str">
        <f t="shared" si="1"/>
        <v>Kab Pandeglang</v>
      </c>
      <c r="C721" s="81" t="str">
        <f t="array" ref="C721">XLOOKUP(B721,Reference!$A$2:$A$152,Reference!$B$2:$B$152)</f>
        <v>Banten</v>
      </c>
      <c r="D721" s="82" t="s">
        <v>1159</v>
      </c>
      <c r="E721" s="83">
        <v>45323.0</v>
      </c>
      <c r="F721" s="84" t="str">
        <f t="array" ref="F721">XLOOKUP(G721,Reference!$F:$F,Reference!$D:$D,"null")</f>
        <v>Rumah Tangga</v>
      </c>
      <c r="G721" s="85" t="s">
        <v>89</v>
      </c>
      <c r="H721" s="86">
        <v>99.32</v>
      </c>
      <c r="I721" s="86">
        <v>99.32</v>
      </c>
      <c r="J721" s="87">
        <f t="shared" si="2"/>
        <v>0</v>
      </c>
      <c r="K721" s="84" t="str">
        <f t="shared" si="3"/>
        <v>Stabil</v>
      </c>
      <c r="L721" s="84">
        <f t="shared" si="4"/>
        <v>0</v>
      </c>
      <c r="M721" s="88" t="str">
        <f t="shared" si="5"/>
        <v>Perubahan Normal</v>
      </c>
    </row>
    <row r="722" ht="18.75" customHeight="1">
      <c r="A722" s="80" t="s">
        <v>965</v>
      </c>
      <c r="B722" s="81" t="str">
        <f t="shared" si="1"/>
        <v>Kab Konawe</v>
      </c>
      <c r="C722" s="81" t="str">
        <f t="array" ref="C722">XLOOKUP(B722,Reference!$A$2:$A$152,Reference!$B$2:$B$152)</f>
        <v>Sulawesi Tenggara</v>
      </c>
      <c r="D722" s="82" t="s">
        <v>1160</v>
      </c>
      <c r="E722" s="83">
        <v>45352.0</v>
      </c>
      <c r="F722" s="84" t="str">
        <f t="array" ref="F722">XLOOKUP(G722,Reference!$F:$F,Reference!$D:$D,"null")</f>
        <v>Makanan dan Pakaian </v>
      </c>
      <c r="G722" s="85" t="s">
        <v>48</v>
      </c>
      <c r="H722" s="86">
        <v>113.19</v>
      </c>
      <c r="I722" s="86">
        <v>109.53</v>
      </c>
      <c r="J722" s="87">
        <f t="shared" si="2"/>
        <v>3.34155026</v>
      </c>
      <c r="K722" s="84" t="str">
        <f t="shared" si="3"/>
        <v>Inflasi Tinggi</v>
      </c>
      <c r="L722" s="84">
        <f t="shared" si="4"/>
        <v>3.66</v>
      </c>
      <c r="M722" s="88" t="str">
        <f t="shared" si="5"/>
        <v>Akselerasi Kuat</v>
      </c>
    </row>
    <row r="723" ht="18.75" customHeight="1">
      <c r="A723" s="80" t="s">
        <v>314</v>
      </c>
      <c r="B723" s="81" t="str">
        <f t="shared" si="1"/>
        <v>Kota Jayapura</v>
      </c>
      <c r="C723" s="81" t="str">
        <f t="array" ref="C723">XLOOKUP(B723,Reference!$A$2:$A$152,Reference!$B$2:$B$152)</f>
        <v>Papua</v>
      </c>
      <c r="D723" s="82" t="s">
        <v>1161</v>
      </c>
      <c r="E723" s="83">
        <v>45323.0</v>
      </c>
      <c r="F723" s="84" t="str">
        <f t="array" ref="F723">XLOOKUP(G723,Reference!$F:$F,Reference!$D:$D,"null")</f>
        <v>Rekreasi dan Kendaraan</v>
      </c>
      <c r="G723" s="85" t="s">
        <v>105</v>
      </c>
      <c r="H723" s="86">
        <v>104.53</v>
      </c>
      <c r="I723" s="86">
        <v>104.58</v>
      </c>
      <c r="J723" s="87">
        <f t="shared" si="2"/>
        <v>-0.04781028877</v>
      </c>
      <c r="K723" s="84" t="str">
        <f t="shared" si="3"/>
        <v>Deflasi</v>
      </c>
      <c r="L723" s="84">
        <f t="shared" si="4"/>
        <v>-0.05</v>
      </c>
      <c r="M723" s="88" t="str">
        <f t="shared" si="5"/>
        <v>Perubahan Normal</v>
      </c>
    </row>
    <row r="724" ht="18.75" customHeight="1">
      <c r="A724" s="80" t="s">
        <v>370</v>
      </c>
      <c r="B724" s="81" t="str">
        <f t="shared" si="1"/>
        <v>Jember</v>
      </c>
      <c r="C724" s="81" t="str">
        <f t="array" ref="C724">XLOOKUP(B724,Reference!$A$2:$A$152,Reference!$B$2:$B$152)</f>
        <v>Jawa Timur</v>
      </c>
      <c r="D724" s="82" t="s">
        <v>1162</v>
      </c>
      <c r="E724" s="83">
        <v>45323.0</v>
      </c>
      <c r="F724" s="84" t="str">
        <f t="array" ref="F724">XLOOKUP(G724,Reference!$F:$F,Reference!$D:$D,"null")</f>
        <v>Rumah Tangga</v>
      </c>
      <c r="G724" s="85" t="s">
        <v>84</v>
      </c>
      <c r="H724" s="86">
        <v>100.77</v>
      </c>
      <c r="I724" s="86">
        <v>101.27</v>
      </c>
      <c r="J724" s="87">
        <f t="shared" si="2"/>
        <v>-0.4937296337</v>
      </c>
      <c r="K724" s="84" t="str">
        <f t="shared" si="3"/>
        <v>Deflasi</v>
      </c>
      <c r="L724" s="84">
        <f t="shared" si="4"/>
        <v>-0.5</v>
      </c>
      <c r="M724" s="88" t="str">
        <f t="shared" si="5"/>
        <v>Perubahan Normal</v>
      </c>
    </row>
    <row r="725" ht="18.75" customHeight="1">
      <c r="A725" s="80" t="s">
        <v>497</v>
      </c>
      <c r="B725" s="81" t="str">
        <f t="shared" si="1"/>
        <v>Tanjung Pandan</v>
      </c>
      <c r="C725" s="81" t="str">
        <f t="array" ref="C725">XLOOKUP(B725,Reference!$A$2:$A$152,Reference!$B$2:$B$152)</f>
        <v>Kepulauan Bangka Belitung</v>
      </c>
      <c r="D725" s="82" t="s">
        <v>1163</v>
      </c>
      <c r="E725" s="83">
        <v>45323.0</v>
      </c>
      <c r="F725" s="84" t="str">
        <f t="array" ref="F725">XLOOKUP(G725,Reference!$F:$F,Reference!$D:$D,"null")</f>
        <v>Makanan dan Pakaian </v>
      </c>
      <c r="G725" s="85" t="s">
        <v>48</v>
      </c>
      <c r="H725" s="86">
        <v>105.08</v>
      </c>
      <c r="I725" s="86">
        <v>102.73</v>
      </c>
      <c r="J725" s="87">
        <f t="shared" si="2"/>
        <v>2.287549888</v>
      </c>
      <c r="K725" s="84" t="str">
        <f t="shared" si="3"/>
        <v>Inflasi Tinggi</v>
      </c>
      <c r="L725" s="84">
        <f t="shared" si="4"/>
        <v>2.35</v>
      </c>
      <c r="M725" s="88" t="str">
        <f t="shared" si="5"/>
        <v>Akselerasi Kuat</v>
      </c>
    </row>
    <row r="726" ht="18.75" customHeight="1">
      <c r="A726" s="80" t="s">
        <v>308</v>
      </c>
      <c r="B726" s="81" t="str">
        <f t="shared" si="1"/>
        <v>Kab Sukamara</v>
      </c>
      <c r="C726" s="81" t="str">
        <f t="array" ref="C726">XLOOKUP(B726,Reference!$A$2:$A$152,Reference!$B$2:$B$152)</f>
        <v>Kalimantan Tengah</v>
      </c>
      <c r="D726" s="82" t="s">
        <v>1164</v>
      </c>
      <c r="E726" s="83">
        <v>45352.0</v>
      </c>
      <c r="F726" s="84" t="str">
        <f t="array" ref="F726">XLOOKUP(G726,Reference!$F:$F,Reference!$D:$D,"null")</f>
        <v>Makanan dan Pakaian </v>
      </c>
      <c r="G726" s="85" t="s">
        <v>56</v>
      </c>
      <c r="H726" s="86">
        <v>109.09</v>
      </c>
      <c r="I726" s="86">
        <v>109.12</v>
      </c>
      <c r="J726" s="87">
        <f t="shared" si="2"/>
        <v>-0.02749266862</v>
      </c>
      <c r="K726" s="84" t="str">
        <f t="shared" si="3"/>
        <v>Deflasi</v>
      </c>
      <c r="L726" s="84">
        <f t="shared" si="4"/>
        <v>-0.03</v>
      </c>
      <c r="M726" s="88" t="str">
        <f t="shared" si="5"/>
        <v>Perubahan Normal</v>
      </c>
    </row>
    <row r="727" ht="18.75" customHeight="1">
      <c r="A727" s="80" t="s">
        <v>727</v>
      </c>
      <c r="B727" s="81" t="str">
        <f t="shared" si="1"/>
        <v>Kab Badung</v>
      </c>
      <c r="C727" s="81" t="str">
        <f t="array" ref="C727">XLOOKUP(B727,Reference!$A$2:$A$152,Reference!$B$2:$B$152)</f>
        <v>Bali</v>
      </c>
      <c r="D727" s="82" t="s">
        <v>1165</v>
      </c>
      <c r="E727" s="83">
        <v>45323.0</v>
      </c>
      <c r="F727" s="84" t="str">
        <f t="array" ref="F727">XLOOKUP(G727,Reference!$F:$F,Reference!$D:$D,"null")</f>
        <v>Makanan dan Pakaian </v>
      </c>
      <c r="G727" s="85" t="s">
        <v>48</v>
      </c>
      <c r="H727" s="86">
        <v>108.84</v>
      </c>
      <c r="I727" s="86">
        <v>106.71</v>
      </c>
      <c r="J727" s="87">
        <f t="shared" si="2"/>
        <v>1.996064099</v>
      </c>
      <c r="K727" s="84" t="str">
        <f t="shared" si="3"/>
        <v>Inflasi Tinggi</v>
      </c>
      <c r="L727" s="84">
        <f t="shared" si="4"/>
        <v>2.13</v>
      </c>
      <c r="M727" s="88" t="str">
        <f t="shared" si="5"/>
        <v>Akselerasi Kuat</v>
      </c>
    </row>
    <row r="728" ht="18.75" customHeight="1">
      <c r="A728" s="80" t="s">
        <v>715</v>
      </c>
      <c r="B728" s="81" t="str">
        <f t="shared" si="1"/>
        <v>Kab Bojonegoro</v>
      </c>
      <c r="C728" s="81" t="str">
        <f t="array" ref="C728">XLOOKUP(B728,Reference!$A$2:$A$152,Reference!$B$2:$B$152)</f>
        <v>Jawa Timur</v>
      </c>
      <c r="D728" s="82" t="s">
        <v>1166</v>
      </c>
      <c r="E728" s="83">
        <v>45352.0</v>
      </c>
      <c r="F728" s="84" t="str">
        <f t="array" ref="F728">XLOOKUP(G728,Reference!$F:$F,Reference!$D:$D,"null")</f>
        <v>Rumah Tangga</v>
      </c>
      <c r="G728" s="85" t="s">
        <v>80</v>
      </c>
      <c r="H728" s="86">
        <v>100.31</v>
      </c>
      <c r="I728" s="86">
        <v>100.31</v>
      </c>
      <c r="J728" s="87">
        <f t="shared" si="2"/>
        <v>0</v>
      </c>
      <c r="K728" s="84" t="str">
        <f t="shared" si="3"/>
        <v>Stabil</v>
      </c>
      <c r="L728" s="84">
        <f t="shared" si="4"/>
        <v>0</v>
      </c>
      <c r="M728" s="88" t="str">
        <f t="shared" si="5"/>
        <v>Perubahan Normal</v>
      </c>
    </row>
    <row r="729" ht="18.75" customHeight="1">
      <c r="A729" s="80" t="s">
        <v>340</v>
      </c>
      <c r="B729" s="81" t="str">
        <f t="shared" si="1"/>
        <v>Kab Rembang</v>
      </c>
      <c r="C729" s="81" t="str">
        <f t="array" ref="C729">XLOOKUP(B729,Reference!$A$2:$A$152,Reference!$B$2:$B$152)</f>
        <v>Jawa Tengah</v>
      </c>
      <c r="D729" s="82" t="s">
        <v>1167</v>
      </c>
      <c r="E729" s="83">
        <v>45323.0</v>
      </c>
      <c r="F729" s="84" t="str">
        <f t="array" ref="F729">XLOOKUP(G729,Reference!$F:$F,Reference!$D:$D,"null")</f>
        <v>Makanan dan Pakaian </v>
      </c>
      <c r="G729" s="85" t="s">
        <v>56</v>
      </c>
      <c r="H729" s="86">
        <v>114.3</v>
      </c>
      <c r="I729" s="86">
        <v>117.84</v>
      </c>
      <c r="J729" s="87">
        <f t="shared" si="2"/>
        <v>-3.00407332</v>
      </c>
      <c r="K729" s="84" t="str">
        <f t="shared" si="3"/>
        <v>Deflasi</v>
      </c>
      <c r="L729" s="84">
        <f t="shared" si="4"/>
        <v>-3.54</v>
      </c>
      <c r="M729" s="88" t="str">
        <f t="shared" si="5"/>
        <v>Perubahan Normal</v>
      </c>
    </row>
    <row r="730" ht="18.75" customHeight="1">
      <c r="A730" s="80" t="s">
        <v>654</v>
      </c>
      <c r="B730" s="81" t="str">
        <f t="shared" si="1"/>
        <v>Kab Aceh Tengah</v>
      </c>
      <c r="C730" s="81" t="str">
        <f t="array" ref="C730">XLOOKUP(B730,Reference!$A$2:$A$152,Reference!$B$2:$B$152)</f>
        <v>Aceh</v>
      </c>
      <c r="D730" s="82" t="s">
        <v>1168</v>
      </c>
      <c r="E730" s="83">
        <v>45323.0</v>
      </c>
      <c r="F730" s="84" t="str">
        <f t="array" ref="F730">XLOOKUP(G730,Reference!$F:$F,Reference!$D:$D,"null")</f>
        <v>Rekreasi dan Kendaraan</v>
      </c>
      <c r="G730" s="85" t="s">
        <v>105</v>
      </c>
      <c r="H730" s="86">
        <v>101.18</v>
      </c>
      <c r="I730" s="86">
        <v>100.71</v>
      </c>
      <c r="J730" s="87">
        <f t="shared" si="2"/>
        <v>0.4666865257</v>
      </c>
      <c r="K730" s="84" t="str">
        <f t="shared" si="3"/>
        <v>Inflasi Normal</v>
      </c>
      <c r="L730" s="84">
        <f t="shared" si="4"/>
        <v>0.47</v>
      </c>
      <c r="M730" s="88" t="str">
        <f t="shared" si="5"/>
        <v>Perubahan Normal</v>
      </c>
    </row>
    <row r="731" ht="18.75" customHeight="1">
      <c r="A731" s="80" t="s">
        <v>322</v>
      </c>
      <c r="B731" s="81" t="str">
        <f t="shared" si="1"/>
        <v>Purwokerto</v>
      </c>
      <c r="C731" s="81" t="str">
        <f t="array" ref="C731">XLOOKUP(B731,Reference!$A$2:$A$152,Reference!$B$2:$B$152)</f>
        <v>Jawa Tengah</v>
      </c>
      <c r="D731" s="82" t="s">
        <v>1169</v>
      </c>
      <c r="E731" s="83">
        <v>45323.0</v>
      </c>
      <c r="F731" s="84" t="str">
        <f t="array" ref="F731">XLOOKUP(G731,Reference!$F:$F,Reference!$D:$D,"null")</f>
        <v>Makanan dan Pakaian </v>
      </c>
      <c r="G731" s="85" t="s">
        <v>48</v>
      </c>
      <c r="H731" s="86">
        <v>110.13</v>
      </c>
      <c r="I731" s="86">
        <v>108.31</v>
      </c>
      <c r="J731" s="87">
        <f t="shared" si="2"/>
        <v>1.680361924</v>
      </c>
      <c r="K731" s="84" t="str">
        <f t="shared" si="3"/>
        <v>Inflasi Tinggi</v>
      </c>
      <c r="L731" s="84">
        <f t="shared" si="4"/>
        <v>1.82</v>
      </c>
      <c r="M731" s="88" t="str">
        <f t="shared" si="5"/>
        <v>Akselerasi Persentase</v>
      </c>
    </row>
    <row r="732" ht="18.75" customHeight="1">
      <c r="A732" s="80" t="s">
        <v>333</v>
      </c>
      <c r="B732" s="81" t="str">
        <f t="shared" si="1"/>
        <v>Kab Pasaman Barat</v>
      </c>
      <c r="C732" s="81" t="str">
        <f t="array" ref="C732">XLOOKUP(B732,Reference!$A$2:$A$152,Reference!$B$2:$B$152)</f>
        <v>Sumatera Barat</v>
      </c>
      <c r="D732" s="82" t="s">
        <v>1170</v>
      </c>
      <c r="E732" s="83">
        <v>45352.0</v>
      </c>
      <c r="F732" s="84" t="str">
        <f t="array" ref="F732">XLOOKUP(G732,Reference!$F:$F,Reference!$D:$D,"null")</f>
        <v>Makanan dan Pakaian </v>
      </c>
      <c r="G732" s="85" t="s">
        <v>72</v>
      </c>
      <c r="H732" s="86">
        <v>103.9</v>
      </c>
      <c r="I732" s="86">
        <v>103.98</v>
      </c>
      <c r="J732" s="87">
        <f t="shared" si="2"/>
        <v>-0.07693787267</v>
      </c>
      <c r="K732" s="84" t="str">
        <f t="shared" si="3"/>
        <v>Deflasi</v>
      </c>
      <c r="L732" s="84">
        <f t="shared" si="4"/>
        <v>-0.08</v>
      </c>
      <c r="M732" s="88" t="str">
        <f t="shared" si="5"/>
        <v>Perubahan Normal</v>
      </c>
    </row>
    <row r="733" ht="18.75" customHeight="1">
      <c r="A733" s="80" t="s">
        <v>485</v>
      </c>
      <c r="B733" s="81" t="str">
        <f t="shared" si="1"/>
        <v>Banyuwangi</v>
      </c>
      <c r="C733" s="81" t="str">
        <f t="array" ref="C733">XLOOKUP(B733,Reference!$A$2:$A$152,Reference!$B$2:$B$152)</f>
        <v>Jawa Timur</v>
      </c>
      <c r="D733" s="82" t="s">
        <v>1171</v>
      </c>
      <c r="E733" s="83">
        <v>45352.0</v>
      </c>
      <c r="F733" s="84" t="str">
        <f t="array" ref="F733">XLOOKUP(G733,Reference!$F:$F,Reference!$D:$D,"null")</f>
        <v>Rekreasi dan Kendaraan</v>
      </c>
      <c r="G733" s="85" t="s">
        <v>102</v>
      </c>
      <c r="H733" s="86">
        <v>103.15</v>
      </c>
      <c r="I733" s="86">
        <v>102.98</v>
      </c>
      <c r="J733" s="87">
        <f t="shared" si="2"/>
        <v>0.1650805982</v>
      </c>
      <c r="K733" s="84" t="str">
        <f t="shared" si="3"/>
        <v>Inflasi Normal</v>
      </c>
      <c r="L733" s="84">
        <f t="shared" si="4"/>
        <v>0.17</v>
      </c>
      <c r="M733" s="88" t="str">
        <f t="shared" si="5"/>
        <v>Perubahan Normal</v>
      </c>
    </row>
    <row r="734" ht="18.75" customHeight="1">
      <c r="A734" s="80" t="s">
        <v>310</v>
      </c>
      <c r="B734" s="81" t="str">
        <f t="shared" si="1"/>
        <v>Kab Kampar</v>
      </c>
      <c r="C734" s="81" t="str">
        <f t="array" ref="C734">XLOOKUP(B734,Reference!$A$2:$A$152,Reference!$B$2:$B$152)</f>
        <v>Riau</v>
      </c>
      <c r="D734" s="82" t="s">
        <v>1172</v>
      </c>
      <c r="E734" s="83">
        <v>45352.0</v>
      </c>
      <c r="F734" s="84" t="str">
        <f t="array" ref="F734">XLOOKUP(G734,Reference!$F:$F,Reference!$D:$D,"null")</f>
        <v>Makanan dan Pakaian </v>
      </c>
      <c r="G734" s="85" t="s">
        <v>64</v>
      </c>
      <c r="H734" s="86">
        <v>111.67</v>
      </c>
      <c r="I734" s="86">
        <v>109.55</v>
      </c>
      <c r="J734" s="87">
        <f t="shared" si="2"/>
        <v>1.935189411</v>
      </c>
      <c r="K734" s="84" t="str">
        <f t="shared" si="3"/>
        <v>Inflasi Tinggi</v>
      </c>
      <c r="L734" s="84">
        <f t="shared" si="4"/>
        <v>2.12</v>
      </c>
      <c r="M734" s="88" t="str">
        <f t="shared" si="5"/>
        <v>Akselerasi Kuat</v>
      </c>
    </row>
    <row r="735" ht="18.75" customHeight="1">
      <c r="A735" s="80" t="s">
        <v>573</v>
      </c>
      <c r="B735" s="81" t="str">
        <f t="shared" si="1"/>
        <v>Kota Palangkaraya</v>
      </c>
      <c r="C735" s="81" t="str">
        <f t="array" ref="C735">XLOOKUP(B735,Reference!$A$2:$A$152,Reference!$B$2:$B$152)</f>
        <v>Kalimantan Tengah</v>
      </c>
      <c r="D735" s="82" t="s">
        <v>1173</v>
      </c>
      <c r="E735" s="83">
        <v>45323.0</v>
      </c>
      <c r="F735" s="84" t="str">
        <f t="array" ref="F735">XLOOKUP(G735,Reference!$F:$F,Reference!$D:$D,"null")</f>
        <v>Rekreasi dan Kendaraan</v>
      </c>
      <c r="G735" s="89" t="s">
        <v>102</v>
      </c>
      <c r="H735" s="90">
        <v>103.02</v>
      </c>
      <c r="I735" s="90">
        <v>103.0</v>
      </c>
      <c r="J735" s="87">
        <f t="shared" si="2"/>
        <v>0.01941747573</v>
      </c>
      <c r="K735" s="84" t="str">
        <f t="shared" si="3"/>
        <v>Inflasi Normal</v>
      </c>
      <c r="L735" s="91">
        <f t="shared" si="4"/>
        <v>0.02</v>
      </c>
      <c r="M735" s="88" t="str">
        <f t="shared" si="5"/>
        <v>Perubahan Normal</v>
      </c>
    </row>
    <row r="736" ht="18.75" customHeight="1">
      <c r="A736" s="80" t="s">
        <v>524</v>
      </c>
      <c r="B736" s="81" t="str">
        <f t="shared" si="1"/>
        <v>Kudus</v>
      </c>
      <c r="C736" s="81" t="str">
        <f t="array" ref="C736">XLOOKUP(B736,Reference!$A$2:$A$152,Reference!$B$2:$B$152)</f>
        <v>Jawa Tengah</v>
      </c>
      <c r="D736" s="82" t="s">
        <v>1174</v>
      </c>
      <c r="E736" s="83">
        <v>45352.0</v>
      </c>
      <c r="F736" s="84" t="str">
        <f t="array" ref="F736">XLOOKUP(G736,Reference!$F:$F,Reference!$D:$D,"null")</f>
        <v>Rumah Tangga</v>
      </c>
      <c r="G736" s="89" t="s">
        <v>80</v>
      </c>
      <c r="H736" s="90">
        <v>102.74</v>
      </c>
      <c r="I736" s="90">
        <v>102.74</v>
      </c>
      <c r="J736" s="87">
        <f t="shared" si="2"/>
        <v>0</v>
      </c>
      <c r="K736" s="84" t="str">
        <f t="shared" si="3"/>
        <v>Stabil</v>
      </c>
      <c r="L736" s="91">
        <f t="shared" si="4"/>
        <v>0</v>
      </c>
      <c r="M736" s="88" t="str">
        <f t="shared" si="5"/>
        <v>Perubahan Normal</v>
      </c>
    </row>
    <row r="737" ht="18.75" customHeight="1">
      <c r="A737" s="80" t="s">
        <v>616</v>
      </c>
      <c r="B737" s="81" t="str">
        <f t="shared" si="1"/>
        <v>Kab Sorong</v>
      </c>
      <c r="C737" s="81" t="str">
        <f t="array" ref="C737">XLOOKUP(B737,Reference!$A$2:$A$152,Reference!$B$2:$B$152)</f>
        <v>Papua Barat Daya</v>
      </c>
      <c r="D737" s="82" t="s">
        <v>1175</v>
      </c>
      <c r="E737" s="83">
        <v>45352.0</v>
      </c>
      <c r="F737" s="84" t="str">
        <f t="array" ref="F737">XLOOKUP(G737,Reference!$F:$F,Reference!$D:$D,"null")</f>
        <v>Makanan dan Pakaian </v>
      </c>
      <c r="G737" s="85" t="s">
        <v>56</v>
      </c>
      <c r="H737" s="86">
        <v>100.74</v>
      </c>
      <c r="I737" s="86">
        <v>100.9</v>
      </c>
      <c r="J737" s="87">
        <f t="shared" si="2"/>
        <v>-0.1585728444</v>
      </c>
      <c r="K737" s="84" t="str">
        <f t="shared" si="3"/>
        <v>Deflasi</v>
      </c>
      <c r="L737" s="84">
        <f t="shared" si="4"/>
        <v>-0.16</v>
      </c>
      <c r="M737" s="88" t="str">
        <f t="shared" si="5"/>
        <v>Perubahan Normal</v>
      </c>
    </row>
    <row r="738" ht="18.75" customHeight="1">
      <c r="A738" s="80" t="s">
        <v>468</v>
      </c>
      <c r="B738" s="81" t="str">
        <f t="shared" si="1"/>
        <v>Timika</v>
      </c>
      <c r="C738" s="81" t="str">
        <f t="array" ref="C738">XLOOKUP(B738,Reference!$A$2:$A$152,Reference!$B$2:$B$152)</f>
        <v>Papua</v>
      </c>
      <c r="D738" s="82" t="s">
        <v>1176</v>
      </c>
      <c r="E738" s="83">
        <v>45323.0</v>
      </c>
      <c r="F738" s="84" t="str">
        <f t="array" ref="F738">XLOOKUP(G738,Reference!$F:$F,Reference!$D:$D,"null")</f>
        <v>Makanan dan Pakaian </v>
      </c>
      <c r="G738" s="85" t="s">
        <v>56</v>
      </c>
      <c r="H738" s="86">
        <v>95.31</v>
      </c>
      <c r="I738" s="86">
        <v>94.58</v>
      </c>
      <c r="J738" s="87">
        <f t="shared" si="2"/>
        <v>0.7718333686</v>
      </c>
      <c r="K738" s="84" t="str">
        <f t="shared" si="3"/>
        <v>Inflasi Tinggi</v>
      </c>
      <c r="L738" s="84">
        <f t="shared" si="4"/>
        <v>0.73</v>
      </c>
      <c r="M738" s="88" t="str">
        <f t="shared" si="5"/>
        <v>Akselerasi Persentase</v>
      </c>
    </row>
    <row r="739" ht="18.75" customHeight="1">
      <c r="A739" s="80" t="s">
        <v>433</v>
      </c>
      <c r="B739" s="81" t="str">
        <f t="shared" si="1"/>
        <v>Kab Tulungagung</v>
      </c>
      <c r="C739" s="81" t="str">
        <f t="array" ref="C739">XLOOKUP(B739,Reference!$A$2:$A$152,Reference!$B$2:$B$152)</f>
        <v>Jawa Timur</v>
      </c>
      <c r="D739" s="82" t="s">
        <v>1177</v>
      </c>
      <c r="E739" s="83">
        <v>45352.0</v>
      </c>
      <c r="F739" s="84" t="str">
        <f t="array" ref="F739">XLOOKUP(G739,Reference!$F:$F,Reference!$D:$D,"null")</f>
        <v>Makanan dan Pakaian </v>
      </c>
      <c r="G739" s="89" t="s">
        <v>64</v>
      </c>
      <c r="H739" s="90">
        <v>105.46</v>
      </c>
      <c r="I739" s="90">
        <v>105.12</v>
      </c>
      <c r="J739" s="87">
        <f t="shared" si="2"/>
        <v>0.3234398782</v>
      </c>
      <c r="K739" s="84" t="str">
        <f t="shared" si="3"/>
        <v>Inflasi Normal</v>
      </c>
      <c r="L739" s="91">
        <f t="shared" si="4"/>
        <v>0.34</v>
      </c>
      <c r="M739" s="88" t="str">
        <f t="shared" si="5"/>
        <v>Perubahan Normal</v>
      </c>
    </row>
    <row r="740" ht="18.75" customHeight="1">
      <c r="A740" s="80" t="s">
        <v>473</v>
      </c>
      <c r="B740" s="81" t="str">
        <f t="shared" si="1"/>
        <v>Kab Wajo</v>
      </c>
      <c r="C740" s="81" t="str">
        <f t="array" ref="C740">XLOOKUP(B740,Reference!$A$2:$A$152,Reference!$B$2:$B$152)</f>
        <v>Sulawesi Selatan</v>
      </c>
      <c r="D740" s="82" t="s">
        <v>1178</v>
      </c>
      <c r="E740" s="83">
        <v>45352.0</v>
      </c>
      <c r="F740" s="84" t="str">
        <f t="array" ref="F740">XLOOKUP(G740,Reference!$F:$F,Reference!$D:$D,"null")</f>
        <v>Rumah Tangga</v>
      </c>
      <c r="G740" s="85" t="s">
        <v>80</v>
      </c>
      <c r="H740" s="86">
        <v>104.26</v>
      </c>
      <c r="I740" s="86">
        <v>104.26</v>
      </c>
      <c r="J740" s="87">
        <f t="shared" si="2"/>
        <v>0</v>
      </c>
      <c r="K740" s="84" t="str">
        <f t="shared" si="3"/>
        <v>Stabil</v>
      </c>
      <c r="L740" s="84">
        <f t="shared" si="4"/>
        <v>0</v>
      </c>
      <c r="M740" s="88" t="str">
        <f t="shared" si="5"/>
        <v>Perubahan Normal</v>
      </c>
    </row>
    <row r="741" ht="18.75" customHeight="1">
      <c r="A741" s="80" t="s">
        <v>473</v>
      </c>
      <c r="B741" s="81" t="str">
        <f t="shared" si="1"/>
        <v>Kab Wajo</v>
      </c>
      <c r="C741" s="81" t="str">
        <f t="array" ref="C741">XLOOKUP(B741,Reference!$A$2:$A$152,Reference!$B$2:$B$152)</f>
        <v>Sulawesi Selatan</v>
      </c>
      <c r="D741" s="82" t="s">
        <v>1179</v>
      </c>
      <c r="E741" s="83">
        <v>45323.0</v>
      </c>
      <c r="F741" s="84" t="str">
        <f t="array" ref="F741">XLOOKUP(G741,Reference!$F:$F,Reference!$D:$D,"null")</f>
        <v>Rekreasi dan Kendaraan</v>
      </c>
      <c r="G741" s="85" t="s">
        <v>105</v>
      </c>
      <c r="H741" s="86">
        <v>101.83</v>
      </c>
      <c r="I741" s="86">
        <v>101.47</v>
      </c>
      <c r="J741" s="87">
        <f t="shared" si="2"/>
        <v>0.3547846654</v>
      </c>
      <c r="K741" s="84" t="str">
        <f t="shared" si="3"/>
        <v>Inflasi Normal</v>
      </c>
      <c r="L741" s="84">
        <f t="shared" si="4"/>
        <v>0.36</v>
      </c>
      <c r="M741" s="88" t="str">
        <f t="shared" si="5"/>
        <v>Perubahan Normal</v>
      </c>
    </row>
    <row r="742" ht="18.75" customHeight="1">
      <c r="A742" s="80" t="s">
        <v>672</v>
      </c>
      <c r="B742" s="81" t="str">
        <f t="shared" si="1"/>
        <v>Kab Ogan Komering Ilir</v>
      </c>
      <c r="C742" s="81" t="str">
        <f t="array" ref="C742">XLOOKUP(B742,Reference!$A$2:$A$152,Reference!$B$2:$B$152)</f>
        <v>Sumatera Selatan</v>
      </c>
      <c r="D742" s="82" t="s">
        <v>1180</v>
      </c>
      <c r="E742" s="83">
        <v>45352.0</v>
      </c>
      <c r="F742" s="84" t="str">
        <f t="array" ref="F742">XLOOKUP(G742,Reference!$F:$F,Reference!$D:$D,"null")</f>
        <v>Makanan dan Pakaian </v>
      </c>
      <c r="G742" s="85" t="s">
        <v>72</v>
      </c>
      <c r="H742" s="86">
        <v>97.02</v>
      </c>
      <c r="I742" s="86">
        <v>97.13</v>
      </c>
      <c r="J742" s="87">
        <f t="shared" si="2"/>
        <v>-0.1132502831</v>
      </c>
      <c r="K742" s="84" t="str">
        <f t="shared" si="3"/>
        <v>Deflasi</v>
      </c>
      <c r="L742" s="84">
        <f t="shared" si="4"/>
        <v>-0.11</v>
      </c>
      <c r="M742" s="88" t="str">
        <f t="shared" si="5"/>
        <v>Perubahan Normal</v>
      </c>
    </row>
    <row r="743" ht="18.75" customHeight="1">
      <c r="A743" s="80" t="s">
        <v>466</v>
      </c>
      <c r="B743" s="81" t="str">
        <f t="shared" si="1"/>
        <v>Kota Surabaya</v>
      </c>
      <c r="C743" s="81" t="str">
        <f t="array" ref="C743">XLOOKUP(B743,Reference!$A$2:$A$152,Reference!$B$2:$B$152)</f>
        <v>Jawa Timur</v>
      </c>
      <c r="D743" s="82" t="s">
        <v>1181</v>
      </c>
      <c r="E743" s="83">
        <v>45323.0</v>
      </c>
      <c r="F743" s="84" t="str">
        <f t="array" ref="F743">XLOOKUP(G743,Reference!$F:$F,Reference!$D:$D,"null")</f>
        <v>Rumah Tangga</v>
      </c>
      <c r="G743" s="85" t="s">
        <v>89</v>
      </c>
      <c r="H743" s="86">
        <v>103.9</v>
      </c>
      <c r="I743" s="86">
        <v>103.9</v>
      </c>
      <c r="J743" s="87">
        <f t="shared" si="2"/>
        <v>0</v>
      </c>
      <c r="K743" s="84" t="str">
        <f t="shared" si="3"/>
        <v>Stabil</v>
      </c>
      <c r="L743" s="84">
        <f t="shared" si="4"/>
        <v>0</v>
      </c>
      <c r="M743" s="88" t="str">
        <f t="shared" si="5"/>
        <v>Perubahan Normal</v>
      </c>
    </row>
    <row r="744" ht="18.75" customHeight="1">
      <c r="A744" s="80" t="s">
        <v>454</v>
      </c>
      <c r="B744" s="81" t="str">
        <f t="shared" si="1"/>
        <v>Kab Ketapang</v>
      </c>
      <c r="C744" s="81" t="str">
        <f t="array" ref="C744">XLOOKUP(B744,Reference!$A$2:$A$152,Reference!$B$2:$B$152)</f>
        <v>Kalimantan Barat</v>
      </c>
      <c r="D744" s="82" t="s">
        <v>1182</v>
      </c>
      <c r="E744" s="83">
        <v>45323.0</v>
      </c>
      <c r="F744" s="84" t="str">
        <f t="array" ref="F744">XLOOKUP(G744,Reference!$F:$F,Reference!$D:$D,"null")</f>
        <v>Makanan dan Pakaian </v>
      </c>
      <c r="G744" s="85" t="s">
        <v>64</v>
      </c>
      <c r="H744" s="86">
        <v>101.77</v>
      </c>
      <c r="I744" s="86">
        <v>101.76</v>
      </c>
      <c r="J744" s="87">
        <f t="shared" si="2"/>
        <v>0.009827044025</v>
      </c>
      <c r="K744" s="84" t="str">
        <f t="shared" si="3"/>
        <v>Inflasi Normal</v>
      </c>
      <c r="L744" s="84">
        <f t="shared" si="4"/>
        <v>0.01</v>
      </c>
      <c r="M744" s="88" t="str">
        <f t="shared" si="5"/>
        <v>Perubahan Normal</v>
      </c>
    </row>
    <row r="745" ht="18.75" customHeight="1">
      <c r="A745" s="80" t="s">
        <v>302</v>
      </c>
      <c r="B745" s="81" t="str">
        <f t="shared" si="1"/>
        <v>Kota Lubuk Linggau</v>
      </c>
      <c r="C745" s="81" t="str">
        <f t="array" ref="C745">XLOOKUP(B745,Reference!$A$2:$A$152,Reference!$B$2:$B$152)</f>
        <v>Sumatera Selatan</v>
      </c>
      <c r="D745" s="82" t="s">
        <v>1183</v>
      </c>
      <c r="E745" s="83">
        <v>45352.0</v>
      </c>
      <c r="F745" s="84" t="str">
        <f t="array" ref="F745">XLOOKUP(G745,Reference!$F:$F,Reference!$D:$D,"null")</f>
        <v>Rekreasi dan Kendaraan</v>
      </c>
      <c r="G745" s="85" t="s">
        <v>105</v>
      </c>
      <c r="H745" s="86">
        <v>106.01</v>
      </c>
      <c r="I745" s="86">
        <v>105.5</v>
      </c>
      <c r="J745" s="87">
        <f t="shared" si="2"/>
        <v>0.4834123223</v>
      </c>
      <c r="K745" s="84" t="str">
        <f t="shared" si="3"/>
        <v>Inflasi Normal</v>
      </c>
      <c r="L745" s="84">
        <f t="shared" si="4"/>
        <v>0.51</v>
      </c>
      <c r="M745" s="88" t="str">
        <f t="shared" si="5"/>
        <v>Perubahan Normal</v>
      </c>
    </row>
    <row r="746" ht="18.75" customHeight="1">
      <c r="A746" s="80" t="s">
        <v>495</v>
      </c>
      <c r="B746" s="81" t="str">
        <f t="shared" si="1"/>
        <v>Kota Medan</v>
      </c>
      <c r="C746" s="81" t="str">
        <f t="array" ref="C746">XLOOKUP(B746,Reference!$A$2:$A$152,Reference!$B$2:$B$152)</f>
        <v>Sumatera Utara</v>
      </c>
      <c r="D746" s="82" t="s">
        <v>1184</v>
      </c>
      <c r="E746" s="83">
        <v>45352.0</v>
      </c>
      <c r="F746" s="84" t="str">
        <f t="array" ref="F746">XLOOKUP(G746,Reference!$F:$F,Reference!$D:$D,"null")</f>
        <v>Makanan dan Pakaian </v>
      </c>
      <c r="G746" s="85" t="s">
        <v>64</v>
      </c>
      <c r="H746" s="86">
        <v>104.12</v>
      </c>
      <c r="I746" s="86">
        <v>103.76</v>
      </c>
      <c r="J746" s="87">
        <f t="shared" si="2"/>
        <v>0.3469545104</v>
      </c>
      <c r="K746" s="84" t="str">
        <f t="shared" si="3"/>
        <v>Inflasi Normal</v>
      </c>
      <c r="L746" s="84">
        <f t="shared" si="4"/>
        <v>0.36</v>
      </c>
      <c r="M746" s="88" t="str">
        <f t="shared" si="5"/>
        <v>Perubahan Normal</v>
      </c>
    </row>
    <row r="747" ht="18.75" customHeight="1">
      <c r="A747" s="80" t="s">
        <v>387</v>
      </c>
      <c r="B747" s="81" t="str">
        <f t="shared" si="1"/>
        <v>Kota Semarang</v>
      </c>
      <c r="C747" s="81" t="str">
        <f t="array" ref="C747">XLOOKUP(B747,Reference!$A$2:$A$152,Reference!$B$2:$B$152)</f>
        <v>Jawa Tengah</v>
      </c>
      <c r="D747" s="82" t="s">
        <v>1185</v>
      </c>
      <c r="E747" s="83">
        <v>45352.0</v>
      </c>
      <c r="F747" s="84" t="str">
        <f t="array" ref="F747">XLOOKUP(G747,Reference!$F:$F,Reference!$D:$D,"null")</f>
        <v>Pendidikan dan Kesehatan</v>
      </c>
      <c r="G747" s="85" t="s">
        <v>98</v>
      </c>
      <c r="H747" s="86">
        <v>104.68</v>
      </c>
      <c r="I747" s="86">
        <v>104.89</v>
      </c>
      <c r="J747" s="87">
        <f t="shared" si="2"/>
        <v>-0.2002097435</v>
      </c>
      <c r="K747" s="84" t="str">
        <f t="shared" si="3"/>
        <v>Deflasi</v>
      </c>
      <c r="L747" s="84">
        <f t="shared" si="4"/>
        <v>-0.21</v>
      </c>
      <c r="M747" s="88" t="str">
        <f t="shared" si="5"/>
        <v>Perubahan Normal</v>
      </c>
    </row>
    <row r="748" ht="18.75" customHeight="1">
      <c r="A748" s="80" t="s">
        <v>837</v>
      </c>
      <c r="B748" s="81" t="str">
        <f t="shared" si="1"/>
        <v>Kab Luwu Timur</v>
      </c>
      <c r="C748" s="81" t="str">
        <f t="array" ref="C748">XLOOKUP(B748,Reference!$A$2:$A$152,Reference!$B$2:$B$152)</f>
        <v>Sulawesi Selatan</v>
      </c>
      <c r="D748" s="82" t="s">
        <v>1186</v>
      </c>
      <c r="E748" s="83">
        <v>45352.0</v>
      </c>
      <c r="F748" s="84" t="str">
        <f t="array" ref="F748">XLOOKUP(G748,Reference!$F:$F,Reference!$D:$D,"null")</f>
        <v>Makanan dan Pakaian </v>
      </c>
      <c r="G748" s="85" t="s">
        <v>72</v>
      </c>
      <c r="H748" s="86">
        <v>97.8</v>
      </c>
      <c r="I748" s="86">
        <v>97.87</v>
      </c>
      <c r="J748" s="87">
        <f t="shared" si="2"/>
        <v>-0.07152344947</v>
      </c>
      <c r="K748" s="84" t="str">
        <f t="shared" si="3"/>
        <v>Deflasi</v>
      </c>
      <c r="L748" s="84">
        <f t="shared" si="4"/>
        <v>-0.07</v>
      </c>
      <c r="M748" s="88" t="str">
        <f t="shared" si="5"/>
        <v>Perubahan Normal</v>
      </c>
    </row>
    <row r="749" ht="18.75" customHeight="1">
      <c r="A749" s="80" t="s">
        <v>740</v>
      </c>
      <c r="B749" s="81" t="str">
        <f t="shared" si="1"/>
        <v>Kota Gunungsitoli</v>
      </c>
      <c r="C749" s="81" t="str">
        <f t="array" ref="C749">XLOOKUP(B749,Reference!$A$2:$A$152,Reference!$B$2:$B$152)</f>
        <v>Sumatera Utara</v>
      </c>
      <c r="D749" s="82" t="s">
        <v>1187</v>
      </c>
      <c r="E749" s="83">
        <v>45352.0</v>
      </c>
      <c r="F749" s="84" t="str">
        <f t="array" ref="F749">XLOOKUP(G749,Reference!$F:$F,Reference!$D:$D,"null")</f>
        <v>Rumah Tangga</v>
      </c>
      <c r="G749" s="85" t="s">
        <v>84</v>
      </c>
      <c r="H749" s="86">
        <v>103.2</v>
      </c>
      <c r="I749" s="86">
        <v>103.2</v>
      </c>
      <c r="J749" s="87">
        <f t="shared" si="2"/>
        <v>0</v>
      </c>
      <c r="K749" s="84" t="str">
        <f t="shared" si="3"/>
        <v>Stabil</v>
      </c>
      <c r="L749" s="84">
        <f t="shared" si="4"/>
        <v>0</v>
      </c>
      <c r="M749" s="88" t="str">
        <f t="shared" si="5"/>
        <v>Perubahan Normal</v>
      </c>
    </row>
    <row r="750" ht="18.75" customHeight="1">
      <c r="A750" s="80" t="s">
        <v>837</v>
      </c>
      <c r="B750" s="81" t="str">
        <f t="shared" si="1"/>
        <v>Kab Luwu Timur</v>
      </c>
      <c r="C750" s="81" t="str">
        <f t="array" ref="C750">XLOOKUP(B750,Reference!$A$2:$A$152,Reference!$B$2:$B$152)</f>
        <v>Sulawesi Selatan</v>
      </c>
      <c r="D750" s="82" t="s">
        <v>1188</v>
      </c>
      <c r="E750" s="83">
        <v>45352.0</v>
      </c>
      <c r="F750" s="84" t="str">
        <f t="array" ref="F750">XLOOKUP(G750,Reference!$F:$F,Reference!$D:$D,"null")</f>
        <v>Makanan dan Pakaian </v>
      </c>
      <c r="G750" s="85" t="s">
        <v>64</v>
      </c>
      <c r="H750" s="86">
        <v>102.74</v>
      </c>
      <c r="I750" s="86">
        <v>102.78</v>
      </c>
      <c r="J750" s="87">
        <f t="shared" si="2"/>
        <v>-0.03891807745</v>
      </c>
      <c r="K750" s="84" t="str">
        <f t="shared" si="3"/>
        <v>Deflasi</v>
      </c>
      <c r="L750" s="84">
        <f t="shared" si="4"/>
        <v>-0.04</v>
      </c>
      <c r="M750" s="88" t="str">
        <f t="shared" si="5"/>
        <v>Perubahan Normal</v>
      </c>
    </row>
    <row r="751" ht="18.75" customHeight="1">
      <c r="A751" s="80" t="s">
        <v>699</v>
      </c>
      <c r="B751" s="81" t="str">
        <f t="shared" si="1"/>
        <v>Mamuju</v>
      </c>
      <c r="C751" s="81" t="str">
        <f t="array" ref="C751">XLOOKUP(B751,Reference!$A$2:$A$152,Reference!$B$2:$B$152)</f>
        <v>Sulawesi Barat</v>
      </c>
      <c r="D751" s="82" t="s">
        <v>1189</v>
      </c>
      <c r="E751" s="83">
        <v>45352.0</v>
      </c>
      <c r="F751" s="84" t="str">
        <f t="array" ref="F751">XLOOKUP(G751,Reference!$F:$F,Reference!$D:$D,"null")</f>
        <v>Makanan dan Pakaian </v>
      </c>
      <c r="G751" s="85" t="s">
        <v>48</v>
      </c>
      <c r="H751" s="86">
        <v>105.77</v>
      </c>
      <c r="I751" s="86">
        <v>102.26</v>
      </c>
      <c r="J751" s="87">
        <f t="shared" si="2"/>
        <v>3.432427146</v>
      </c>
      <c r="K751" s="84" t="str">
        <f t="shared" si="3"/>
        <v>Inflasi Tinggi</v>
      </c>
      <c r="L751" s="84">
        <f t="shared" si="4"/>
        <v>3.51</v>
      </c>
      <c r="M751" s="88" t="str">
        <f t="shared" si="5"/>
        <v>Akselerasi Kuat</v>
      </c>
    </row>
    <row r="752" ht="18.75" customHeight="1">
      <c r="A752" s="80" t="s">
        <v>715</v>
      </c>
      <c r="B752" s="81" t="str">
        <f t="shared" si="1"/>
        <v>Kab Bojonegoro</v>
      </c>
      <c r="C752" s="81" t="str">
        <f t="array" ref="C752">XLOOKUP(B752,Reference!$A$2:$A$152,Reference!$B$2:$B$152)</f>
        <v>Jawa Timur</v>
      </c>
      <c r="D752" s="82" t="s">
        <v>1190</v>
      </c>
      <c r="E752" s="83">
        <v>45323.0</v>
      </c>
      <c r="F752" s="84" t="str">
        <f t="array" ref="F752">XLOOKUP(G752,Reference!$F:$F,Reference!$D:$D,"null")</f>
        <v>Rumah Tangga</v>
      </c>
      <c r="G752" s="85" t="s">
        <v>80</v>
      </c>
      <c r="H752" s="86">
        <v>100.31</v>
      </c>
      <c r="I752" s="86">
        <v>100.31</v>
      </c>
      <c r="J752" s="87">
        <f t="shared" si="2"/>
        <v>0</v>
      </c>
      <c r="K752" s="84" t="str">
        <f t="shared" si="3"/>
        <v>Stabil</v>
      </c>
      <c r="L752" s="84">
        <f t="shared" si="4"/>
        <v>0</v>
      </c>
      <c r="M752" s="88" t="str">
        <f t="shared" si="5"/>
        <v>Perubahan Normal</v>
      </c>
    </row>
    <row r="753" ht="18.75" customHeight="1">
      <c r="A753" s="80" t="s">
        <v>346</v>
      </c>
      <c r="B753" s="81" t="str">
        <f t="shared" si="1"/>
        <v>Kab Timor Tengah Selatan</v>
      </c>
      <c r="C753" s="81" t="str">
        <f t="array" ref="C753">XLOOKUP(B753,Reference!$A$2:$A$152,Reference!$B$2:$B$152)</f>
        <v>Nusa Tenggara Timur (NTT)</v>
      </c>
      <c r="D753" s="82" t="s">
        <v>1191</v>
      </c>
      <c r="E753" s="83">
        <v>45323.0</v>
      </c>
      <c r="F753" s="84" t="str">
        <f t="array" ref="F753">XLOOKUP(G753,Reference!$F:$F,Reference!$D:$D,"null")</f>
        <v>Makanan dan Pakaian </v>
      </c>
      <c r="G753" s="85" t="s">
        <v>64</v>
      </c>
      <c r="H753" s="86">
        <v>99.82</v>
      </c>
      <c r="I753" s="86">
        <v>99.82</v>
      </c>
      <c r="J753" s="87">
        <f t="shared" si="2"/>
        <v>0</v>
      </c>
      <c r="K753" s="84" t="str">
        <f t="shared" si="3"/>
        <v>Stabil</v>
      </c>
      <c r="L753" s="84">
        <f t="shared" si="4"/>
        <v>0</v>
      </c>
      <c r="M753" s="88" t="str">
        <f t="shared" si="5"/>
        <v>Perubahan Normal</v>
      </c>
    </row>
    <row r="754" ht="18.75" customHeight="1">
      <c r="A754" s="80" t="s">
        <v>349</v>
      </c>
      <c r="B754" s="81" t="str">
        <f t="shared" si="1"/>
        <v>Kota Banjarmasin</v>
      </c>
      <c r="C754" s="81" t="str">
        <f t="array" ref="C754">XLOOKUP(B754,Reference!$A$2:$A$152,Reference!$B$2:$B$152)</f>
        <v>Kalimantan Selatan</v>
      </c>
      <c r="D754" s="82" t="s">
        <v>1192</v>
      </c>
      <c r="E754" s="83">
        <v>45352.0</v>
      </c>
      <c r="F754" s="84" t="str">
        <f t="array" ref="F754">XLOOKUP(G754,Reference!$F:$F,Reference!$D:$D,"null")</f>
        <v>Pendidikan dan Kesehatan</v>
      </c>
      <c r="G754" s="85" t="s">
        <v>98</v>
      </c>
      <c r="H754" s="86">
        <v>101.09</v>
      </c>
      <c r="I754" s="86">
        <v>101.04</v>
      </c>
      <c r="J754" s="87">
        <f t="shared" si="2"/>
        <v>0.04948535234</v>
      </c>
      <c r="K754" s="84" t="str">
        <f t="shared" si="3"/>
        <v>Inflasi Normal</v>
      </c>
      <c r="L754" s="84">
        <f t="shared" si="4"/>
        <v>0.05</v>
      </c>
      <c r="M754" s="88" t="str">
        <f t="shared" si="5"/>
        <v>Perubahan Normal</v>
      </c>
    </row>
    <row r="755" ht="18.75" customHeight="1">
      <c r="A755" s="80" t="s">
        <v>672</v>
      </c>
      <c r="B755" s="81" t="str">
        <f t="shared" si="1"/>
        <v>Kab Ogan Komering Ilir</v>
      </c>
      <c r="C755" s="81" t="str">
        <f t="array" ref="C755">XLOOKUP(B755,Reference!$A$2:$A$152,Reference!$B$2:$B$152)</f>
        <v>Sumatera Selatan</v>
      </c>
      <c r="D755" s="82" t="s">
        <v>1193</v>
      </c>
      <c r="E755" s="83">
        <v>45323.0</v>
      </c>
      <c r="F755" s="84" t="str">
        <f t="array" ref="F755">XLOOKUP(G755,Reference!$F:$F,Reference!$D:$D,"null")</f>
        <v>Makanan dan Pakaian </v>
      </c>
      <c r="G755" s="85" t="s">
        <v>72</v>
      </c>
      <c r="H755" s="86">
        <v>97.13</v>
      </c>
      <c r="I755" s="86">
        <v>97.13</v>
      </c>
      <c r="J755" s="87">
        <f t="shared" si="2"/>
        <v>0</v>
      </c>
      <c r="K755" s="84" t="str">
        <f t="shared" si="3"/>
        <v>Stabil</v>
      </c>
      <c r="L755" s="84">
        <f t="shared" si="4"/>
        <v>0</v>
      </c>
      <c r="M755" s="88" t="str">
        <f t="shared" si="5"/>
        <v>Perubahan Normal</v>
      </c>
    </row>
    <row r="756" ht="18.75" customHeight="1">
      <c r="A756" s="80" t="s">
        <v>616</v>
      </c>
      <c r="B756" s="81" t="str">
        <f t="shared" si="1"/>
        <v>Kab Sorong</v>
      </c>
      <c r="C756" s="81" t="str">
        <f t="array" ref="C756">XLOOKUP(B756,Reference!$A$2:$A$152,Reference!$B$2:$B$152)</f>
        <v>Papua Barat Daya</v>
      </c>
      <c r="D756" s="82" t="s">
        <v>1194</v>
      </c>
      <c r="E756" s="83">
        <v>45323.0</v>
      </c>
      <c r="F756" s="84" t="str">
        <f t="array" ref="F756">XLOOKUP(G756,Reference!$F:$F,Reference!$D:$D,"null")</f>
        <v>Rumah Tangga</v>
      </c>
      <c r="G756" s="85" t="s">
        <v>84</v>
      </c>
      <c r="H756" s="86">
        <v>100.11</v>
      </c>
      <c r="I756" s="86">
        <v>100.38</v>
      </c>
      <c r="J756" s="87">
        <f t="shared" si="2"/>
        <v>-0.268977884</v>
      </c>
      <c r="K756" s="84" t="str">
        <f t="shared" si="3"/>
        <v>Deflasi</v>
      </c>
      <c r="L756" s="84">
        <f t="shared" si="4"/>
        <v>-0.27</v>
      </c>
      <c r="M756" s="88" t="str">
        <f t="shared" si="5"/>
        <v>Perubahan Normal</v>
      </c>
    </row>
    <row r="757" ht="18.75" customHeight="1">
      <c r="A757" s="80" t="s">
        <v>298</v>
      </c>
      <c r="B757" s="81" t="str">
        <f t="shared" si="1"/>
        <v>Kota Bekasi</v>
      </c>
      <c r="C757" s="81" t="str">
        <f t="array" ref="C757">XLOOKUP(B757,Reference!$A$2:$A$152,Reference!$B$2:$B$152)</f>
        <v>Jawa Barat</v>
      </c>
      <c r="D757" s="82" t="s">
        <v>1195</v>
      </c>
      <c r="E757" s="83">
        <v>45323.0</v>
      </c>
      <c r="F757" s="84" t="str">
        <f t="array" ref="F757">XLOOKUP(G757,Reference!$F:$F,Reference!$D:$D,"null")</f>
        <v>Makanan dan Pakaian </v>
      </c>
      <c r="G757" s="85" t="s">
        <v>48</v>
      </c>
      <c r="H757" s="86">
        <v>111.99</v>
      </c>
      <c r="I757" s="86">
        <v>109.92</v>
      </c>
      <c r="J757" s="87">
        <f t="shared" si="2"/>
        <v>1.883187773</v>
      </c>
      <c r="K757" s="84" t="str">
        <f t="shared" si="3"/>
        <v>Inflasi Tinggi</v>
      </c>
      <c r="L757" s="84">
        <f t="shared" si="4"/>
        <v>2.07</v>
      </c>
      <c r="M757" s="88" t="str">
        <f t="shared" si="5"/>
        <v>Akselerasi Kuat</v>
      </c>
    </row>
    <row r="758" ht="18.75" customHeight="1">
      <c r="A758" s="80" t="s">
        <v>456</v>
      </c>
      <c r="B758" s="81" t="str">
        <f t="shared" si="1"/>
        <v>Kab Aceh Tamiang</v>
      </c>
      <c r="C758" s="81" t="str">
        <f t="array" ref="C758">XLOOKUP(B758,Reference!$A$2:$A$152,Reference!$B$2:$B$152)</f>
        <v>Aceh</v>
      </c>
      <c r="D758" s="82" t="s">
        <v>1196</v>
      </c>
      <c r="E758" s="83">
        <v>45323.0</v>
      </c>
      <c r="F758" s="84" t="str">
        <f t="array" ref="F758">XLOOKUP(G758,Reference!$F:$F,Reference!$D:$D,"null")</f>
        <v>Makanan dan Pakaian </v>
      </c>
      <c r="G758" s="85" t="s">
        <v>72</v>
      </c>
      <c r="H758" s="86">
        <v>108.96</v>
      </c>
      <c r="I758" s="86">
        <v>109.24</v>
      </c>
      <c r="J758" s="87">
        <f t="shared" si="2"/>
        <v>-0.2563163676</v>
      </c>
      <c r="K758" s="84" t="str">
        <f t="shared" si="3"/>
        <v>Deflasi</v>
      </c>
      <c r="L758" s="84">
        <f t="shared" si="4"/>
        <v>-0.28</v>
      </c>
      <c r="M758" s="88" t="str">
        <f t="shared" si="5"/>
        <v>Perubahan Normal</v>
      </c>
    </row>
    <row r="759" ht="18.75" customHeight="1">
      <c r="A759" s="80" t="s">
        <v>584</v>
      </c>
      <c r="B759" s="81" t="str">
        <f t="shared" si="1"/>
        <v>Kota Sibolga</v>
      </c>
      <c r="C759" s="81" t="str">
        <f t="array" ref="C759">XLOOKUP(B759,Reference!$A$2:$A$152,Reference!$B$2:$B$152)</f>
        <v>Sumatera Utara</v>
      </c>
      <c r="D759" s="82" t="s">
        <v>1197</v>
      </c>
      <c r="E759" s="83">
        <v>45323.0</v>
      </c>
      <c r="F759" s="84" t="str">
        <f t="array" ref="F759">XLOOKUP(G759,Reference!$F:$F,Reference!$D:$D,"null")</f>
        <v>Pendidikan dan Kesehatan</v>
      </c>
      <c r="G759" s="85" t="s">
        <v>98</v>
      </c>
      <c r="H759" s="86">
        <v>101.48</v>
      </c>
      <c r="I759" s="86">
        <v>101.48</v>
      </c>
      <c r="J759" s="87">
        <f t="shared" si="2"/>
        <v>0</v>
      </c>
      <c r="K759" s="84" t="str">
        <f t="shared" si="3"/>
        <v>Stabil</v>
      </c>
      <c r="L759" s="84">
        <f t="shared" si="4"/>
        <v>0</v>
      </c>
      <c r="M759" s="88" t="str">
        <f t="shared" si="5"/>
        <v>Perubahan Normal</v>
      </c>
    </row>
    <row r="760" ht="18.75" customHeight="1">
      <c r="A760" s="80" t="s">
        <v>450</v>
      </c>
      <c r="B760" s="81" t="str">
        <f t="shared" si="1"/>
        <v>Waingapu</v>
      </c>
      <c r="C760" s="81" t="str">
        <f t="array" ref="C760">XLOOKUP(B760,Reference!$A$2:$A$152,Reference!$B$2:$B$152)</f>
        <v>Nusa Tenggara Timur (NTT)</v>
      </c>
      <c r="D760" s="82" t="s">
        <v>1198</v>
      </c>
      <c r="E760" s="83">
        <v>45323.0</v>
      </c>
      <c r="F760" s="84" t="str">
        <f t="array" ref="F760">XLOOKUP(G760,Reference!$F:$F,Reference!$D:$D,"null")</f>
        <v>Rumah Tangga</v>
      </c>
      <c r="G760" s="85" t="s">
        <v>89</v>
      </c>
      <c r="H760" s="86">
        <v>98.77</v>
      </c>
      <c r="I760" s="86">
        <v>98.77</v>
      </c>
      <c r="J760" s="87">
        <f t="shared" si="2"/>
        <v>0</v>
      </c>
      <c r="K760" s="84" t="str">
        <f t="shared" si="3"/>
        <v>Stabil</v>
      </c>
      <c r="L760" s="84">
        <f t="shared" si="4"/>
        <v>0</v>
      </c>
      <c r="M760" s="88" t="str">
        <f t="shared" si="5"/>
        <v>Perubahan Normal</v>
      </c>
    </row>
    <row r="761" ht="18.75" customHeight="1">
      <c r="A761" s="80" t="s">
        <v>378</v>
      </c>
      <c r="B761" s="81" t="str">
        <f t="shared" si="1"/>
        <v>Kab Berau</v>
      </c>
      <c r="C761" s="81" t="str">
        <f t="array" ref="C761">XLOOKUP(B761,Reference!$A$2:$A$152,Reference!$B$2:$B$152)</f>
        <v>Kalimantan Timur</v>
      </c>
      <c r="D761" s="82" t="s">
        <v>1199</v>
      </c>
      <c r="E761" s="83">
        <v>45323.0</v>
      </c>
      <c r="F761" s="84" t="str">
        <f t="array" ref="F761">XLOOKUP(G761,Reference!$F:$F,Reference!$D:$D,"null")</f>
        <v>Rumah Tangga</v>
      </c>
      <c r="G761" s="85" t="s">
        <v>89</v>
      </c>
      <c r="H761" s="86">
        <v>103.72</v>
      </c>
      <c r="I761" s="86">
        <v>103.62</v>
      </c>
      <c r="J761" s="87">
        <f t="shared" si="2"/>
        <v>0.09650646593</v>
      </c>
      <c r="K761" s="84" t="str">
        <f t="shared" si="3"/>
        <v>Inflasi Normal</v>
      </c>
      <c r="L761" s="84">
        <f t="shared" si="4"/>
        <v>0.1</v>
      </c>
      <c r="M761" s="88" t="str">
        <f t="shared" si="5"/>
        <v>Perubahan Normal</v>
      </c>
    </row>
    <row r="762" ht="18.75" customHeight="1">
      <c r="A762" s="80" t="s">
        <v>302</v>
      </c>
      <c r="B762" s="81" t="str">
        <f t="shared" si="1"/>
        <v>Kota Lubuk Linggau</v>
      </c>
      <c r="C762" s="81" t="str">
        <f t="array" ref="C762">XLOOKUP(B762,Reference!$A$2:$A$152,Reference!$B$2:$B$152)</f>
        <v>Sumatera Selatan</v>
      </c>
      <c r="D762" s="82" t="s">
        <v>1200</v>
      </c>
      <c r="E762" s="83">
        <v>45323.0</v>
      </c>
      <c r="F762" s="84" t="str">
        <f t="array" ref="F762">XLOOKUP(G762,Reference!$F:$F,Reference!$D:$D,"null")</f>
        <v>Makanan dan Pakaian </v>
      </c>
      <c r="G762" s="85" t="s">
        <v>64</v>
      </c>
      <c r="H762" s="86">
        <v>101.97</v>
      </c>
      <c r="I762" s="86">
        <v>101.97</v>
      </c>
      <c r="J762" s="87">
        <f t="shared" si="2"/>
        <v>0</v>
      </c>
      <c r="K762" s="84" t="str">
        <f t="shared" si="3"/>
        <v>Stabil</v>
      </c>
      <c r="L762" s="84">
        <f t="shared" si="4"/>
        <v>0</v>
      </c>
      <c r="M762" s="88" t="str">
        <f t="shared" si="5"/>
        <v>Perubahan Normal</v>
      </c>
    </row>
    <row r="763" ht="18.75" customHeight="1">
      <c r="A763" s="80" t="s">
        <v>372</v>
      </c>
      <c r="B763" s="81" t="str">
        <f t="shared" si="1"/>
        <v>Kota Tanjung Pinang</v>
      </c>
      <c r="C763" s="81" t="str">
        <f t="array" ref="C763">XLOOKUP(B763,Reference!$A$2:$A$152,Reference!$B$2:$B$152)</f>
        <v>Kepulauan Riau</v>
      </c>
      <c r="D763" s="82" t="s">
        <v>1201</v>
      </c>
      <c r="E763" s="83">
        <v>45323.0</v>
      </c>
      <c r="F763" s="84" t="str">
        <f t="array" ref="F763">XLOOKUP(G763,Reference!$F:$F,Reference!$D:$D,"null")</f>
        <v>Makanan dan Pakaian </v>
      </c>
      <c r="G763" s="85" t="s">
        <v>48</v>
      </c>
      <c r="H763" s="86">
        <v>106.13</v>
      </c>
      <c r="I763" s="86">
        <v>106.38</v>
      </c>
      <c r="J763" s="87">
        <f t="shared" si="2"/>
        <v>-0.2350065802</v>
      </c>
      <c r="K763" s="84" t="str">
        <f t="shared" si="3"/>
        <v>Deflasi</v>
      </c>
      <c r="L763" s="84">
        <f t="shared" si="4"/>
        <v>-0.25</v>
      </c>
      <c r="M763" s="88" t="str">
        <f t="shared" si="5"/>
        <v>Perubahan Normal</v>
      </c>
    </row>
    <row r="764" ht="18.75" customHeight="1">
      <c r="A764" s="80" t="s">
        <v>669</v>
      </c>
      <c r="B764" s="81" t="str">
        <f t="shared" si="1"/>
        <v>Kab Sidenreng Rappang</v>
      </c>
      <c r="C764" s="81" t="str">
        <f t="array" ref="C764">XLOOKUP(B764,Reference!$A$2:$A$152,Reference!$B$2:$B$152)</f>
        <v>Sulawesi Selatan</v>
      </c>
      <c r="D764" s="82" t="s">
        <v>1202</v>
      </c>
      <c r="E764" s="83">
        <v>45352.0</v>
      </c>
      <c r="F764" s="84" t="str">
        <f t="array" ref="F764">XLOOKUP(G764,Reference!$F:$F,Reference!$D:$D,"null")</f>
        <v>Rekreasi dan Kendaraan</v>
      </c>
      <c r="G764" s="85" t="s">
        <v>105</v>
      </c>
      <c r="H764" s="86">
        <v>103.98</v>
      </c>
      <c r="I764" s="86">
        <v>103.98</v>
      </c>
      <c r="J764" s="87">
        <f t="shared" si="2"/>
        <v>0</v>
      </c>
      <c r="K764" s="84" t="str">
        <f t="shared" si="3"/>
        <v>Stabil</v>
      </c>
      <c r="L764" s="84">
        <f t="shared" si="4"/>
        <v>0</v>
      </c>
      <c r="M764" s="88" t="str">
        <f t="shared" si="5"/>
        <v>Perubahan Normal</v>
      </c>
    </row>
    <row r="765" ht="18.75" customHeight="1">
      <c r="A765" s="80" t="s">
        <v>308</v>
      </c>
      <c r="B765" s="81" t="str">
        <f t="shared" si="1"/>
        <v>Kab Sukamara</v>
      </c>
      <c r="C765" s="81" t="str">
        <f t="array" ref="C765">XLOOKUP(B765,Reference!$A$2:$A$152,Reference!$B$2:$B$152)</f>
        <v>Kalimantan Tengah</v>
      </c>
      <c r="D765" s="82" t="s">
        <v>1203</v>
      </c>
      <c r="E765" s="83">
        <v>45323.0</v>
      </c>
      <c r="F765" s="84" t="str">
        <f t="array" ref="F765">XLOOKUP(G765,Reference!$F:$F,Reference!$D:$D,"null")</f>
        <v>Makanan dan Pakaian </v>
      </c>
      <c r="G765" s="85" t="s">
        <v>64</v>
      </c>
      <c r="H765" s="86">
        <v>107.75</v>
      </c>
      <c r="I765" s="86">
        <v>107.75</v>
      </c>
      <c r="J765" s="87">
        <f t="shared" si="2"/>
        <v>0</v>
      </c>
      <c r="K765" s="84" t="str">
        <f t="shared" si="3"/>
        <v>Stabil</v>
      </c>
      <c r="L765" s="84">
        <f t="shared" si="4"/>
        <v>0</v>
      </c>
      <c r="M765" s="88" t="str">
        <f t="shared" si="5"/>
        <v>Perubahan Normal</v>
      </c>
    </row>
    <row r="766" ht="18.75" customHeight="1">
      <c r="A766" s="80" t="s">
        <v>806</v>
      </c>
      <c r="B766" s="81" t="str">
        <f t="shared" si="1"/>
        <v>Kab Subang</v>
      </c>
      <c r="C766" s="81" t="str">
        <f t="array" ref="C766">XLOOKUP(B766,Reference!$A$2:$A$152,Reference!$B$2:$B$152)</f>
        <v>Jawa Barat</v>
      </c>
      <c r="D766" s="82" t="s">
        <v>1204</v>
      </c>
      <c r="E766" s="83">
        <v>45323.0</v>
      </c>
      <c r="F766" s="84" t="str">
        <f t="array" ref="F766">XLOOKUP(G766,Reference!$F:$F,Reference!$D:$D,"null")</f>
        <v>Rumah Tangga</v>
      </c>
      <c r="G766" s="85" t="s">
        <v>80</v>
      </c>
      <c r="H766" s="86">
        <v>106.79</v>
      </c>
      <c r="I766" s="86">
        <v>106.79</v>
      </c>
      <c r="J766" s="87">
        <f t="shared" si="2"/>
        <v>0</v>
      </c>
      <c r="K766" s="84" t="str">
        <f t="shared" si="3"/>
        <v>Stabil</v>
      </c>
      <c r="L766" s="84">
        <f t="shared" si="4"/>
        <v>0</v>
      </c>
      <c r="M766" s="88" t="str">
        <f t="shared" si="5"/>
        <v>Perubahan Normal</v>
      </c>
    </row>
    <row r="767" ht="18.75" customHeight="1">
      <c r="A767" s="80" t="s">
        <v>571</v>
      </c>
      <c r="B767" s="81" t="str">
        <f t="shared" si="1"/>
        <v>Kota Sorong</v>
      </c>
      <c r="C767" s="81" t="str">
        <f t="array" ref="C767">XLOOKUP(B767,Reference!$A$2:$A$152,Reference!$B$2:$B$152)</f>
        <v>Papua Barat Daya</v>
      </c>
      <c r="D767" s="82" t="s">
        <v>1205</v>
      </c>
      <c r="E767" s="83">
        <v>45323.0</v>
      </c>
      <c r="F767" s="84" t="str">
        <f t="array" ref="F767">XLOOKUP(G767,Reference!$F:$F,Reference!$D:$D,"null")</f>
        <v>Makanan dan Pakaian </v>
      </c>
      <c r="G767" s="85" t="s">
        <v>48</v>
      </c>
      <c r="H767" s="86">
        <v>99.64</v>
      </c>
      <c r="I767" s="86">
        <v>100.14</v>
      </c>
      <c r="J767" s="87">
        <f t="shared" si="2"/>
        <v>-0.4993009786</v>
      </c>
      <c r="K767" s="84" t="str">
        <f t="shared" si="3"/>
        <v>Deflasi</v>
      </c>
      <c r="L767" s="84">
        <f t="shared" si="4"/>
        <v>-0.5</v>
      </c>
      <c r="M767" s="88" t="str">
        <f t="shared" si="5"/>
        <v>Perubahan Normal</v>
      </c>
    </row>
    <row r="768" ht="18.75" customHeight="1">
      <c r="A768" s="80" t="s">
        <v>414</v>
      </c>
      <c r="B768" s="81" t="str">
        <f t="shared" si="1"/>
        <v>Kota Bandung</v>
      </c>
      <c r="C768" s="81" t="str">
        <f t="array" ref="C768">XLOOKUP(B768,Reference!$A$2:$A$152,Reference!$B$2:$B$152)</f>
        <v>Jawa Barat</v>
      </c>
      <c r="D768" s="82" t="s">
        <v>1206</v>
      </c>
      <c r="E768" s="83">
        <v>45352.0</v>
      </c>
      <c r="F768" s="84" t="str">
        <f t="array" ref="F768">XLOOKUP(G768,Reference!$F:$F,Reference!$D:$D,"null")</f>
        <v>Rumah Tangga</v>
      </c>
      <c r="G768" s="85" t="s">
        <v>80</v>
      </c>
      <c r="H768" s="86">
        <v>103.54</v>
      </c>
      <c r="I768" s="86">
        <v>103.43</v>
      </c>
      <c r="J768" s="87">
        <f t="shared" si="2"/>
        <v>0.1063521222</v>
      </c>
      <c r="K768" s="84" t="str">
        <f t="shared" si="3"/>
        <v>Inflasi Normal</v>
      </c>
      <c r="L768" s="84">
        <f t="shared" si="4"/>
        <v>0.11</v>
      </c>
      <c r="M768" s="88" t="str">
        <f t="shared" si="5"/>
        <v>Perubahan Normal</v>
      </c>
    </row>
    <row r="769" ht="18.75" customHeight="1">
      <c r="A769" s="80" t="s">
        <v>431</v>
      </c>
      <c r="B769" s="81" t="str">
        <f t="shared" si="1"/>
        <v>Kota Ternate</v>
      </c>
      <c r="C769" s="81" t="str">
        <f t="array" ref="C769">XLOOKUP(B769,Reference!$A$2:$A$152,Reference!$B$2:$B$152)</f>
        <v>Maluku Utara</v>
      </c>
      <c r="D769" s="82" t="s">
        <v>1207</v>
      </c>
      <c r="E769" s="83">
        <v>45323.0</v>
      </c>
      <c r="F769" s="84" t="str">
        <f t="array" ref="F769">XLOOKUP(G769,Reference!$F:$F,Reference!$D:$D,"null")</f>
        <v>Rumah Tangga</v>
      </c>
      <c r="G769" s="85" t="s">
        <v>84</v>
      </c>
      <c r="H769" s="86">
        <v>108.42</v>
      </c>
      <c r="I769" s="86">
        <v>107.34</v>
      </c>
      <c r="J769" s="87">
        <f t="shared" si="2"/>
        <v>1.006148686</v>
      </c>
      <c r="K769" s="84" t="str">
        <f t="shared" si="3"/>
        <v>Inflasi Tinggi</v>
      </c>
      <c r="L769" s="84">
        <f t="shared" si="4"/>
        <v>1.08</v>
      </c>
      <c r="M769" s="88" t="str">
        <f t="shared" si="5"/>
        <v>Akselerasi Persentase</v>
      </c>
    </row>
    <row r="770" ht="18.75" customHeight="1">
      <c r="A770" s="80" t="s">
        <v>734</v>
      </c>
      <c r="B770" s="81" t="str">
        <f t="shared" si="1"/>
        <v>Kota Tegal</v>
      </c>
      <c r="C770" s="81" t="str">
        <f t="array" ref="C770">XLOOKUP(B770,Reference!$A$2:$A$152,Reference!$B$2:$B$152)</f>
        <v>Jawa Tengah</v>
      </c>
      <c r="D770" s="82" t="s">
        <v>1208</v>
      </c>
      <c r="E770" s="83">
        <v>45352.0</v>
      </c>
      <c r="F770" s="84" t="str">
        <f t="array" ref="F770">XLOOKUP(G770,Reference!$F:$F,Reference!$D:$D,"null")</f>
        <v>Makanan dan Pakaian </v>
      </c>
      <c r="G770" s="85" t="s">
        <v>64</v>
      </c>
      <c r="H770" s="86">
        <v>102.18</v>
      </c>
      <c r="I770" s="86">
        <v>102.14</v>
      </c>
      <c r="J770" s="87">
        <f t="shared" si="2"/>
        <v>0.0391619346</v>
      </c>
      <c r="K770" s="84" t="str">
        <f t="shared" si="3"/>
        <v>Inflasi Normal</v>
      </c>
      <c r="L770" s="84">
        <f t="shared" si="4"/>
        <v>0.04</v>
      </c>
      <c r="M770" s="88" t="str">
        <f t="shared" si="5"/>
        <v>Perubahan Normal</v>
      </c>
    </row>
    <row r="771" ht="18.75" customHeight="1">
      <c r="A771" s="80" t="s">
        <v>715</v>
      </c>
      <c r="B771" s="81" t="str">
        <f t="shared" si="1"/>
        <v>Kab Bojonegoro</v>
      </c>
      <c r="C771" s="81" t="str">
        <f t="array" ref="C771">XLOOKUP(B771,Reference!$A$2:$A$152,Reference!$B$2:$B$152)</f>
        <v>Jawa Timur</v>
      </c>
      <c r="D771" s="82" t="s">
        <v>1209</v>
      </c>
      <c r="E771" s="83">
        <v>45352.0</v>
      </c>
      <c r="F771" s="84" t="str">
        <f t="array" ref="F771">XLOOKUP(G771,Reference!$F:$F,Reference!$D:$D,"null")</f>
        <v>Makanan dan Pakaian </v>
      </c>
      <c r="G771" s="85" t="s">
        <v>64</v>
      </c>
      <c r="H771" s="86">
        <v>104.64</v>
      </c>
      <c r="I771" s="86">
        <v>104.47</v>
      </c>
      <c r="J771" s="87">
        <f t="shared" si="2"/>
        <v>0.1627261415</v>
      </c>
      <c r="K771" s="84" t="str">
        <f t="shared" si="3"/>
        <v>Inflasi Normal</v>
      </c>
      <c r="L771" s="84">
        <f t="shared" si="4"/>
        <v>0.17</v>
      </c>
      <c r="M771" s="88" t="str">
        <f t="shared" si="5"/>
        <v>Perubahan Normal</v>
      </c>
    </row>
    <row r="772" ht="18.75" customHeight="1">
      <c r="A772" s="80" t="s">
        <v>837</v>
      </c>
      <c r="B772" s="81" t="str">
        <f t="shared" si="1"/>
        <v>Kab Luwu Timur</v>
      </c>
      <c r="C772" s="81" t="str">
        <f t="array" ref="C772">XLOOKUP(B772,Reference!$A$2:$A$152,Reference!$B$2:$B$152)</f>
        <v>Sulawesi Selatan</v>
      </c>
      <c r="D772" s="82" t="s">
        <v>1210</v>
      </c>
      <c r="E772" s="83">
        <v>45352.0</v>
      </c>
      <c r="F772" s="84" t="str">
        <f t="array" ref="F772">XLOOKUP(G772,Reference!$F:$F,Reference!$D:$D,"null")</f>
        <v>Makanan dan Pakaian </v>
      </c>
      <c r="G772" s="85" t="s">
        <v>56</v>
      </c>
      <c r="H772" s="86">
        <v>111.31</v>
      </c>
      <c r="I772" s="86">
        <v>110.93</v>
      </c>
      <c r="J772" s="87">
        <f t="shared" si="2"/>
        <v>0.3425583701</v>
      </c>
      <c r="K772" s="84" t="str">
        <f t="shared" si="3"/>
        <v>Inflasi Normal</v>
      </c>
      <c r="L772" s="84">
        <f t="shared" si="4"/>
        <v>0.38</v>
      </c>
      <c r="M772" s="88" t="str">
        <f t="shared" si="5"/>
        <v>Perubahan Normal</v>
      </c>
    </row>
    <row r="773" ht="18.75" customHeight="1">
      <c r="A773" s="80" t="s">
        <v>616</v>
      </c>
      <c r="B773" s="81" t="str">
        <f t="shared" si="1"/>
        <v>Kab Sorong</v>
      </c>
      <c r="C773" s="81" t="str">
        <f t="array" ref="C773">XLOOKUP(B773,Reference!$A$2:$A$152,Reference!$B$2:$B$152)</f>
        <v>Papua Barat Daya</v>
      </c>
      <c r="D773" s="82" t="s">
        <v>1211</v>
      </c>
      <c r="E773" s="83">
        <v>45323.0</v>
      </c>
      <c r="F773" s="84" t="str">
        <f t="array" ref="F773">XLOOKUP(G773,Reference!$F:$F,Reference!$D:$D,"null")</f>
        <v>Makanan dan Pakaian </v>
      </c>
      <c r="G773" s="85" t="s">
        <v>64</v>
      </c>
      <c r="H773" s="86">
        <v>104.19</v>
      </c>
      <c r="I773" s="86">
        <v>104.21</v>
      </c>
      <c r="J773" s="87">
        <f t="shared" si="2"/>
        <v>-0.01919201612</v>
      </c>
      <c r="K773" s="84" t="str">
        <f t="shared" si="3"/>
        <v>Deflasi</v>
      </c>
      <c r="L773" s="84">
        <f t="shared" si="4"/>
        <v>-0.02</v>
      </c>
      <c r="M773" s="88" t="str">
        <f t="shared" si="5"/>
        <v>Perubahan Normal</v>
      </c>
    </row>
    <row r="774" ht="18.75" customHeight="1">
      <c r="A774" s="80" t="s">
        <v>448</v>
      </c>
      <c r="B774" s="81" t="str">
        <f t="shared" si="1"/>
        <v>Tanjung Selor</v>
      </c>
      <c r="C774" s="81" t="str">
        <f t="array" ref="C774">XLOOKUP(B774,Reference!$A$2:$A$152,Reference!$B$2:$B$152)</f>
        <v>Kalimantan Utara</v>
      </c>
      <c r="D774" s="82" t="s">
        <v>1212</v>
      </c>
      <c r="E774" s="83">
        <v>45352.0</v>
      </c>
      <c r="F774" s="84" t="str">
        <f t="array" ref="F774">XLOOKUP(G774,Reference!$F:$F,Reference!$D:$D,"null")</f>
        <v>Makanan dan Pakaian </v>
      </c>
      <c r="G774" s="85" t="s">
        <v>64</v>
      </c>
      <c r="H774" s="86">
        <v>100.48</v>
      </c>
      <c r="I774" s="86">
        <v>100.48</v>
      </c>
      <c r="J774" s="87">
        <f t="shared" si="2"/>
        <v>0</v>
      </c>
      <c r="K774" s="84" t="str">
        <f t="shared" si="3"/>
        <v>Stabil</v>
      </c>
      <c r="L774" s="84">
        <f t="shared" si="4"/>
        <v>0</v>
      </c>
      <c r="M774" s="88" t="str">
        <f t="shared" si="5"/>
        <v>Perubahan Normal</v>
      </c>
    </row>
    <row r="775" ht="18.75" customHeight="1">
      <c r="A775" s="80" t="s">
        <v>515</v>
      </c>
      <c r="B775" s="81" t="str">
        <f t="shared" si="1"/>
        <v>Kab Gresik</v>
      </c>
      <c r="C775" s="81" t="str">
        <f t="array" ref="C775">XLOOKUP(B775,Reference!$A$2:$A$152,Reference!$B$2:$B$152)</f>
        <v>Jawa Timur</v>
      </c>
      <c r="D775" s="82" t="s">
        <v>1213</v>
      </c>
      <c r="E775" s="83">
        <v>45352.0</v>
      </c>
      <c r="F775" s="84" t="str">
        <f t="array" ref="F775">XLOOKUP(G775,Reference!$F:$F,Reference!$D:$D,"null")</f>
        <v>Makanan dan Pakaian </v>
      </c>
      <c r="G775" s="89" t="s">
        <v>64</v>
      </c>
      <c r="H775" s="90">
        <v>98.85</v>
      </c>
      <c r="I775" s="90">
        <v>98.47</v>
      </c>
      <c r="J775" s="87">
        <f t="shared" si="2"/>
        <v>0.3859043363</v>
      </c>
      <c r="K775" s="84" t="str">
        <f t="shared" si="3"/>
        <v>Inflasi Normal</v>
      </c>
      <c r="L775" s="91">
        <f t="shared" si="4"/>
        <v>0.38</v>
      </c>
      <c r="M775" s="88" t="str">
        <f t="shared" si="5"/>
        <v>Perubahan Normal</v>
      </c>
    </row>
    <row r="776" ht="18.75" customHeight="1">
      <c r="A776" s="80" t="s">
        <v>296</v>
      </c>
      <c r="B776" s="81" t="str">
        <f t="shared" si="1"/>
        <v>Kota Bogor</v>
      </c>
      <c r="C776" s="81" t="str">
        <f t="array" ref="C776">XLOOKUP(B776,Reference!$A$2:$A$152,Reference!$B$2:$B$152)</f>
        <v>Jawa Barat</v>
      </c>
      <c r="D776" s="82" t="s">
        <v>1214</v>
      </c>
      <c r="E776" s="83">
        <v>45323.0</v>
      </c>
      <c r="F776" s="84" t="str">
        <f t="array" ref="F776">XLOOKUP(G776,Reference!$F:$F,Reference!$D:$D,"null")</f>
        <v>Makanan dan Pakaian </v>
      </c>
      <c r="G776" s="85" t="s">
        <v>64</v>
      </c>
      <c r="H776" s="86">
        <v>109.29</v>
      </c>
      <c r="I776" s="86">
        <v>108.76</v>
      </c>
      <c r="J776" s="87">
        <f t="shared" si="2"/>
        <v>0.4873115116</v>
      </c>
      <c r="K776" s="84" t="str">
        <f t="shared" si="3"/>
        <v>Inflasi Normal</v>
      </c>
      <c r="L776" s="84">
        <f t="shared" si="4"/>
        <v>0.53</v>
      </c>
      <c r="M776" s="88" t="str">
        <f t="shared" si="5"/>
        <v>Perubahan Normal</v>
      </c>
    </row>
    <row r="777" ht="18.75" customHeight="1">
      <c r="A777" s="80" t="s">
        <v>448</v>
      </c>
      <c r="B777" s="81" t="str">
        <f t="shared" si="1"/>
        <v>Tanjung Selor</v>
      </c>
      <c r="C777" s="81" t="str">
        <f t="array" ref="C777">XLOOKUP(B777,Reference!$A$2:$A$152,Reference!$B$2:$B$152)</f>
        <v>Kalimantan Utara</v>
      </c>
      <c r="D777" s="82" t="s">
        <v>1215</v>
      </c>
      <c r="E777" s="83">
        <v>45352.0</v>
      </c>
      <c r="F777" s="84" t="str">
        <f t="array" ref="F777">XLOOKUP(G777,Reference!$F:$F,Reference!$D:$D,"null")</f>
        <v>Rumah Tangga</v>
      </c>
      <c r="G777" s="85" t="s">
        <v>80</v>
      </c>
      <c r="H777" s="86">
        <v>101.34</v>
      </c>
      <c r="I777" s="86">
        <v>101.34</v>
      </c>
      <c r="J777" s="87">
        <f t="shared" si="2"/>
        <v>0</v>
      </c>
      <c r="K777" s="84" t="str">
        <f t="shared" si="3"/>
        <v>Stabil</v>
      </c>
      <c r="L777" s="84">
        <f t="shared" si="4"/>
        <v>0</v>
      </c>
      <c r="M777" s="88" t="str">
        <f t="shared" si="5"/>
        <v>Perubahan Normal</v>
      </c>
    </row>
    <row r="778" ht="18.75" customHeight="1">
      <c r="A778" s="80" t="s">
        <v>460</v>
      </c>
      <c r="B778" s="81" t="str">
        <f t="shared" si="1"/>
        <v>Kab Kayong Utara</v>
      </c>
      <c r="C778" s="81" t="str">
        <f t="array" ref="C778">XLOOKUP(B778,Reference!$A$2:$A$152,Reference!$B$2:$B$152)</f>
        <v>Kalimantan Barat</v>
      </c>
      <c r="D778" s="82" t="s">
        <v>1216</v>
      </c>
      <c r="E778" s="83">
        <v>45352.0</v>
      </c>
      <c r="F778" s="84" t="str">
        <f t="array" ref="F778">XLOOKUP(G778,Reference!$F:$F,Reference!$D:$D,"null")</f>
        <v>Makanan dan Pakaian </v>
      </c>
      <c r="G778" s="85" t="s">
        <v>64</v>
      </c>
      <c r="H778" s="86">
        <v>106.11</v>
      </c>
      <c r="I778" s="86">
        <v>106.11</v>
      </c>
      <c r="J778" s="87">
        <f t="shared" si="2"/>
        <v>0</v>
      </c>
      <c r="K778" s="84" t="str">
        <f t="shared" si="3"/>
        <v>Stabil</v>
      </c>
      <c r="L778" s="84">
        <f t="shared" si="4"/>
        <v>0</v>
      </c>
      <c r="M778" s="88" t="str">
        <f t="shared" si="5"/>
        <v>Perubahan Normal</v>
      </c>
    </row>
    <row r="779" ht="18.75" customHeight="1">
      <c r="A779" s="80" t="s">
        <v>331</v>
      </c>
      <c r="B779" s="81" t="str">
        <f t="shared" si="1"/>
        <v>Kota Lhokseumawe</v>
      </c>
      <c r="C779" s="81" t="str">
        <f t="array" ref="C779">XLOOKUP(B779,Reference!$A$2:$A$152,Reference!$B$2:$B$152)</f>
        <v>Aceh</v>
      </c>
      <c r="D779" s="82" t="s">
        <v>1217</v>
      </c>
      <c r="E779" s="83">
        <v>45323.0</v>
      </c>
      <c r="F779" s="84" t="str">
        <f t="array" ref="F779">XLOOKUP(G779,Reference!$F:$F,Reference!$D:$D,"null")</f>
        <v>Makanan dan Pakaian </v>
      </c>
      <c r="G779" s="85" t="s">
        <v>56</v>
      </c>
      <c r="H779" s="86">
        <v>103.1</v>
      </c>
      <c r="I779" s="86">
        <v>103.1</v>
      </c>
      <c r="J779" s="87">
        <f t="shared" si="2"/>
        <v>0</v>
      </c>
      <c r="K779" s="84" t="str">
        <f t="shared" si="3"/>
        <v>Stabil</v>
      </c>
      <c r="L779" s="84">
        <f t="shared" si="4"/>
        <v>0</v>
      </c>
      <c r="M779" s="88" t="str">
        <f t="shared" si="5"/>
        <v>Perubahan Normal</v>
      </c>
    </row>
    <row r="780" ht="18.75" customHeight="1">
      <c r="A780" s="80" t="s">
        <v>367</v>
      </c>
      <c r="B780" s="81" t="str">
        <f t="shared" si="1"/>
        <v>Kota Jambi</v>
      </c>
      <c r="C780" s="81" t="str">
        <f t="array" ref="C780">XLOOKUP(B780,Reference!$A$2:$A$152,Reference!$B$2:$B$152)</f>
        <v>Jambi</v>
      </c>
      <c r="D780" s="82" t="s">
        <v>1218</v>
      </c>
      <c r="E780" s="83">
        <v>45352.0</v>
      </c>
      <c r="F780" s="84" t="str">
        <f t="array" ref="F780">XLOOKUP(G780,Reference!$F:$F,Reference!$D:$D,"null")</f>
        <v>Rekreasi dan Kendaraan</v>
      </c>
      <c r="G780" s="85" t="s">
        <v>102</v>
      </c>
      <c r="H780" s="86">
        <v>102.72</v>
      </c>
      <c r="I780" s="86">
        <v>102.72</v>
      </c>
      <c r="J780" s="87">
        <f t="shared" si="2"/>
        <v>0</v>
      </c>
      <c r="K780" s="84" t="str">
        <f t="shared" si="3"/>
        <v>Stabil</v>
      </c>
      <c r="L780" s="84">
        <f t="shared" si="4"/>
        <v>0</v>
      </c>
      <c r="M780" s="88" t="str">
        <f t="shared" si="5"/>
        <v>Perubahan Normal</v>
      </c>
    </row>
    <row r="781" ht="18.75" customHeight="1">
      <c r="A781" s="80" t="s">
        <v>425</v>
      </c>
      <c r="B781" s="81" t="str">
        <f t="shared" si="1"/>
        <v>Kab Gorontalo</v>
      </c>
      <c r="C781" s="81" t="str">
        <f t="array" ref="C781">XLOOKUP(B781,Reference!$A$2:$A$152,Reference!$B$2:$B$152)</f>
        <v>Gorontalo</v>
      </c>
      <c r="D781" s="82" t="s">
        <v>1219</v>
      </c>
      <c r="E781" s="83">
        <v>45352.0</v>
      </c>
      <c r="F781" s="84" t="str">
        <f t="array" ref="F781">XLOOKUP(G781,Reference!$F:$F,Reference!$D:$D,"null")</f>
        <v>Rumah Tangga</v>
      </c>
      <c r="G781" s="85" t="s">
        <v>84</v>
      </c>
      <c r="H781" s="86">
        <v>104.72</v>
      </c>
      <c r="I781" s="86">
        <v>104.72</v>
      </c>
      <c r="J781" s="87">
        <f t="shared" si="2"/>
        <v>0</v>
      </c>
      <c r="K781" s="84" t="str">
        <f t="shared" si="3"/>
        <v>Stabil</v>
      </c>
      <c r="L781" s="84">
        <f t="shared" si="4"/>
        <v>0</v>
      </c>
      <c r="M781" s="88" t="str">
        <f t="shared" si="5"/>
        <v>Perubahan Normal</v>
      </c>
    </row>
    <row r="782" ht="18.75" customHeight="1">
      <c r="A782" s="80" t="s">
        <v>425</v>
      </c>
      <c r="B782" s="81" t="str">
        <f t="shared" si="1"/>
        <v>Kab Gorontalo</v>
      </c>
      <c r="C782" s="81" t="str">
        <f t="array" ref="C782">XLOOKUP(B782,Reference!$A$2:$A$152,Reference!$B$2:$B$152)</f>
        <v>Gorontalo</v>
      </c>
      <c r="D782" s="82" t="s">
        <v>1220</v>
      </c>
      <c r="E782" s="83">
        <v>45352.0</v>
      </c>
      <c r="F782" s="84" t="str">
        <f t="array" ref="F782">XLOOKUP(G782,Reference!$F:$F,Reference!$D:$D,"null")</f>
        <v>Pendidikan dan Kesehatan</v>
      </c>
      <c r="G782" s="85" t="s">
        <v>98</v>
      </c>
      <c r="H782" s="86">
        <v>100.21</v>
      </c>
      <c r="I782" s="86">
        <v>99.74</v>
      </c>
      <c r="J782" s="87">
        <f t="shared" si="2"/>
        <v>0.4712251855</v>
      </c>
      <c r="K782" s="84" t="str">
        <f t="shared" si="3"/>
        <v>Inflasi Normal</v>
      </c>
      <c r="L782" s="84">
        <f t="shared" si="4"/>
        <v>0.47</v>
      </c>
      <c r="M782" s="88" t="str">
        <f t="shared" si="5"/>
        <v>Perubahan Normal</v>
      </c>
    </row>
    <row r="783" ht="18.75" customHeight="1">
      <c r="A783" s="80" t="s">
        <v>397</v>
      </c>
      <c r="B783" s="81" t="str">
        <f t="shared" si="1"/>
        <v>Kota Pematangsiantar</v>
      </c>
      <c r="C783" s="81" t="str">
        <f t="array" ref="C783">XLOOKUP(B783,Reference!$A$2:$A$152,Reference!$B$2:$B$152)</f>
        <v>Sumatera Utara</v>
      </c>
      <c r="D783" s="82" t="s">
        <v>1221</v>
      </c>
      <c r="E783" s="83">
        <v>45323.0</v>
      </c>
      <c r="F783" s="84" t="str">
        <f t="array" ref="F783">XLOOKUP(G783,Reference!$F:$F,Reference!$D:$D,"null")</f>
        <v>Rumah Tangga</v>
      </c>
      <c r="G783" s="89" t="s">
        <v>80</v>
      </c>
      <c r="H783" s="90">
        <v>110.22</v>
      </c>
      <c r="I783" s="90">
        <v>110.22</v>
      </c>
      <c r="J783" s="87">
        <f t="shared" si="2"/>
        <v>0</v>
      </c>
      <c r="K783" s="84" t="str">
        <f t="shared" si="3"/>
        <v>Stabil</v>
      </c>
      <c r="L783" s="91">
        <f t="shared" si="4"/>
        <v>0</v>
      </c>
      <c r="M783" s="88" t="str">
        <f t="shared" si="5"/>
        <v>Perubahan Normal</v>
      </c>
    </row>
    <row r="784" ht="18.75" customHeight="1">
      <c r="A784" s="80" t="s">
        <v>314</v>
      </c>
      <c r="B784" s="81" t="str">
        <f t="shared" si="1"/>
        <v>Kota Jayapura</v>
      </c>
      <c r="C784" s="81" t="str">
        <f t="array" ref="C784">XLOOKUP(B784,Reference!$A$2:$A$152,Reference!$B$2:$B$152)</f>
        <v>Papua</v>
      </c>
      <c r="D784" s="82" t="s">
        <v>1222</v>
      </c>
      <c r="E784" s="83">
        <v>45352.0</v>
      </c>
      <c r="F784" s="84" t="str">
        <f t="array" ref="F784">XLOOKUP(G784,Reference!$F:$F,Reference!$D:$D,"null")</f>
        <v>Makanan dan Pakaian </v>
      </c>
      <c r="G784" s="85" t="s">
        <v>56</v>
      </c>
      <c r="H784" s="86">
        <v>104.77</v>
      </c>
      <c r="I784" s="86">
        <v>102.71</v>
      </c>
      <c r="J784" s="87">
        <f t="shared" si="2"/>
        <v>2.005646967</v>
      </c>
      <c r="K784" s="84" t="str">
        <f t="shared" si="3"/>
        <v>Inflasi Tinggi</v>
      </c>
      <c r="L784" s="84">
        <f t="shared" si="4"/>
        <v>2.06</v>
      </c>
      <c r="M784" s="88" t="str">
        <f t="shared" si="5"/>
        <v>Akselerasi Kuat</v>
      </c>
    </row>
    <row r="785" ht="18.75" customHeight="1">
      <c r="A785" s="80" t="s">
        <v>485</v>
      </c>
      <c r="B785" s="81" t="str">
        <f t="shared" si="1"/>
        <v>Banyuwangi</v>
      </c>
      <c r="C785" s="81" t="str">
        <f t="array" ref="C785">XLOOKUP(B785,Reference!$A$2:$A$152,Reference!$B$2:$B$152)</f>
        <v>Jawa Timur</v>
      </c>
      <c r="D785" s="82" t="s">
        <v>1223</v>
      </c>
      <c r="E785" s="83">
        <v>45352.0</v>
      </c>
      <c r="F785" s="84" t="str">
        <f t="array" ref="F785">XLOOKUP(G785,Reference!$F:$F,Reference!$D:$D,"null")</f>
        <v>Rumah Tangga</v>
      </c>
      <c r="G785" s="85" t="s">
        <v>89</v>
      </c>
      <c r="H785" s="86">
        <v>103.26</v>
      </c>
      <c r="I785" s="86">
        <v>102.57</v>
      </c>
      <c r="J785" s="87">
        <f t="shared" si="2"/>
        <v>0.6727113191</v>
      </c>
      <c r="K785" s="84" t="str">
        <f t="shared" si="3"/>
        <v>Inflasi Tinggi</v>
      </c>
      <c r="L785" s="84">
        <f t="shared" si="4"/>
        <v>0.69</v>
      </c>
      <c r="M785" s="88" t="str">
        <f t="shared" si="5"/>
        <v>Akselerasi Persentase</v>
      </c>
    </row>
    <row r="786" ht="18.75" customHeight="1">
      <c r="A786" s="80" t="s">
        <v>672</v>
      </c>
      <c r="B786" s="81" t="str">
        <f t="shared" si="1"/>
        <v>Kab Ogan Komering Ilir</v>
      </c>
      <c r="C786" s="81" t="str">
        <f t="array" ref="C786">XLOOKUP(B786,Reference!$A$2:$A$152,Reference!$B$2:$B$152)</f>
        <v>Sumatera Selatan</v>
      </c>
      <c r="D786" s="82" t="s">
        <v>1224</v>
      </c>
      <c r="E786" s="83">
        <v>45352.0</v>
      </c>
      <c r="F786" s="84" t="str">
        <f t="array" ref="F786">XLOOKUP(G786,Reference!$F:$F,Reference!$D:$D,"null")</f>
        <v>Pendidikan dan Kesehatan</v>
      </c>
      <c r="G786" s="85" t="s">
        <v>95</v>
      </c>
      <c r="H786" s="86">
        <v>105.77</v>
      </c>
      <c r="I786" s="86">
        <v>105.77</v>
      </c>
      <c r="J786" s="87">
        <f t="shared" si="2"/>
        <v>0</v>
      </c>
      <c r="K786" s="84" t="str">
        <f t="shared" si="3"/>
        <v>Stabil</v>
      </c>
      <c r="L786" s="84">
        <f t="shared" si="4"/>
        <v>0</v>
      </c>
      <c r="M786" s="88" t="str">
        <f t="shared" si="5"/>
        <v>Perubahan Normal</v>
      </c>
    </row>
    <row r="787" ht="18.75" customHeight="1">
      <c r="A787" s="80" t="s">
        <v>306</v>
      </c>
      <c r="B787" s="81" t="str">
        <f t="shared" si="1"/>
        <v>Kota Padang</v>
      </c>
      <c r="C787" s="81" t="str">
        <f t="array" ref="C787">XLOOKUP(B787,Reference!$A$2:$A$152,Reference!$B$2:$B$152)</f>
        <v>Sumatera Barat</v>
      </c>
      <c r="D787" s="82" t="s">
        <v>1225</v>
      </c>
      <c r="E787" s="83">
        <v>45352.0</v>
      </c>
      <c r="F787" s="84" t="str">
        <f t="array" ref="F787">XLOOKUP(G787,Reference!$F:$F,Reference!$D:$D,"null")</f>
        <v>Pendidikan dan Kesehatan</v>
      </c>
      <c r="G787" s="85" t="s">
        <v>95</v>
      </c>
      <c r="H787" s="86">
        <v>103.02</v>
      </c>
      <c r="I787" s="86">
        <v>103.02</v>
      </c>
      <c r="J787" s="87">
        <f t="shared" si="2"/>
        <v>0</v>
      </c>
      <c r="K787" s="84" t="str">
        <f t="shared" si="3"/>
        <v>Stabil</v>
      </c>
      <c r="L787" s="84">
        <f t="shared" si="4"/>
        <v>0</v>
      </c>
      <c r="M787" s="88" t="str">
        <f t="shared" si="5"/>
        <v>Perubahan Normal</v>
      </c>
    </row>
    <row r="788" ht="18.75" customHeight="1">
      <c r="A788" s="80" t="s">
        <v>814</v>
      </c>
      <c r="B788" s="81" t="str">
        <f t="shared" si="1"/>
        <v>Kota Samarinda</v>
      </c>
      <c r="C788" s="81" t="str">
        <f t="array" ref="C788">XLOOKUP(B788,Reference!$A$2:$A$152,Reference!$B$2:$B$152)</f>
        <v>Kalimantan Timur</v>
      </c>
      <c r="D788" s="82" t="s">
        <v>1226</v>
      </c>
      <c r="E788" s="83">
        <v>45352.0</v>
      </c>
      <c r="F788" s="84" t="str">
        <f t="array" ref="F788">XLOOKUP(G788,Reference!$F:$F,Reference!$D:$D,"null")</f>
        <v>Rumah Tangga</v>
      </c>
      <c r="G788" s="85" t="s">
        <v>89</v>
      </c>
      <c r="H788" s="86">
        <v>101.77</v>
      </c>
      <c r="I788" s="86">
        <v>103.51</v>
      </c>
      <c r="J788" s="87">
        <f t="shared" si="2"/>
        <v>-1.680997005</v>
      </c>
      <c r="K788" s="84" t="str">
        <f t="shared" si="3"/>
        <v>Deflasi</v>
      </c>
      <c r="L788" s="84">
        <f t="shared" si="4"/>
        <v>-1.74</v>
      </c>
      <c r="M788" s="88" t="str">
        <f t="shared" si="5"/>
        <v>Perubahan Normal</v>
      </c>
    </row>
    <row r="789" ht="18.75" customHeight="1">
      <c r="A789" s="80" t="s">
        <v>460</v>
      </c>
      <c r="B789" s="81" t="str">
        <f t="shared" si="1"/>
        <v>Kab Kayong Utara</v>
      </c>
      <c r="C789" s="81" t="str">
        <f t="array" ref="C789">XLOOKUP(B789,Reference!$A$2:$A$152,Reference!$B$2:$B$152)</f>
        <v>Kalimantan Barat</v>
      </c>
      <c r="D789" s="82" t="s">
        <v>1227</v>
      </c>
      <c r="E789" s="83">
        <v>45323.0</v>
      </c>
      <c r="F789" s="84" t="str">
        <f t="array" ref="F789">XLOOKUP(G789,Reference!$F:$F,Reference!$D:$D,"null")</f>
        <v>Rumah Tangga</v>
      </c>
      <c r="G789" s="85" t="s">
        <v>84</v>
      </c>
      <c r="H789" s="86">
        <v>102.66</v>
      </c>
      <c r="I789" s="86">
        <v>103.39</v>
      </c>
      <c r="J789" s="87">
        <f t="shared" si="2"/>
        <v>-0.7060644163</v>
      </c>
      <c r="K789" s="84" t="str">
        <f t="shared" si="3"/>
        <v>Deflasi</v>
      </c>
      <c r="L789" s="84">
        <f t="shared" si="4"/>
        <v>-0.73</v>
      </c>
      <c r="M789" s="88" t="str">
        <f t="shared" si="5"/>
        <v>Perubahan Normal</v>
      </c>
    </row>
    <row r="790" ht="18.75" customHeight="1">
      <c r="A790" s="80" t="s">
        <v>310</v>
      </c>
      <c r="B790" s="81" t="str">
        <f t="shared" si="1"/>
        <v>Kab Kampar</v>
      </c>
      <c r="C790" s="81" t="str">
        <f t="array" ref="C790">XLOOKUP(B790,Reference!$A$2:$A$152,Reference!$B$2:$B$152)</f>
        <v>Riau</v>
      </c>
      <c r="D790" s="82" t="s">
        <v>1228</v>
      </c>
      <c r="E790" s="83">
        <v>45352.0</v>
      </c>
      <c r="F790" s="84" t="str">
        <f t="array" ref="F790">XLOOKUP(G790,Reference!$F:$F,Reference!$D:$D,"null")</f>
        <v>Makanan dan Pakaian </v>
      </c>
      <c r="G790" s="85" t="s">
        <v>72</v>
      </c>
      <c r="H790" s="86">
        <v>118.26</v>
      </c>
      <c r="I790" s="86">
        <v>114.77</v>
      </c>
      <c r="J790" s="87">
        <f t="shared" si="2"/>
        <v>3.040864337</v>
      </c>
      <c r="K790" s="84" t="str">
        <f t="shared" si="3"/>
        <v>Inflasi Tinggi</v>
      </c>
      <c r="L790" s="84">
        <f t="shared" si="4"/>
        <v>3.49</v>
      </c>
      <c r="M790" s="88" t="str">
        <f t="shared" si="5"/>
        <v>Akselerasi Kuat</v>
      </c>
    </row>
    <row r="791" ht="18.75" customHeight="1">
      <c r="A791" s="80" t="s">
        <v>397</v>
      </c>
      <c r="B791" s="81" t="str">
        <f t="shared" si="1"/>
        <v>Kota Pematangsiantar</v>
      </c>
      <c r="C791" s="81" t="str">
        <f t="array" ref="C791">XLOOKUP(B791,Reference!$A$2:$A$152,Reference!$B$2:$B$152)</f>
        <v>Sumatera Utara</v>
      </c>
      <c r="D791" s="82" t="s">
        <v>1229</v>
      </c>
      <c r="E791" s="83">
        <v>45323.0</v>
      </c>
      <c r="F791" s="84" t="str">
        <f t="array" ref="F791">XLOOKUP(G791,Reference!$F:$F,Reference!$D:$D,"null")</f>
        <v>Makanan dan Pakaian </v>
      </c>
      <c r="G791" s="85" t="s">
        <v>48</v>
      </c>
      <c r="H791" s="86">
        <v>108.96</v>
      </c>
      <c r="I791" s="86">
        <v>108.0</v>
      </c>
      <c r="J791" s="87">
        <f t="shared" si="2"/>
        <v>0.8888888889</v>
      </c>
      <c r="K791" s="84" t="str">
        <f t="shared" si="3"/>
        <v>Inflasi Tinggi</v>
      </c>
      <c r="L791" s="84">
        <f t="shared" si="4"/>
        <v>0.96</v>
      </c>
      <c r="M791" s="88" t="str">
        <f t="shared" si="5"/>
        <v>Akselerasi Persentase</v>
      </c>
    </row>
    <row r="792" ht="18.75" customHeight="1">
      <c r="A792" s="80" t="s">
        <v>495</v>
      </c>
      <c r="B792" s="81" t="str">
        <f t="shared" si="1"/>
        <v>Kota Medan</v>
      </c>
      <c r="C792" s="81" t="str">
        <f t="array" ref="C792">XLOOKUP(B792,Reference!$A$2:$A$152,Reference!$B$2:$B$152)</f>
        <v>Sumatera Utara</v>
      </c>
      <c r="D792" s="82" t="s">
        <v>1230</v>
      </c>
      <c r="E792" s="83">
        <v>45323.0</v>
      </c>
      <c r="F792" s="84" t="str">
        <f t="array" ref="F792">XLOOKUP(G792,Reference!$F:$F,Reference!$D:$D,"null")</f>
        <v>Pendidikan dan Kesehatan</v>
      </c>
      <c r="G792" s="85" t="s">
        <v>95</v>
      </c>
      <c r="H792" s="86">
        <v>102.3</v>
      </c>
      <c r="I792" s="86">
        <v>102.3</v>
      </c>
      <c r="J792" s="87">
        <f t="shared" si="2"/>
        <v>0</v>
      </c>
      <c r="K792" s="84" t="str">
        <f t="shared" si="3"/>
        <v>Stabil</v>
      </c>
      <c r="L792" s="84">
        <f t="shared" si="4"/>
        <v>0</v>
      </c>
      <c r="M792" s="88" t="str">
        <f t="shared" si="5"/>
        <v>Perubahan Normal</v>
      </c>
    </row>
    <row r="793" ht="18.75" customHeight="1">
      <c r="A793" s="80" t="s">
        <v>340</v>
      </c>
      <c r="B793" s="81" t="str">
        <f t="shared" si="1"/>
        <v>Kab Rembang</v>
      </c>
      <c r="C793" s="81" t="str">
        <f t="array" ref="C793">XLOOKUP(B793,Reference!$A$2:$A$152,Reference!$B$2:$B$152)</f>
        <v>Jawa Tengah</v>
      </c>
      <c r="D793" s="82" t="s">
        <v>1231</v>
      </c>
      <c r="E793" s="83">
        <v>45323.0</v>
      </c>
      <c r="F793" s="84" t="str">
        <f t="array" ref="F793">XLOOKUP(G793,Reference!$F:$F,Reference!$D:$D,"null")</f>
        <v>Rumah Tangga</v>
      </c>
      <c r="G793" s="85" t="s">
        <v>84</v>
      </c>
      <c r="H793" s="86">
        <v>102.4</v>
      </c>
      <c r="I793" s="86">
        <v>102.8</v>
      </c>
      <c r="J793" s="87">
        <f t="shared" si="2"/>
        <v>-0.3891050584</v>
      </c>
      <c r="K793" s="84" t="str">
        <f t="shared" si="3"/>
        <v>Deflasi</v>
      </c>
      <c r="L793" s="84">
        <f t="shared" si="4"/>
        <v>-0.4</v>
      </c>
      <c r="M793" s="88" t="str">
        <f t="shared" si="5"/>
        <v>Perubahan Normal</v>
      </c>
    </row>
    <row r="794" ht="18.75" customHeight="1">
      <c r="A794" s="80" t="s">
        <v>395</v>
      </c>
      <c r="B794" s="81" t="str">
        <f t="shared" si="1"/>
        <v>Kota Bukittinggi</v>
      </c>
      <c r="C794" s="81" t="str">
        <f t="array" ref="C794">XLOOKUP(B794,Reference!$A$2:$A$152,Reference!$B$2:$B$152)</f>
        <v>Sumatera Barat</v>
      </c>
      <c r="D794" s="82" t="s">
        <v>1232</v>
      </c>
      <c r="E794" s="83">
        <v>45352.0</v>
      </c>
      <c r="F794" s="84" t="str">
        <f t="array" ref="F794">XLOOKUP(G794,Reference!$F:$F,Reference!$D:$D,"null")</f>
        <v>Rekreasi dan Kendaraan</v>
      </c>
      <c r="G794" s="85" t="s">
        <v>105</v>
      </c>
      <c r="H794" s="86">
        <v>106.48</v>
      </c>
      <c r="I794" s="86">
        <v>105.7</v>
      </c>
      <c r="J794" s="87">
        <f t="shared" si="2"/>
        <v>0.7379375591</v>
      </c>
      <c r="K794" s="84" t="str">
        <f t="shared" si="3"/>
        <v>Inflasi Tinggi</v>
      </c>
      <c r="L794" s="84">
        <f t="shared" si="4"/>
        <v>0.78</v>
      </c>
      <c r="M794" s="88" t="str">
        <f t="shared" si="5"/>
        <v>Akselerasi Persentase</v>
      </c>
    </row>
    <row r="795" ht="18.75" customHeight="1">
      <c r="A795" s="80" t="s">
        <v>734</v>
      </c>
      <c r="B795" s="81" t="str">
        <f t="shared" si="1"/>
        <v>Kota Tegal</v>
      </c>
      <c r="C795" s="81" t="str">
        <f t="array" ref="C795">XLOOKUP(B795,Reference!$A$2:$A$152,Reference!$B$2:$B$152)</f>
        <v>Jawa Tengah</v>
      </c>
      <c r="D795" s="82" t="s">
        <v>1233</v>
      </c>
      <c r="E795" s="83">
        <v>45352.0</v>
      </c>
      <c r="F795" s="84" t="str">
        <f t="array" ref="F795">XLOOKUP(G795,Reference!$F:$F,Reference!$D:$D,"null")</f>
        <v>Rumah Tangga</v>
      </c>
      <c r="G795" s="89" t="s">
        <v>84</v>
      </c>
      <c r="H795" s="90">
        <v>99.98</v>
      </c>
      <c r="I795" s="90">
        <v>99.98</v>
      </c>
      <c r="J795" s="87">
        <f t="shared" si="2"/>
        <v>0</v>
      </c>
      <c r="K795" s="84" t="str">
        <f t="shared" si="3"/>
        <v>Stabil</v>
      </c>
      <c r="L795" s="91">
        <f t="shared" si="4"/>
        <v>0</v>
      </c>
      <c r="M795" s="88" t="str">
        <f t="shared" si="5"/>
        <v>Perubahan Normal</v>
      </c>
    </row>
    <row r="796" ht="18.75" customHeight="1">
      <c r="A796" s="80" t="s">
        <v>497</v>
      </c>
      <c r="B796" s="81" t="str">
        <f t="shared" si="1"/>
        <v>Tanjung Pandan</v>
      </c>
      <c r="C796" s="81" t="str">
        <f t="array" ref="C796">XLOOKUP(B796,Reference!$A$2:$A$152,Reference!$B$2:$B$152)</f>
        <v>Kepulauan Bangka Belitung</v>
      </c>
      <c r="D796" s="82" t="s">
        <v>1234</v>
      </c>
      <c r="E796" s="83">
        <v>45323.0</v>
      </c>
      <c r="F796" s="84" t="str">
        <f t="array" ref="F796">XLOOKUP(G796,Reference!$F:$F,Reference!$D:$D,"null")</f>
        <v>Makanan dan Pakaian </v>
      </c>
      <c r="G796" s="85" t="s">
        <v>64</v>
      </c>
      <c r="H796" s="86">
        <v>103.0</v>
      </c>
      <c r="I796" s="86">
        <v>103.0</v>
      </c>
      <c r="J796" s="87">
        <f t="shared" si="2"/>
        <v>0</v>
      </c>
      <c r="K796" s="84" t="str">
        <f t="shared" si="3"/>
        <v>Stabil</v>
      </c>
      <c r="L796" s="84">
        <f t="shared" si="4"/>
        <v>0</v>
      </c>
      <c r="M796" s="88" t="str">
        <f t="shared" si="5"/>
        <v>Perubahan Normal</v>
      </c>
    </row>
    <row r="797" ht="18.75" customHeight="1">
      <c r="A797" s="80" t="s">
        <v>920</v>
      </c>
      <c r="B797" s="81" t="str">
        <f t="shared" si="1"/>
        <v>Kab Deli Serdang</v>
      </c>
      <c r="C797" s="81" t="str">
        <f t="array" ref="C797">XLOOKUP(B797,Reference!$A$2:$A$152,Reference!$B$2:$B$152)</f>
        <v>Sumatera Utara</v>
      </c>
      <c r="D797" s="82" t="s">
        <v>1235</v>
      </c>
      <c r="E797" s="83">
        <v>45323.0</v>
      </c>
      <c r="F797" s="84" t="str">
        <f t="array" ref="F797">XLOOKUP(G797,Reference!$F:$F,Reference!$D:$D,"null")</f>
        <v>Makanan dan Pakaian </v>
      </c>
      <c r="G797" s="89" t="s">
        <v>64</v>
      </c>
      <c r="H797" s="90">
        <v>102.64</v>
      </c>
      <c r="I797" s="90">
        <v>102.64</v>
      </c>
      <c r="J797" s="87">
        <f t="shared" si="2"/>
        <v>0</v>
      </c>
      <c r="K797" s="84" t="str">
        <f t="shared" si="3"/>
        <v>Stabil</v>
      </c>
      <c r="L797" s="91">
        <f t="shared" si="4"/>
        <v>0</v>
      </c>
      <c r="M797" s="88" t="str">
        <f t="shared" si="5"/>
        <v>Perubahan Normal</v>
      </c>
    </row>
    <row r="798" ht="18.75" customHeight="1">
      <c r="A798" s="80" t="s">
        <v>450</v>
      </c>
      <c r="B798" s="81" t="str">
        <f t="shared" si="1"/>
        <v>Waingapu</v>
      </c>
      <c r="C798" s="81" t="str">
        <f t="array" ref="C798">XLOOKUP(B798,Reference!$A$2:$A$152,Reference!$B$2:$B$152)</f>
        <v>Nusa Tenggara Timur (NTT)</v>
      </c>
      <c r="D798" s="82" t="s">
        <v>1236</v>
      </c>
      <c r="E798" s="83">
        <v>45352.0</v>
      </c>
      <c r="F798" s="84" t="str">
        <f t="array" ref="F798">XLOOKUP(G798,Reference!$F:$F,Reference!$D:$D,"null")</f>
        <v>Makanan dan Pakaian </v>
      </c>
      <c r="G798" s="85" t="s">
        <v>64</v>
      </c>
      <c r="H798" s="86">
        <v>103.46</v>
      </c>
      <c r="I798" s="86">
        <v>103.22</v>
      </c>
      <c r="J798" s="87">
        <f t="shared" si="2"/>
        <v>0.2325130789</v>
      </c>
      <c r="K798" s="84" t="str">
        <f t="shared" si="3"/>
        <v>Inflasi Normal</v>
      </c>
      <c r="L798" s="84">
        <f t="shared" si="4"/>
        <v>0.24</v>
      </c>
      <c r="M798" s="88" t="str">
        <f t="shared" si="5"/>
        <v>Perubahan Normal</v>
      </c>
    </row>
    <row r="799" ht="18.75" customHeight="1">
      <c r="A799" s="80" t="s">
        <v>349</v>
      </c>
      <c r="B799" s="81" t="str">
        <f t="shared" si="1"/>
        <v>Kota Banjarmasin</v>
      </c>
      <c r="C799" s="81" t="str">
        <f t="array" ref="C799">XLOOKUP(B799,Reference!$A$2:$A$152,Reference!$B$2:$B$152)</f>
        <v>Kalimantan Selatan</v>
      </c>
      <c r="D799" s="82" t="s">
        <v>1237</v>
      </c>
      <c r="E799" s="83">
        <v>45323.0</v>
      </c>
      <c r="F799" s="84" t="str">
        <f t="array" ref="F799">XLOOKUP(G799,Reference!$F:$F,Reference!$D:$D,"null")</f>
        <v>Makanan dan Pakaian </v>
      </c>
      <c r="G799" s="85" t="s">
        <v>72</v>
      </c>
      <c r="H799" s="86">
        <v>102.42</v>
      </c>
      <c r="I799" s="86">
        <v>102.62</v>
      </c>
      <c r="J799" s="87">
        <f t="shared" si="2"/>
        <v>-0.1948937829</v>
      </c>
      <c r="K799" s="84" t="str">
        <f t="shared" si="3"/>
        <v>Deflasi</v>
      </c>
      <c r="L799" s="84">
        <f t="shared" si="4"/>
        <v>-0.2</v>
      </c>
      <c r="M799" s="88" t="str">
        <f t="shared" si="5"/>
        <v>Perubahan Normal</v>
      </c>
    </row>
    <row r="800" ht="18.75" customHeight="1">
      <c r="A800" s="80" t="s">
        <v>367</v>
      </c>
      <c r="B800" s="81" t="str">
        <f t="shared" si="1"/>
        <v>Kota Jambi</v>
      </c>
      <c r="C800" s="81" t="str">
        <f t="array" ref="C800">XLOOKUP(B800,Reference!$A$2:$A$152,Reference!$B$2:$B$152)</f>
        <v>Jambi</v>
      </c>
      <c r="D800" s="82" t="s">
        <v>1238</v>
      </c>
      <c r="E800" s="83">
        <v>45352.0</v>
      </c>
      <c r="F800" s="84" t="str">
        <f t="array" ref="F800">XLOOKUP(G800,Reference!$F:$F,Reference!$D:$D,"null")</f>
        <v>Makanan dan Pakaian </v>
      </c>
      <c r="G800" s="85" t="s">
        <v>64</v>
      </c>
      <c r="H800" s="86">
        <v>101.46</v>
      </c>
      <c r="I800" s="86">
        <v>101.46</v>
      </c>
      <c r="J800" s="87">
        <f t="shared" si="2"/>
        <v>0</v>
      </c>
      <c r="K800" s="84" t="str">
        <f t="shared" si="3"/>
        <v>Stabil</v>
      </c>
      <c r="L800" s="84">
        <f t="shared" si="4"/>
        <v>0</v>
      </c>
      <c r="M800" s="88" t="str">
        <f t="shared" si="5"/>
        <v>Perubahan Normal</v>
      </c>
    </row>
    <row r="801" ht="18.75" customHeight="1">
      <c r="A801" s="80" t="s">
        <v>658</v>
      </c>
      <c r="B801" s="81" t="str">
        <f t="shared" si="1"/>
        <v>Kota Mataram</v>
      </c>
      <c r="C801" s="81" t="str">
        <f t="array" ref="C801">XLOOKUP(B801,Reference!$A$2:$A$152,Reference!$B$2:$B$152)</f>
        <v>Nusa Tenggara Barat (NTB)</v>
      </c>
      <c r="D801" s="82" t="s">
        <v>1239</v>
      </c>
      <c r="E801" s="83">
        <v>45323.0</v>
      </c>
      <c r="F801" s="84" t="str">
        <f t="array" ref="F801">XLOOKUP(G801,Reference!$F:$F,Reference!$D:$D,"null")</f>
        <v>Makanan dan Pakaian </v>
      </c>
      <c r="G801" s="85" t="s">
        <v>48</v>
      </c>
      <c r="H801" s="86">
        <v>109.17</v>
      </c>
      <c r="I801" s="86">
        <v>107.68</v>
      </c>
      <c r="J801" s="87">
        <f t="shared" si="2"/>
        <v>1.383729569</v>
      </c>
      <c r="K801" s="84" t="str">
        <f t="shared" si="3"/>
        <v>Inflasi Tinggi</v>
      </c>
      <c r="L801" s="84">
        <f t="shared" si="4"/>
        <v>1.49</v>
      </c>
      <c r="M801" s="88" t="str">
        <f t="shared" si="5"/>
        <v>Akselerasi Persentase</v>
      </c>
    </row>
    <row r="802" ht="18.75" customHeight="1">
      <c r="A802" s="80" t="s">
        <v>925</v>
      </c>
      <c r="B802" s="81" t="str">
        <f t="shared" si="1"/>
        <v>Kota Jakarta</v>
      </c>
      <c r="C802" s="81" t="str">
        <f t="array" ref="C802">XLOOKUP(B802,Reference!$A$2:$A$152,Reference!$B$2:$B$152)</f>
        <v>DKI Jakarta</v>
      </c>
      <c r="D802" s="82" t="s">
        <v>1240</v>
      </c>
      <c r="E802" s="83">
        <v>45323.0</v>
      </c>
      <c r="F802" s="84" t="str">
        <f t="array" ref="F802">XLOOKUP(G802,Reference!$F:$F,Reference!$D:$D,"null")</f>
        <v>Makanan dan Pakaian </v>
      </c>
      <c r="G802" s="85" t="s">
        <v>72</v>
      </c>
      <c r="H802" s="86">
        <v>96.3</v>
      </c>
      <c r="I802" s="86">
        <v>96.24</v>
      </c>
      <c r="J802" s="87">
        <f t="shared" si="2"/>
        <v>0.06234413965</v>
      </c>
      <c r="K802" s="84" t="str">
        <f t="shared" si="3"/>
        <v>Inflasi Normal</v>
      </c>
      <c r="L802" s="84">
        <f t="shared" si="4"/>
        <v>0.06</v>
      </c>
      <c r="M802" s="88" t="str">
        <f t="shared" si="5"/>
        <v>Perubahan Normal</v>
      </c>
    </row>
    <row r="803" ht="18.75" customHeight="1">
      <c r="A803" s="80" t="s">
        <v>337</v>
      </c>
      <c r="B803" s="81" t="str">
        <f t="shared" si="1"/>
        <v>Merauke</v>
      </c>
      <c r="C803" s="81" t="str">
        <f t="array" ref="C803">XLOOKUP(B803,Reference!$A$2:$A$152,Reference!$B$2:$B$152)</f>
        <v>Papua</v>
      </c>
      <c r="D803" s="82" t="s">
        <v>1241</v>
      </c>
      <c r="E803" s="83">
        <v>45323.0</v>
      </c>
      <c r="F803" s="84" t="str">
        <f t="array" ref="F803">XLOOKUP(G803,Reference!$F:$F,Reference!$D:$D,"null")</f>
        <v>Rekreasi dan Kendaraan</v>
      </c>
      <c r="G803" s="85" t="s">
        <v>102</v>
      </c>
      <c r="H803" s="86">
        <v>111.36</v>
      </c>
      <c r="I803" s="86">
        <v>111.56</v>
      </c>
      <c r="J803" s="87">
        <f t="shared" si="2"/>
        <v>-0.1792757261</v>
      </c>
      <c r="K803" s="84" t="str">
        <f t="shared" si="3"/>
        <v>Deflasi</v>
      </c>
      <c r="L803" s="84">
        <f t="shared" si="4"/>
        <v>-0.2</v>
      </c>
      <c r="M803" s="88" t="str">
        <f t="shared" si="5"/>
        <v>Perubahan Normal</v>
      </c>
    </row>
    <row r="804" ht="18.75" customHeight="1">
      <c r="A804" s="80" t="s">
        <v>302</v>
      </c>
      <c r="B804" s="81" t="str">
        <f t="shared" si="1"/>
        <v>Kota Lubuk Linggau</v>
      </c>
      <c r="C804" s="81" t="str">
        <f t="array" ref="C804">XLOOKUP(B804,Reference!$A$2:$A$152,Reference!$B$2:$B$152)</f>
        <v>Sumatera Selatan</v>
      </c>
      <c r="D804" s="82" t="s">
        <v>1242</v>
      </c>
      <c r="E804" s="83">
        <v>45323.0</v>
      </c>
      <c r="F804" s="84" t="str">
        <f t="array" ref="F804">XLOOKUP(G804,Reference!$F:$F,Reference!$D:$D,"null")</f>
        <v>Pendidikan dan Kesehatan</v>
      </c>
      <c r="G804" s="85" t="s">
        <v>98</v>
      </c>
      <c r="H804" s="86">
        <v>104.56</v>
      </c>
      <c r="I804" s="86">
        <v>104.34</v>
      </c>
      <c r="J804" s="87">
        <f t="shared" si="2"/>
        <v>0.210849147</v>
      </c>
      <c r="K804" s="84" t="str">
        <f t="shared" si="3"/>
        <v>Inflasi Normal</v>
      </c>
      <c r="L804" s="84">
        <f t="shared" si="4"/>
        <v>0.22</v>
      </c>
      <c r="M804" s="88" t="str">
        <f t="shared" si="5"/>
        <v>Perubahan Normal</v>
      </c>
    </row>
    <row r="805" ht="18.75" customHeight="1">
      <c r="A805" s="80" t="s">
        <v>448</v>
      </c>
      <c r="B805" s="81" t="str">
        <f t="shared" si="1"/>
        <v>Tanjung Selor</v>
      </c>
      <c r="C805" s="81" t="str">
        <f t="array" ref="C805">XLOOKUP(B805,Reference!$A$2:$A$152,Reference!$B$2:$B$152)</f>
        <v>Kalimantan Utara</v>
      </c>
      <c r="D805" s="82" t="s">
        <v>1243</v>
      </c>
      <c r="E805" s="83">
        <v>45323.0</v>
      </c>
      <c r="F805" s="84" t="str">
        <f t="array" ref="F805">XLOOKUP(G805,Reference!$F:$F,Reference!$D:$D,"null")</f>
        <v>Rekreasi dan Kendaraan</v>
      </c>
      <c r="G805" s="85" t="s">
        <v>102</v>
      </c>
      <c r="H805" s="86">
        <v>102.35</v>
      </c>
      <c r="I805" s="86">
        <v>102.35</v>
      </c>
      <c r="J805" s="87">
        <f t="shared" si="2"/>
        <v>0</v>
      </c>
      <c r="K805" s="84" t="str">
        <f t="shared" si="3"/>
        <v>Stabil</v>
      </c>
      <c r="L805" s="84">
        <f t="shared" si="4"/>
        <v>0</v>
      </c>
      <c r="M805" s="88" t="str">
        <f t="shared" si="5"/>
        <v>Perubahan Normal</v>
      </c>
    </row>
    <row r="806" ht="18.75" customHeight="1">
      <c r="A806" s="80" t="s">
        <v>578</v>
      </c>
      <c r="B806" s="81" t="str">
        <f t="shared" si="1"/>
        <v>Kab Belitung Timur</v>
      </c>
      <c r="C806" s="81" t="str">
        <f t="array" ref="C806">XLOOKUP(B806,Reference!$A$2:$A$152,Reference!$B$2:$B$152)</f>
        <v>Kepulauan Bangka Belitung</v>
      </c>
      <c r="D806" s="82" t="s">
        <v>1244</v>
      </c>
      <c r="E806" s="83">
        <v>45352.0</v>
      </c>
      <c r="F806" s="84" t="str">
        <f t="array" ref="F806">XLOOKUP(G806,Reference!$F:$F,Reference!$D:$D,"null")</f>
        <v>Makanan dan Pakaian </v>
      </c>
      <c r="G806" s="85" t="s">
        <v>56</v>
      </c>
      <c r="H806" s="86">
        <v>105.47</v>
      </c>
      <c r="I806" s="86">
        <v>105.47</v>
      </c>
      <c r="J806" s="87">
        <f t="shared" si="2"/>
        <v>0</v>
      </c>
      <c r="K806" s="84" t="str">
        <f t="shared" si="3"/>
        <v>Stabil</v>
      </c>
      <c r="L806" s="84">
        <f t="shared" si="4"/>
        <v>0</v>
      </c>
      <c r="M806" s="88" t="str">
        <f t="shared" si="5"/>
        <v>Perubahan Normal</v>
      </c>
    </row>
    <row r="807" ht="18.75" customHeight="1">
      <c r="A807" s="80" t="s">
        <v>526</v>
      </c>
      <c r="B807" s="81" t="str">
        <f t="shared" si="1"/>
        <v>Maumere</v>
      </c>
      <c r="C807" s="81" t="str">
        <f t="array" ref="C807">XLOOKUP(B807,Reference!$A$2:$A$152,Reference!$B$2:$B$152)</f>
        <v>Nusa Tenggara Timur (NTT)</v>
      </c>
      <c r="D807" s="82" t="s">
        <v>1245</v>
      </c>
      <c r="E807" s="83">
        <v>45352.0</v>
      </c>
      <c r="F807" s="84" t="str">
        <f t="array" ref="F807">XLOOKUP(G807,Reference!$F:$F,Reference!$D:$D,"null")</f>
        <v>Makanan dan Pakaian </v>
      </c>
      <c r="G807" s="85" t="s">
        <v>64</v>
      </c>
      <c r="H807" s="86">
        <v>101.6</v>
      </c>
      <c r="I807" s="86">
        <v>101.6</v>
      </c>
      <c r="J807" s="87">
        <f t="shared" si="2"/>
        <v>0</v>
      </c>
      <c r="K807" s="84" t="str">
        <f t="shared" si="3"/>
        <v>Stabil</v>
      </c>
      <c r="L807" s="84">
        <f t="shared" si="4"/>
        <v>0</v>
      </c>
      <c r="M807" s="88" t="str">
        <f t="shared" si="5"/>
        <v>Perubahan Normal</v>
      </c>
    </row>
    <row r="808" ht="18.75" customHeight="1">
      <c r="A808" s="80" t="s">
        <v>404</v>
      </c>
      <c r="B808" s="81" t="str">
        <f t="shared" si="1"/>
        <v>Kab Mesuji</v>
      </c>
      <c r="C808" s="81" t="str">
        <f t="array" ref="C808">XLOOKUP(B808,Reference!$A$2:$A$152,Reference!$B$2:$B$152)</f>
        <v>Lampung</v>
      </c>
      <c r="D808" s="82" t="s">
        <v>1246</v>
      </c>
      <c r="E808" s="83">
        <v>45352.0</v>
      </c>
      <c r="F808" s="84" t="str">
        <f t="array" ref="F808">XLOOKUP(G808,Reference!$F:$F,Reference!$D:$D,"null")</f>
        <v>Makanan dan Pakaian </v>
      </c>
      <c r="G808" s="85" t="s">
        <v>72</v>
      </c>
      <c r="H808" s="86">
        <v>108.51</v>
      </c>
      <c r="I808" s="86">
        <v>108.51</v>
      </c>
      <c r="J808" s="87">
        <f t="shared" si="2"/>
        <v>0</v>
      </c>
      <c r="K808" s="84" t="str">
        <f t="shared" si="3"/>
        <v>Stabil</v>
      </c>
      <c r="L808" s="84">
        <f t="shared" si="4"/>
        <v>0</v>
      </c>
      <c r="M808" s="88" t="str">
        <f t="shared" si="5"/>
        <v>Perubahan Normal</v>
      </c>
    </row>
    <row r="809" ht="18.75" customHeight="1">
      <c r="A809" s="80" t="s">
        <v>598</v>
      </c>
      <c r="B809" s="81" t="str">
        <f t="shared" si="1"/>
        <v>Kota Surakarta</v>
      </c>
      <c r="C809" s="81" t="str">
        <f t="array" ref="C809">XLOOKUP(B809,Reference!$A$2:$A$152,Reference!$B$2:$B$152)</f>
        <v>Jawa Tengah</v>
      </c>
      <c r="D809" s="82" t="s">
        <v>1247</v>
      </c>
      <c r="E809" s="83">
        <v>45352.0</v>
      </c>
      <c r="F809" s="84" t="str">
        <f t="array" ref="F809">XLOOKUP(G809,Reference!$F:$F,Reference!$D:$D,"null")</f>
        <v>Rumah Tangga</v>
      </c>
      <c r="G809" s="85" t="s">
        <v>80</v>
      </c>
      <c r="H809" s="86">
        <v>102.95</v>
      </c>
      <c r="I809" s="86">
        <v>102.95</v>
      </c>
      <c r="J809" s="87">
        <f t="shared" si="2"/>
        <v>0</v>
      </c>
      <c r="K809" s="84" t="str">
        <f t="shared" si="3"/>
        <v>Stabil</v>
      </c>
      <c r="L809" s="84">
        <f t="shared" si="4"/>
        <v>0</v>
      </c>
      <c r="M809" s="88" t="str">
        <f t="shared" si="5"/>
        <v>Perubahan Normal</v>
      </c>
    </row>
    <row r="810" ht="18.75" customHeight="1">
      <c r="A810" s="80" t="s">
        <v>502</v>
      </c>
      <c r="B810" s="81" t="str">
        <f t="shared" si="1"/>
        <v>Muara Bungo</v>
      </c>
      <c r="C810" s="81" t="str">
        <f t="array" ref="C810">XLOOKUP(B810,Reference!$A$2:$A$152,Reference!$B$2:$B$152)</f>
        <v>Jambi</v>
      </c>
      <c r="D810" s="82" t="s">
        <v>1248</v>
      </c>
      <c r="E810" s="83">
        <v>45352.0</v>
      </c>
      <c r="F810" s="84" t="str">
        <f t="array" ref="F810">XLOOKUP(G810,Reference!$F:$F,Reference!$D:$D,"null")</f>
        <v>Makanan dan Pakaian </v>
      </c>
      <c r="G810" s="85" t="s">
        <v>64</v>
      </c>
      <c r="H810" s="86">
        <v>102.3</v>
      </c>
      <c r="I810" s="86">
        <v>102.14</v>
      </c>
      <c r="J810" s="87">
        <f t="shared" si="2"/>
        <v>0.1566477384</v>
      </c>
      <c r="K810" s="84" t="str">
        <f t="shared" si="3"/>
        <v>Inflasi Normal</v>
      </c>
      <c r="L810" s="84">
        <f t="shared" si="4"/>
        <v>0.16</v>
      </c>
      <c r="M810" s="88" t="str">
        <f t="shared" si="5"/>
        <v>Perubahan Normal</v>
      </c>
    </row>
    <row r="811" ht="18.75" customHeight="1">
      <c r="A811" s="80" t="s">
        <v>920</v>
      </c>
      <c r="B811" s="81" t="str">
        <f t="shared" si="1"/>
        <v>Kab Deli Serdang</v>
      </c>
      <c r="C811" s="81" t="str">
        <f t="array" ref="C811">XLOOKUP(B811,Reference!$A$2:$A$152,Reference!$B$2:$B$152)</f>
        <v>Sumatera Utara</v>
      </c>
      <c r="D811" s="82" t="s">
        <v>1249</v>
      </c>
      <c r="E811" s="83">
        <v>45352.0</v>
      </c>
      <c r="F811" s="84" t="str">
        <f t="array" ref="F811">XLOOKUP(G811,Reference!$F:$F,Reference!$D:$D,"null")</f>
        <v>Rumah Tangga</v>
      </c>
      <c r="G811" s="85" t="s">
        <v>80</v>
      </c>
      <c r="H811" s="86">
        <v>100.51</v>
      </c>
      <c r="I811" s="86">
        <v>100.0</v>
      </c>
      <c r="J811" s="87">
        <f t="shared" si="2"/>
        <v>0.51</v>
      </c>
      <c r="K811" s="84" t="str">
        <f t="shared" si="3"/>
        <v>Inflasi Tinggi</v>
      </c>
      <c r="L811" s="84">
        <f t="shared" si="4"/>
        <v>0.51</v>
      </c>
      <c r="M811" s="88" t="str">
        <f t="shared" si="5"/>
        <v>Akselerasi Persentase</v>
      </c>
    </row>
    <row r="812" ht="18.75" customHeight="1">
      <c r="A812" s="80" t="s">
        <v>329</v>
      </c>
      <c r="B812" s="81" t="str">
        <f t="shared" si="1"/>
        <v>Kab Penajam Paser Utara</v>
      </c>
      <c r="C812" s="81" t="str">
        <f t="array" ref="C812">XLOOKUP(B812,Reference!$A$2:$A$152,Reference!$B$2:$B$152)</f>
        <v>Kalimantan Timur</v>
      </c>
      <c r="D812" s="82" t="s">
        <v>1250</v>
      </c>
      <c r="E812" s="83">
        <v>45323.0</v>
      </c>
      <c r="F812" s="84" t="str">
        <f t="array" ref="F812">XLOOKUP(G812,Reference!$F:$F,Reference!$D:$D,"null")</f>
        <v>Pendidikan dan Kesehatan</v>
      </c>
      <c r="G812" s="85" t="s">
        <v>98</v>
      </c>
      <c r="H812" s="86">
        <v>112.81</v>
      </c>
      <c r="I812" s="86">
        <v>112.81</v>
      </c>
      <c r="J812" s="87">
        <f t="shared" si="2"/>
        <v>0</v>
      </c>
      <c r="K812" s="84" t="str">
        <f t="shared" si="3"/>
        <v>Stabil</v>
      </c>
      <c r="L812" s="84">
        <f t="shared" si="4"/>
        <v>0</v>
      </c>
      <c r="M812" s="88" t="str">
        <f t="shared" si="5"/>
        <v>Perubahan Normal</v>
      </c>
    </row>
    <row r="813" ht="18.75" customHeight="1">
      <c r="A813" s="80" t="s">
        <v>367</v>
      </c>
      <c r="B813" s="81" t="str">
        <f t="shared" si="1"/>
        <v>Kota Jambi</v>
      </c>
      <c r="C813" s="81" t="str">
        <f t="array" ref="C813">XLOOKUP(B813,Reference!$A$2:$A$152,Reference!$B$2:$B$152)</f>
        <v>Jambi</v>
      </c>
      <c r="D813" s="82" t="s">
        <v>1251</v>
      </c>
      <c r="E813" s="83">
        <v>45323.0</v>
      </c>
      <c r="F813" s="84" t="str">
        <f t="array" ref="F813">XLOOKUP(G813,Reference!$F:$F,Reference!$D:$D,"null")</f>
        <v>Makanan dan Pakaian </v>
      </c>
      <c r="G813" s="85" t="s">
        <v>64</v>
      </c>
      <c r="H813" s="86">
        <v>101.46</v>
      </c>
      <c r="I813" s="86">
        <v>101.07</v>
      </c>
      <c r="J813" s="87">
        <f t="shared" si="2"/>
        <v>0.3858711784</v>
      </c>
      <c r="K813" s="84" t="str">
        <f t="shared" si="3"/>
        <v>Inflasi Normal</v>
      </c>
      <c r="L813" s="84">
        <f t="shared" si="4"/>
        <v>0.39</v>
      </c>
      <c r="M813" s="88" t="str">
        <f t="shared" si="5"/>
        <v>Perubahan Normal</v>
      </c>
    </row>
    <row r="814" ht="18.75" customHeight="1">
      <c r="A814" s="80" t="s">
        <v>592</v>
      </c>
      <c r="B814" s="81" t="str">
        <f t="shared" si="1"/>
        <v>Kab Lampung Timur</v>
      </c>
      <c r="C814" s="81" t="str">
        <f t="array" ref="C814">XLOOKUP(B814,Reference!$A$2:$A$152,Reference!$B$2:$B$152)</f>
        <v>Lampung</v>
      </c>
      <c r="D814" s="82" t="s">
        <v>1252</v>
      </c>
      <c r="E814" s="83">
        <v>45352.0</v>
      </c>
      <c r="F814" s="84" t="str">
        <f t="array" ref="F814">XLOOKUP(G814,Reference!$F:$F,Reference!$D:$D,"null")</f>
        <v>Rumah Tangga</v>
      </c>
      <c r="G814" s="85" t="s">
        <v>89</v>
      </c>
      <c r="H814" s="86">
        <v>110.43</v>
      </c>
      <c r="I814" s="86">
        <v>110.43</v>
      </c>
      <c r="J814" s="87">
        <f t="shared" si="2"/>
        <v>0</v>
      </c>
      <c r="K814" s="84" t="str">
        <f t="shared" si="3"/>
        <v>Stabil</v>
      </c>
      <c r="L814" s="84">
        <f t="shared" si="4"/>
        <v>0</v>
      </c>
      <c r="M814" s="88" t="str">
        <f t="shared" si="5"/>
        <v>Perubahan Normal</v>
      </c>
    </row>
    <row r="815" ht="18.75" customHeight="1">
      <c r="A815" s="80" t="s">
        <v>360</v>
      </c>
      <c r="B815" s="81" t="str">
        <f t="shared" si="1"/>
        <v>Kab Wonosobo</v>
      </c>
      <c r="C815" s="81" t="str">
        <f t="array" ref="C815">XLOOKUP(B815,Reference!$A$2:$A$152,Reference!$B$2:$B$152)</f>
        <v>Jawa Tengah</v>
      </c>
      <c r="D815" s="82" t="s">
        <v>1253</v>
      </c>
      <c r="E815" s="83">
        <v>45323.0</v>
      </c>
      <c r="F815" s="84" t="str">
        <f t="array" ref="F815">XLOOKUP(G815,Reference!$F:$F,Reference!$D:$D,"null")</f>
        <v>Pendidikan dan Kesehatan</v>
      </c>
      <c r="G815" s="85" t="s">
        <v>98</v>
      </c>
      <c r="H815" s="86">
        <v>102.08</v>
      </c>
      <c r="I815" s="86">
        <v>102.08</v>
      </c>
      <c r="J815" s="87">
        <f t="shared" si="2"/>
        <v>0</v>
      </c>
      <c r="K815" s="84" t="str">
        <f t="shared" si="3"/>
        <v>Stabil</v>
      </c>
      <c r="L815" s="84">
        <f t="shared" si="4"/>
        <v>0</v>
      </c>
      <c r="M815" s="88" t="str">
        <f t="shared" si="5"/>
        <v>Perubahan Normal</v>
      </c>
    </row>
    <row r="816" ht="18.75" customHeight="1">
      <c r="A816" s="80" t="s">
        <v>535</v>
      </c>
      <c r="B816" s="81" t="str">
        <f t="shared" si="1"/>
        <v>Kota Tarakan</v>
      </c>
      <c r="C816" s="81" t="str">
        <f t="array" ref="C816">XLOOKUP(B816,Reference!$A$2:$A$152,Reference!$B$2:$B$152)</f>
        <v>Kalimantan Utara</v>
      </c>
      <c r="D816" s="82" t="s">
        <v>1254</v>
      </c>
      <c r="E816" s="83">
        <v>45323.0</v>
      </c>
      <c r="F816" s="84" t="str">
        <f t="array" ref="F816">XLOOKUP(G816,Reference!$F:$F,Reference!$D:$D,"null")</f>
        <v>Rekreasi dan Kendaraan</v>
      </c>
      <c r="G816" s="85" t="s">
        <v>102</v>
      </c>
      <c r="H816" s="86">
        <v>100.15</v>
      </c>
      <c r="I816" s="86">
        <v>100.15</v>
      </c>
      <c r="J816" s="87">
        <f t="shared" si="2"/>
        <v>0</v>
      </c>
      <c r="K816" s="84" t="str">
        <f t="shared" si="3"/>
        <v>Stabil</v>
      </c>
      <c r="L816" s="84">
        <f t="shared" si="4"/>
        <v>0</v>
      </c>
      <c r="M816" s="88" t="str">
        <f t="shared" si="5"/>
        <v>Perubahan Normal</v>
      </c>
    </row>
    <row r="817" ht="18.75" customHeight="1">
      <c r="A817" s="80" t="s">
        <v>581</v>
      </c>
      <c r="B817" s="81" t="str">
        <f t="shared" si="1"/>
        <v>Kab Dharmasraya</v>
      </c>
      <c r="C817" s="81" t="str">
        <f t="array" ref="C817">XLOOKUP(B817,Reference!$A$2:$A$152,Reference!$B$2:$B$152)</f>
        <v>Sumatera Barat</v>
      </c>
      <c r="D817" s="82" t="s">
        <v>1255</v>
      </c>
      <c r="E817" s="83">
        <v>45323.0</v>
      </c>
      <c r="F817" s="84" t="str">
        <f t="array" ref="F817">XLOOKUP(G817,Reference!$F:$F,Reference!$D:$D,"null")</f>
        <v>Pendidikan dan Kesehatan</v>
      </c>
      <c r="G817" s="85" t="s">
        <v>98</v>
      </c>
      <c r="H817" s="86">
        <v>103.23</v>
      </c>
      <c r="I817" s="86">
        <v>102.96</v>
      </c>
      <c r="J817" s="87">
        <f t="shared" si="2"/>
        <v>0.2622377622</v>
      </c>
      <c r="K817" s="84" t="str">
        <f t="shared" si="3"/>
        <v>Inflasi Normal</v>
      </c>
      <c r="L817" s="84">
        <f t="shared" si="4"/>
        <v>0.27</v>
      </c>
      <c r="M817" s="88" t="str">
        <f t="shared" si="5"/>
        <v>Perubahan Normal</v>
      </c>
    </row>
    <row r="818" ht="18.75" customHeight="1">
      <c r="A818" s="80" t="s">
        <v>594</v>
      </c>
      <c r="B818" s="81" t="str">
        <f t="shared" si="1"/>
        <v>Kota Kendari</v>
      </c>
      <c r="C818" s="81" t="str">
        <f t="array" ref="C818">XLOOKUP(B818,Reference!$A$2:$A$152,Reference!$B$2:$B$152)</f>
        <v>Sulawesi Tenggara</v>
      </c>
      <c r="D818" s="82" t="s">
        <v>1256</v>
      </c>
      <c r="E818" s="83">
        <v>45352.0</v>
      </c>
      <c r="F818" s="84" t="str">
        <f t="array" ref="F818">XLOOKUP(G818,Reference!$F:$F,Reference!$D:$D,"null")</f>
        <v>Makanan dan Pakaian </v>
      </c>
      <c r="G818" s="85" t="s">
        <v>56</v>
      </c>
      <c r="H818" s="86">
        <v>105.77</v>
      </c>
      <c r="I818" s="86">
        <v>104.42</v>
      </c>
      <c r="J818" s="87">
        <f t="shared" si="2"/>
        <v>1.292855775</v>
      </c>
      <c r="K818" s="84" t="str">
        <f t="shared" si="3"/>
        <v>Inflasi Tinggi</v>
      </c>
      <c r="L818" s="84">
        <f t="shared" si="4"/>
        <v>1.35</v>
      </c>
      <c r="M818" s="88" t="str">
        <f t="shared" si="5"/>
        <v>Akselerasi Persentase</v>
      </c>
    </row>
    <row r="819" ht="18.75" customHeight="1">
      <c r="A819" s="80" t="s">
        <v>304</v>
      </c>
      <c r="B819" s="81" t="str">
        <f t="shared" si="1"/>
        <v>Kota Kediri</v>
      </c>
      <c r="C819" s="81" t="str">
        <f t="array" ref="C819">XLOOKUP(B819,Reference!$A$2:$A$152,Reference!$B$2:$B$152)</f>
        <v>Jawa Timur</v>
      </c>
      <c r="D819" s="82" t="s">
        <v>1257</v>
      </c>
      <c r="E819" s="83">
        <v>45323.0</v>
      </c>
      <c r="F819" s="84" t="str">
        <f t="array" ref="F819">XLOOKUP(G819,Reference!$F:$F,Reference!$D:$D,"null")</f>
        <v>Makanan dan Pakaian </v>
      </c>
      <c r="G819" s="85" t="s">
        <v>64</v>
      </c>
      <c r="H819" s="86">
        <v>101.25</v>
      </c>
      <c r="I819" s="86">
        <v>101.31</v>
      </c>
      <c r="J819" s="87">
        <f t="shared" si="2"/>
        <v>-0.05922416346</v>
      </c>
      <c r="K819" s="84" t="str">
        <f t="shared" si="3"/>
        <v>Deflasi</v>
      </c>
      <c r="L819" s="84">
        <f t="shared" si="4"/>
        <v>-0.06</v>
      </c>
      <c r="M819" s="88" t="str">
        <f t="shared" si="5"/>
        <v>Perubahan Normal</v>
      </c>
    </row>
    <row r="820" ht="18.75" customHeight="1">
      <c r="A820" s="80" t="s">
        <v>576</v>
      </c>
      <c r="B820" s="81" t="str">
        <f t="shared" si="1"/>
        <v>Kab Tabanan</v>
      </c>
      <c r="C820" s="81" t="str">
        <f t="array" ref="C820">XLOOKUP(B820,Reference!$A$2:$A$152,Reference!$B$2:$B$152)</f>
        <v>Bali</v>
      </c>
      <c r="D820" s="82" t="s">
        <v>1258</v>
      </c>
      <c r="E820" s="83">
        <v>45323.0</v>
      </c>
      <c r="F820" s="84" t="str">
        <f t="array" ref="F820">XLOOKUP(G820,Reference!$F:$F,Reference!$D:$D,"null")</f>
        <v>Makanan dan Pakaian </v>
      </c>
      <c r="G820" s="85" t="s">
        <v>48</v>
      </c>
      <c r="H820" s="86">
        <v>111.61</v>
      </c>
      <c r="I820" s="86">
        <v>109.25</v>
      </c>
      <c r="J820" s="87">
        <f t="shared" si="2"/>
        <v>2.160183066</v>
      </c>
      <c r="K820" s="84" t="str">
        <f t="shared" si="3"/>
        <v>Inflasi Tinggi</v>
      </c>
      <c r="L820" s="84">
        <f t="shared" si="4"/>
        <v>2.36</v>
      </c>
      <c r="M820" s="88" t="str">
        <f t="shared" si="5"/>
        <v>Akselerasi Kuat</v>
      </c>
    </row>
    <row r="821" ht="18.75" customHeight="1">
      <c r="A821" s="80" t="s">
        <v>734</v>
      </c>
      <c r="B821" s="81" t="str">
        <f t="shared" si="1"/>
        <v>Kota Tegal</v>
      </c>
      <c r="C821" s="81" t="str">
        <f t="array" ref="C821">XLOOKUP(B821,Reference!$A$2:$A$152,Reference!$B$2:$B$152)</f>
        <v>Jawa Tengah</v>
      </c>
      <c r="D821" s="82" t="s">
        <v>1259</v>
      </c>
      <c r="E821" s="83">
        <v>45352.0</v>
      </c>
      <c r="F821" s="84" t="str">
        <f t="array" ref="F821">XLOOKUP(G821,Reference!$F:$F,Reference!$D:$D,"null")</f>
        <v>Makanan dan Pakaian </v>
      </c>
      <c r="G821" s="85" t="s">
        <v>72</v>
      </c>
      <c r="H821" s="86">
        <v>101.29</v>
      </c>
      <c r="I821" s="86">
        <v>101.29</v>
      </c>
      <c r="J821" s="87">
        <f t="shared" si="2"/>
        <v>0</v>
      </c>
      <c r="K821" s="84" t="str">
        <f t="shared" si="3"/>
        <v>Stabil</v>
      </c>
      <c r="L821" s="84">
        <f t="shared" si="4"/>
        <v>0</v>
      </c>
      <c r="M821" s="88" t="str">
        <f t="shared" si="5"/>
        <v>Perubahan Normal</v>
      </c>
    </row>
    <row r="822" ht="18.75" customHeight="1">
      <c r="A822" s="80" t="s">
        <v>351</v>
      </c>
      <c r="B822" s="81" t="str">
        <f t="shared" si="1"/>
        <v>Kota Balikpapan</v>
      </c>
      <c r="C822" s="81" t="str">
        <f t="array" ref="C822">XLOOKUP(B822,Reference!$A$2:$A$152,Reference!$B$2:$B$152)</f>
        <v>Kalimantan Timur</v>
      </c>
      <c r="D822" s="82" t="s">
        <v>1260</v>
      </c>
      <c r="E822" s="83">
        <v>45352.0</v>
      </c>
      <c r="F822" s="84" t="str">
        <f t="array" ref="F822">XLOOKUP(G822,Reference!$F:$F,Reference!$D:$D,"null")</f>
        <v>Rekreasi dan Kendaraan</v>
      </c>
      <c r="G822" s="85" t="s">
        <v>105</v>
      </c>
      <c r="H822" s="86">
        <v>102.19</v>
      </c>
      <c r="I822" s="86">
        <v>102.2</v>
      </c>
      <c r="J822" s="87">
        <f t="shared" si="2"/>
        <v>-0.009784735812</v>
      </c>
      <c r="K822" s="84" t="str">
        <f t="shared" si="3"/>
        <v>Deflasi</v>
      </c>
      <c r="L822" s="84">
        <f t="shared" si="4"/>
        <v>-0.01</v>
      </c>
      <c r="M822" s="88" t="str">
        <f t="shared" si="5"/>
        <v>Perubahan Normal</v>
      </c>
    </row>
    <row r="823" ht="18.75" customHeight="1">
      <c r="A823" s="80" t="s">
        <v>571</v>
      </c>
      <c r="B823" s="81" t="str">
        <f t="shared" si="1"/>
        <v>Kota Sorong</v>
      </c>
      <c r="C823" s="81" t="str">
        <f t="array" ref="C823">XLOOKUP(B823,Reference!$A$2:$A$152,Reference!$B$2:$B$152)</f>
        <v>Papua Barat Daya</v>
      </c>
      <c r="D823" s="82" t="s">
        <v>1261</v>
      </c>
      <c r="E823" s="83">
        <v>45352.0</v>
      </c>
      <c r="F823" s="84" t="str">
        <f t="array" ref="F823">XLOOKUP(G823,Reference!$F:$F,Reference!$D:$D,"null")</f>
        <v>Rumah Tangga</v>
      </c>
      <c r="G823" s="85" t="s">
        <v>84</v>
      </c>
      <c r="H823" s="86">
        <v>103.34</v>
      </c>
      <c r="I823" s="86">
        <v>103.34</v>
      </c>
      <c r="J823" s="87">
        <f t="shared" si="2"/>
        <v>0</v>
      </c>
      <c r="K823" s="84" t="str">
        <f t="shared" si="3"/>
        <v>Stabil</v>
      </c>
      <c r="L823" s="84">
        <f t="shared" si="4"/>
        <v>0</v>
      </c>
      <c r="M823" s="88" t="str">
        <f t="shared" si="5"/>
        <v>Perubahan Normal</v>
      </c>
    </row>
    <row r="824" ht="18.75" customHeight="1">
      <c r="A824" s="80" t="s">
        <v>532</v>
      </c>
      <c r="B824" s="81" t="str">
        <f t="shared" si="1"/>
        <v>Kota Palembang</v>
      </c>
      <c r="C824" s="81" t="str">
        <f t="array" ref="C824">XLOOKUP(B824,Reference!$A$2:$A$152,Reference!$B$2:$B$152)</f>
        <v>Sumatera Selatan</v>
      </c>
      <c r="D824" s="82" t="s">
        <v>1262</v>
      </c>
      <c r="E824" s="83">
        <v>45323.0</v>
      </c>
      <c r="F824" s="84" t="str">
        <f t="array" ref="F824">XLOOKUP(G824,Reference!$F:$F,Reference!$D:$D,"null")</f>
        <v>Rekreasi dan Kendaraan</v>
      </c>
      <c r="G824" s="85" t="s">
        <v>105</v>
      </c>
      <c r="H824" s="86">
        <v>99.95</v>
      </c>
      <c r="I824" s="86">
        <v>99.95</v>
      </c>
      <c r="J824" s="87">
        <f t="shared" si="2"/>
        <v>0</v>
      </c>
      <c r="K824" s="84" t="str">
        <f t="shared" si="3"/>
        <v>Stabil</v>
      </c>
      <c r="L824" s="84">
        <f t="shared" si="4"/>
        <v>0</v>
      </c>
      <c r="M824" s="88" t="str">
        <f t="shared" si="5"/>
        <v>Perubahan Normal</v>
      </c>
    </row>
    <row r="825" ht="18.75" customHeight="1">
      <c r="A825" s="80" t="s">
        <v>656</v>
      </c>
      <c r="B825" s="81" t="str">
        <f t="shared" si="1"/>
        <v>Kota Palopo</v>
      </c>
      <c r="C825" s="81" t="str">
        <f t="array" ref="C825">XLOOKUP(B825,Reference!$A$2:$A$152,Reference!$B$2:$B$152)</f>
        <v>Sulawesi Selatan</v>
      </c>
      <c r="D825" s="82" t="s">
        <v>1263</v>
      </c>
      <c r="E825" s="83">
        <v>45352.0</v>
      </c>
      <c r="F825" s="84" t="str">
        <f t="array" ref="F825">XLOOKUP(G825,Reference!$F:$F,Reference!$D:$D,"null")</f>
        <v>Rekreasi dan Kendaraan</v>
      </c>
      <c r="G825" s="85" t="s">
        <v>105</v>
      </c>
      <c r="H825" s="86">
        <v>100.57</v>
      </c>
      <c r="I825" s="86">
        <v>99.99</v>
      </c>
      <c r="J825" s="87">
        <f t="shared" si="2"/>
        <v>0.5800580058</v>
      </c>
      <c r="K825" s="84" t="str">
        <f t="shared" si="3"/>
        <v>Inflasi Tinggi</v>
      </c>
      <c r="L825" s="84">
        <f t="shared" si="4"/>
        <v>0.58</v>
      </c>
      <c r="M825" s="88" t="str">
        <f t="shared" si="5"/>
        <v>Akselerasi Persentase</v>
      </c>
    </row>
    <row r="826" ht="18.75" customHeight="1">
      <c r="A826" s="80" t="s">
        <v>764</v>
      </c>
      <c r="B826" s="81" t="str">
        <f t="shared" si="1"/>
        <v>Kota Madiun</v>
      </c>
      <c r="C826" s="81" t="str">
        <f t="array" ref="C826">XLOOKUP(B826,Reference!$A$2:$A$152,Reference!$B$2:$B$152)</f>
        <v>Jawa Timur</v>
      </c>
      <c r="D826" s="82" t="s">
        <v>1264</v>
      </c>
      <c r="E826" s="83">
        <v>45323.0</v>
      </c>
      <c r="F826" s="84" t="str">
        <f t="array" ref="F826">XLOOKUP(G826,Reference!$F:$F,Reference!$D:$D,"null")</f>
        <v>Makanan dan Pakaian </v>
      </c>
      <c r="G826" s="85" t="s">
        <v>64</v>
      </c>
      <c r="H826" s="86">
        <v>102.34</v>
      </c>
      <c r="I826" s="86">
        <v>102.32</v>
      </c>
      <c r="J826" s="87">
        <f t="shared" si="2"/>
        <v>0.01954652072</v>
      </c>
      <c r="K826" s="84" t="str">
        <f t="shared" si="3"/>
        <v>Inflasi Normal</v>
      </c>
      <c r="L826" s="84">
        <f t="shared" si="4"/>
        <v>0.02</v>
      </c>
      <c r="M826" s="88" t="str">
        <f t="shared" si="5"/>
        <v>Perubahan Normal</v>
      </c>
    </row>
    <row r="827" ht="18.75" customHeight="1">
      <c r="A827" s="80" t="s">
        <v>335</v>
      </c>
      <c r="B827" s="81" t="str">
        <f t="shared" si="1"/>
        <v>Kab Wonogiri</v>
      </c>
      <c r="C827" s="81" t="str">
        <f t="array" ref="C827">XLOOKUP(B827,Reference!$A$2:$A$152,Reference!$B$2:$B$152)</f>
        <v>Jawa Tengah</v>
      </c>
      <c r="D827" s="82" t="s">
        <v>1265</v>
      </c>
      <c r="E827" s="83">
        <v>45323.0</v>
      </c>
      <c r="F827" s="84" t="str">
        <f t="array" ref="F827">XLOOKUP(G827,Reference!$F:$F,Reference!$D:$D,"null")</f>
        <v>Makanan dan Pakaian </v>
      </c>
      <c r="G827" s="85" t="s">
        <v>48</v>
      </c>
      <c r="H827" s="86">
        <v>110.48</v>
      </c>
      <c r="I827" s="86">
        <v>108.16</v>
      </c>
      <c r="J827" s="87">
        <f t="shared" si="2"/>
        <v>2.144970414</v>
      </c>
      <c r="K827" s="84" t="str">
        <f t="shared" si="3"/>
        <v>Inflasi Tinggi</v>
      </c>
      <c r="L827" s="84">
        <f t="shared" si="4"/>
        <v>2.32</v>
      </c>
      <c r="M827" s="88" t="str">
        <f t="shared" si="5"/>
        <v>Akselerasi Kuat</v>
      </c>
    </row>
    <row r="828" ht="18.75" customHeight="1">
      <c r="A828" s="80" t="s">
        <v>438</v>
      </c>
      <c r="B828" s="81" t="str">
        <f t="shared" si="1"/>
        <v>Kab Muara Enim</v>
      </c>
      <c r="C828" s="81" t="str">
        <f t="array" ref="C828">XLOOKUP(B828,Reference!$A$2:$A$152,Reference!$B$2:$B$152)</f>
        <v>Sumatera Selatan</v>
      </c>
      <c r="D828" s="82" t="s">
        <v>1266</v>
      </c>
      <c r="E828" s="83">
        <v>45352.0</v>
      </c>
      <c r="F828" s="84" t="str">
        <f t="array" ref="F828">XLOOKUP(G828,Reference!$F:$F,Reference!$D:$D,"null")</f>
        <v>Rumah Tangga</v>
      </c>
      <c r="G828" s="85" t="s">
        <v>80</v>
      </c>
      <c r="H828" s="86">
        <v>100.15</v>
      </c>
      <c r="I828" s="86">
        <v>100.15</v>
      </c>
      <c r="J828" s="87">
        <f t="shared" si="2"/>
        <v>0</v>
      </c>
      <c r="K828" s="84" t="str">
        <f t="shared" si="3"/>
        <v>Stabil</v>
      </c>
      <c r="L828" s="84">
        <f t="shared" si="4"/>
        <v>0</v>
      </c>
      <c r="M828" s="88" t="str">
        <f t="shared" si="5"/>
        <v>Perubahan Normal</v>
      </c>
    </row>
    <row r="829" ht="18.75" customHeight="1">
      <c r="A829" s="80" t="s">
        <v>581</v>
      </c>
      <c r="B829" s="81" t="str">
        <f t="shared" si="1"/>
        <v>Kab Dharmasraya</v>
      </c>
      <c r="C829" s="81" t="str">
        <f t="array" ref="C829">XLOOKUP(B829,Reference!$A$2:$A$152,Reference!$B$2:$B$152)</f>
        <v>Sumatera Barat</v>
      </c>
      <c r="D829" s="82" t="s">
        <v>1267</v>
      </c>
      <c r="E829" s="83">
        <v>45323.0</v>
      </c>
      <c r="F829" s="84" t="str">
        <f t="array" ref="F829">XLOOKUP(G829,Reference!$F:$F,Reference!$D:$D,"null")</f>
        <v>Rekreasi dan Kendaraan</v>
      </c>
      <c r="G829" s="85" t="s">
        <v>105</v>
      </c>
      <c r="H829" s="86">
        <v>105.12</v>
      </c>
      <c r="I829" s="86">
        <v>105.12</v>
      </c>
      <c r="J829" s="87">
        <f t="shared" si="2"/>
        <v>0</v>
      </c>
      <c r="K829" s="84" t="str">
        <f t="shared" si="3"/>
        <v>Stabil</v>
      </c>
      <c r="L829" s="84">
        <f t="shared" si="4"/>
        <v>0</v>
      </c>
      <c r="M829" s="88" t="str">
        <f t="shared" si="5"/>
        <v>Perubahan Normal</v>
      </c>
    </row>
    <row r="830" ht="18.75" customHeight="1">
      <c r="A830" s="80" t="s">
        <v>468</v>
      </c>
      <c r="B830" s="81" t="str">
        <f t="shared" si="1"/>
        <v>Timika</v>
      </c>
      <c r="C830" s="81" t="str">
        <f t="array" ref="C830">XLOOKUP(B830,Reference!$A$2:$A$152,Reference!$B$2:$B$152)</f>
        <v>Papua</v>
      </c>
      <c r="D830" s="82" t="s">
        <v>1268</v>
      </c>
      <c r="E830" s="83">
        <v>45352.0</v>
      </c>
      <c r="F830" s="84" t="str">
        <f t="array" ref="F830">XLOOKUP(G830,Reference!$F:$F,Reference!$D:$D,"null")</f>
        <v>Pendidikan dan Kesehatan</v>
      </c>
      <c r="G830" s="85" t="s">
        <v>98</v>
      </c>
      <c r="H830" s="86">
        <v>95.01</v>
      </c>
      <c r="I830" s="86">
        <v>93.81</v>
      </c>
      <c r="J830" s="87">
        <f t="shared" si="2"/>
        <v>1.279181324</v>
      </c>
      <c r="K830" s="84" t="str">
        <f t="shared" si="3"/>
        <v>Inflasi Tinggi</v>
      </c>
      <c r="L830" s="84">
        <f t="shared" si="4"/>
        <v>1.2</v>
      </c>
      <c r="M830" s="88" t="str">
        <f t="shared" si="5"/>
        <v>Akselerasi Persentase</v>
      </c>
    </row>
    <row r="831" ht="18.75" customHeight="1">
      <c r="A831" s="80" t="s">
        <v>837</v>
      </c>
      <c r="B831" s="81" t="str">
        <f t="shared" si="1"/>
        <v>Kab Luwu Timur</v>
      </c>
      <c r="C831" s="81" t="str">
        <f t="array" ref="C831">XLOOKUP(B831,Reference!$A$2:$A$152,Reference!$B$2:$B$152)</f>
        <v>Sulawesi Selatan</v>
      </c>
      <c r="D831" s="82" t="s">
        <v>1269</v>
      </c>
      <c r="E831" s="83">
        <v>45352.0</v>
      </c>
      <c r="F831" s="84" t="str">
        <f t="array" ref="F831">XLOOKUP(G831,Reference!$F:$F,Reference!$D:$D,"null")</f>
        <v>Rekreasi dan Kendaraan</v>
      </c>
      <c r="G831" s="85" t="s">
        <v>102</v>
      </c>
      <c r="H831" s="86">
        <v>106.77</v>
      </c>
      <c r="I831" s="86">
        <v>106.62</v>
      </c>
      <c r="J831" s="87">
        <f t="shared" si="2"/>
        <v>0.1406865504</v>
      </c>
      <c r="K831" s="84" t="str">
        <f t="shared" si="3"/>
        <v>Inflasi Normal</v>
      </c>
      <c r="L831" s="84">
        <f t="shared" si="4"/>
        <v>0.15</v>
      </c>
      <c r="M831" s="88" t="str">
        <f t="shared" si="5"/>
        <v>Perubahan Normal</v>
      </c>
    </row>
    <row r="832" ht="18.75" customHeight="1">
      <c r="A832" s="80" t="s">
        <v>606</v>
      </c>
      <c r="B832" s="81" t="str">
        <f t="shared" si="1"/>
        <v>Kota Pare Pare</v>
      </c>
      <c r="C832" s="81" t="str">
        <f t="array" ref="C832">XLOOKUP(B832,Reference!$A$2:$A$152,Reference!$B$2:$B$152)</f>
        <v>Sulawesi Selatan</v>
      </c>
      <c r="D832" s="82" t="s">
        <v>1270</v>
      </c>
      <c r="E832" s="83">
        <v>45352.0</v>
      </c>
      <c r="F832" s="84" t="str">
        <f t="array" ref="F832">XLOOKUP(G832,Reference!$F:$F,Reference!$D:$D,"null")</f>
        <v>Rumah Tangga</v>
      </c>
      <c r="G832" s="89" t="s">
        <v>80</v>
      </c>
      <c r="H832" s="90">
        <v>103.03</v>
      </c>
      <c r="I832" s="90">
        <v>103.03</v>
      </c>
      <c r="J832" s="87">
        <f t="shared" si="2"/>
        <v>0</v>
      </c>
      <c r="K832" s="84" t="str">
        <f t="shared" si="3"/>
        <v>Stabil</v>
      </c>
      <c r="L832" s="91">
        <f t="shared" si="4"/>
        <v>0</v>
      </c>
      <c r="M832" s="88" t="str">
        <f t="shared" si="5"/>
        <v>Perubahan Normal</v>
      </c>
    </row>
    <row r="833" ht="18.75" customHeight="1">
      <c r="A833" s="80" t="s">
        <v>492</v>
      </c>
      <c r="B833" s="81" t="str">
        <f t="shared" si="1"/>
        <v>Kota Cilegon</v>
      </c>
      <c r="C833" s="81" t="str">
        <f t="array" ref="C833">XLOOKUP(B833,Reference!$A$2:$A$152,Reference!$B$2:$B$152)</f>
        <v>Banten</v>
      </c>
      <c r="D833" s="82" t="s">
        <v>1271</v>
      </c>
      <c r="E833" s="83">
        <v>45323.0</v>
      </c>
      <c r="F833" s="84" t="str">
        <f t="array" ref="F833">XLOOKUP(G833,Reference!$F:$F,Reference!$D:$D,"null")</f>
        <v>Rumah Tangga</v>
      </c>
      <c r="G833" s="85" t="s">
        <v>89</v>
      </c>
      <c r="H833" s="86">
        <v>105.32</v>
      </c>
      <c r="I833" s="86">
        <v>105.32</v>
      </c>
      <c r="J833" s="87">
        <f t="shared" si="2"/>
        <v>0</v>
      </c>
      <c r="K833" s="84" t="str">
        <f t="shared" si="3"/>
        <v>Stabil</v>
      </c>
      <c r="L833" s="84">
        <f t="shared" si="4"/>
        <v>0</v>
      </c>
      <c r="M833" s="88" t="str">
        <f t="shared" si="5"/>
        <v>Perubahan Normal</v>
      </c>
    </row>
    <row r="834" ht="18.75" customHeight="1">
      <c r="A834" s="80" t="s">
        <v>391</v>
      </c>
      <c r="B834" s="81" t="str">
        <f t="shared" si="1"/>
        <v>Kota Batam</v>
      </c>
      <c r="C834" s="81" t="str">
        <f t="array" ref="C834">XLOOKUP(B834,Reference!$A$2:$A$152,Reference!$B$2:$B$152)</f>
        <v>Kepulauan Riau</v>
      </c>
      <c r="D834" s="82" t="s">
        <v>1272</v>
      </c>
      <c r="E834" s="83">
        <v>45352.0</v>
      </c>
      <c r="F834" s="84" t="str">
        <f t="array" ref="F834">XLOOKUP(G834,Reference!$F:$F,Reference!$D:$D,"null")</f>
        <v>Pendidikan dan Kesehatan</v>
      </c>
      <c r="G834" s="85" t="s">
        <v>98</v>
      </c>
      <c r="H834" s="86">
        <v>102.1</v>
      </c>
      <c r="I834" s="86">
        <v>101.41</v>
      </c>
      <c r="J834" s="87">
        <f t="shared" si="2"/>
        <v>0.6804062716</v>
      </c>
      <c r="K834" s="84" t="str">
        <f t="shared" si="3"/>
        <v>Inflasi Tinggi</v>
      </c>
      <c r="L834" s="84">
        <f t="shared" si="4"/>
        <v>0.69</v>
      </c>
      <c r="M834" s="88" t="str">
        <f t="shared" si="5"/>
        <v>Akselerasi Persentase</v>
      </c>
    </row>
    <row r="835" ht="18.75" customHeight="1">
      <c r="A835" s="80" t="s">
        <v>806</v>
      </c>
      <c r="B835" s="81" t="str">
        <f t="shared" si="1"/>
        <v>Kab Subang</v>
      </c>
      <c r="C835" s="81" t="str">
        <f t="array" ref="C835">XLOOKUP(B835,Reference!$A$2:$A$152,Reference!$B$2:$B$152)</f>
        <v>Jawa Barat</v>
      </c>
      <c r="D835" s="82" t="s">
        <v>1273</v>
      </c>
      <c r="E835" s="83">
        <v>45352.0</v>
      </c>
      <c r="F835" s="84" t="str">
        <f t="array" ref="F835">XLOOKUP(G835,Reference!$F:$F,Reference!$D:$D,"null")</f>
        <v>Pendidikan dan Kesehatan</v>
      </c>
      <c r="G835" s="85" t="s">
        <v>98</v>
      </c>
      <c r="H835" s="86">
        <v>105.84</v>
      </c>
      <c r="I835" s="86">
        <v>105.08</v>
      </c>
      <c r="J835" s="87">
        <f t="shared" si="2"/>
        <v>0.7232584697</v>
      </c>
      <c r="K835" s="84" t="str">
        <f t="shared" si="3"/>
        <v>Inflasi Tinggi</v>
      </c>
      <c r="L835" s="84">
        <f t="shared" si="4"/>
        <v>0.76</v>
      </c>
      <c r="M835" s="88" t="str">
        <f t="shared" si="5"/>
        <v>Akselerasi Persentase</v>
      </c>
    </row>
    <row r="836" ht="18.75" customHeight="1">
      <c r="A836" s="80" t="s">
        <v>586</v>
      </c>
      <c r="B836" s="81" t="str">
        <f t="shared" si="1"/>
        <v>Kab Karimun</v>
      </c>
      <c r="C836" s="81" t="str">
        <f t="array" ref="C836">XLOOKUP(B836,Reference!$A$2:$A$152,Reference!$B$2:$B$152)</f>
        <v>Kepulauan Riau</v>
      </c>
      <c r="D836" s="82" t="s">
        <v>1274</v>
      </c>
      <c r="E836" s="83">
        <v>45323.0</v>
      </c>
      <c r="F836" s="84" t="str">
        <f t="array" ref="F836">XLOOKUP(G836,Reference!$F:$F,Reference!$D:$D,"null")</f>
        <v>Makanan dan Pakaian </v>
      </c>
      <c r="G836" s="85" t="s">
        <v>48</v>
      </c>
      <c r="H836" s="86">
        <v>105.66</v>
      </c>
      <c r="I836" s="86">
        <v>105.58</v>
      </c>
      <c r="J836" s="87">
        <f t="shared" si="2"/>
        <v>0.0757719265</v>
      </c>
      <c r="K836" s="84" t="str">
        <f t="shared" si="3"/>
        <v>Inflasi Normal</v>
      </c>
      <c r="L836" s="84">
        <f t="shared" si="4"/>
        <v>0.08</v>
      </c>
      <c r="M836" s="88" t="str">
        <f t="shared" si="5"/>
        <v>Perubahan Normal</v>
      </c>
    </row>
    <row r="837" ht="18.75" customHeight="1">
      <c r="A837" s="80" t="s">
        <v>654</v>
      </c>
      <c r="B837" s="81" t="str">
        <f t="shared" si="1"/>
        <v>Kab Aceh Tengah</v>
      </c>
      <c r="C837" s="81" t="str">
        <f t="array" ref="C837">XLOOKUP(B837,Reference!$A$2:$A$152,Reference!$B$2:$B$152)</f>
        <v>Aceh</v>
      </c>
      <c r="D837" s="82" t="s">
        <v>1275</v>
      </c>
      <c r="E837" s="83">
        <v>45352.0</v>
      </c>
      <c r="F837" s="84" t="str">
        <f t="array" ref="F837">XLOOKUP(G837,Reference!$F:$F,Reference!$D:$D,"null")</f>
        <v>Rumah Tangga</v>
      </c>
      <c r="G837" s="85" t="s">
        <v>84</v>
      </c>
      <c r="H837" s="86">
        <v>101.4</v>
      </c>
      <c r="I837" s="86">
        <v>101.41</v>
      </c>
      <c r="J837" s="87">
        <f t="shared" si="2"/>
        <v>-0.009860960458</v>
      </c>
      <c r="K837" s="84" t="str">
        <f t="shared" si="3"/>
        <v>Deflasi</v>
      </c>
      <c r="L837" s="84">
        <f t="shared" si="4"/>
        <v>-0.01</v>
      </c>
      <c r="M837" s="88" t="str">
        <f t="shared" si="5"/>
        <v>Perubahan Normal</v>
      </c>
    </row>
    <row r="838" ht="18.75" customHeight="1">
      <c r="A838" s="80" t="s">
        <v>445</v>
      </c>
      <c r="B838" s="81" t="str">
        <f t="shared" si="1"/>
        <v>Kab Bangka Barat</v>
      </c>
      <c r="C838" s="81" t="str">
        <f t="array" ref="C838">XLOOKUP(B838,Reference!$A$2:$A$152,Reference!$B$2:$B$152)</f>
        <v>Kepulauan Bangka Belitung</v>
      </c>
      <c r="D838" s="82" t="s">
        <v>1276</v>
      </c>
      <c r="E838" s="83">
        <v>45352.0</v>
      </c>
      <c r="F838" s="84" t="str">
        <f t="array" ref="F838">XLOOKUP(G838,Reference!$F:$F,Reference!$D:$D,"null")</f>
        <v>Makanan dan Pakaian </v>
      </c>
      <c r="G838" s="89" t="s">
        <v>48</v>
      </c>
      <c r="H838" s="90">
        <v>101.7</v>
      </c>
      <c r="I838" s="90">
        <v>101.52</v>
      </c>
      <c r="J838" s="87">
        <f t="shared" si="2"/>
        <v>0.1773049645</v>
      </c>
      <c r="K838" s="84" t="str">
        <f t="shared" si="3"/>
        <v>Inflasi Normal</v>
      </c>
      <c r="L838" s="91">
        <f t="shared" si="4"/>
        <v>0.18</v>
      </c>
      <c r="M838" s="88" t="str">
        <f t="shared" si="5"/>
        <v>Perubahan Normal</v>
      </c>
    </row>
    <row r="839" ht="18.75" customHeight="1">
      <c r="A839" s="80" t="s">
        <v>401</v>
      </c>
      <c r="B839" s="81" t="str">
        <f t="shared" si="1"/>
        <v>Kota Tual</v>
      </c>
      <c r="C839" s="81" t="str">
        <f t="array" ref="C839">XLOOKUP(B839,Reference!$A$2:$A$152,Reference!$B$2:$B$152)</f>
        <v>Maluku</v>
      </c>
      <c r="D839" s="82" t="s">
        <v>1277</v>
      </c>
      <c r="E839" s="83">
        <v>45323.0</v>
      </c>
      <c r="F839" s="84" t="str">
        <f t="array" ref="F839">XLOOKUP(G839,Reference!$F:$F,Reference!$D:$D,"null")</f>
        <v>Rekreasi dan Kendaraan</v>
      </c>
      <c r="G839" s="85" t="s">
        <v>102</v>
      </c>
      <c r="H839" s="86">
        <v>101.68</v>
      </c>
      <c r="I839" s="86">
        <v>102.22</v>
      </c>
      <c r="J839" s="87">
        <f t="shared" si="2"/>
        <v>-0.5282723537</v>
      </c>
      <c r="K839" s="84" t="str">
        <f t="shared" si="3"/>
        <v>Deflasi</v>
      </c>
      <c r="L839" s="84">
        <f t="shared" si="4"/>
        <v>-0.54</v>
      </c>
      <c r="M839" s="88" t="str">
        <f t="shared" si="5"/>
        <v>Perubahan Normal</v>
      </c>
    </row>
    <row r="840" ht="18.75" customHeight="1">
      <c r="A840" s="80" t="s">
        <v>592</v>
      </c>
      <c r="B840" s="81" t="str">
        <f t="shared" si="1"/>
        <v>Kab Lampung Timur</v>
      </c>
      <c r="C840" s="81" t="str">
        <f t="array" ref="C840">XLOOKUP(B840,Reference!$A$2:$A$152,Reference!$B$2:$B$152)</f>
        <v>Lampung</v>
      </c>
      <c r="D840" s="82" t="s">
        <v>1278</v>
      </c>
      <c r="E840" s="83">
        <v>45323.0</v>
      </c>
      <c r="F840" s="84" t="str">
        <f t="array" ref="F840">XLOOKUP(G840,Reference!$F:$F,Reference!$D:$D,"null")</f>
        <v>Rumah Tangga</v>
      </c>
      <c r="G840" s="85" t="s">
        <v>84</v>
      </c>
      <c r="H840" s="86">
        <v>99.2</v>
      </c>
      <c r="I840" s="86">
        <v>99.2</v>
      </c>
      <c r="J840" s="87">
        <f t="shared" si="2"/>
        <v>0</v>
      </c>
      <c r="K840" s="84" t="str">
        <f t="shared" si="3"/>
        <v>Stabil</v>
      </c>
      <c r="L840" s="84">
        <f t="shared" si="4"/>
        <v>0</v>
      </c>
      <c r="M840" s="88" t="str">
        <f t="shared" si="5"/>
        <v>Perubahan Normal</v>
      </c>
    </row>
    <row r="841" ht="18.75" customHeight="1">
      <c r="A841" s="80" t="s">
        <v>308</v>
      </c>
      <c r="B841" s="81" t="str">
        <f t="shared" si="1"/>
        <v>Kab Sukamara</v>
      </c>
      <c r="C841" s="81" t="str">
        <f t="array" ref="C841">XLOOKUP(B841,Reference!$A$2:$A$152,Reference!$B$2:$B$152)</f>
        <v>Kalimantan Tengah</v>
      </c>
      <c r="D841" s="82" t="s">
        <v>1279</v>
      </c>
      <c r="E841" s="83">
        <v>45352.0</v>
      </c>
      <c r="F841" s="84" t="str">
        <f t="array" ref="F841">XLOOKUP(G841,Reference!$F:$F,Reference!$D:$D,"null")</f>
        <v>Rumah Tangga</v>
      </c>
      <c r="G841" s="85" t="s">
        <v>80</v>
      </c>
      <c r="H841" s="86">
        <v>100.34</v>
      </c>
      <c r="I841" s="86">
        <v>100.34</v>
      </c>
      <c r="J841" s="87">
        <f t="shared" si="2"/>
        <v>0</v>
      </c>
      <c r="K841" s="84" t="str">
        <f t="shared" si="3"/>
        <v>Stabil</v>
      </c>
      <c r="L841" s="84">
        <f t="shared" si="4"/>
        <v>0</v>
      </c>
      <c r="M841" s="88" t="str">
        <f t="shared" si="5"/>
        <v>Perubahan Normal</v>
      </c>
    </row>
    <row r="842" ht="18.75" customHeight="1">
      <c r="A842" s="80" t="s">
        <v>466</v>
      </c>
      <c r="B842" s="81" t="str">
        <f t="shared" si="1"/>
        <v>Kota Surabaya</v>
      </c>
      <c r="C842" s="81" t="str">
        <f t="array" ref="C842">XLOOKUP(B842,Reference!$A$2:$A$152,Reference!$B$2:$B$152)</f>
        <v>Jawa Timur</v>
      </c>
      <c r="D842" s="82" t="s">
        <v>1280</v>
      </c>
      <c r="E842" s="83">
        <v>45352.0</v>
      </c>
      <c r="F842" s="84" t="str">
        <f t="array" ref="F842">XLOOKUP(G842,Reference!$F:$F,Reference!$D:$D,"null")</f>
        <v>Rumah Tangga</v>
      </c>
      <c r="G842" s="85" t="s">
        <v>84</v>
      </c>
      <c r="H842" s="86">
        <v>100.83</v>
      </c>
      <c r="I842" s="86">
        <v>100.83</v>
      </c>
      <c r="J842" s="87">
        <f t="shared" si="2"/>
        <v>0</v>
      </c>
      <c r="K842" s="84" t="str">
        <f t="shared" si="3"/>
        <v>Stabil</v>
      </c>
      <c r="L842" s="84">
        <f t="shared" si="4"/>
        <v>0</v>
      </c>
      <c r="M842" s="88" t="str">
        <f t="shared" si="5"/>
        <v>Perubahan Normal</v>
      </c>
    </row>
    <row r="843" ht="18.75" customHeight="1">
      <c r="A843" s="80" t="s">
        <v>584</v>
      </c>
      <c r="B843" s="81" t="str">
        <f t="shared" si="1"/>
        <v>Kota Sibolga</v>
      </c>
      <c r="C843" s="81" t="str">
        <f t="array" ref="C843">XLOOKUP(B843,Reference!$A$2:$A$152,Reference!$B$2:$B$152)</f>
        <v>Sumatera Utara</v>
      </c>
      <c r="D843" s="82" t="s">
        <v>1281</v>
      </c>
      <c r="E843" s="83">
        <v>45323.0</v>
      </c>
      <c r="F843" s="84" t="str">
        <f t="array" ref="F843">XLOOKUP(G843,Reference!$F:$F,Reference!$D:$D,"null")</f>
        <v>Rumah Tangga</v>
      </c>
      <c r="G843" s="85" t="s">
        <v>84</v>
      </c>
      <c r="H843" s="86">
        <v>101.35</v>
      </c>
      <c r="I843" s="86">
        <v>101.35</v>
      </c>
      <c r="J843" s="87">
        <f t="shared" si="2"/>
        <v>0</v>
      </c>
      <c r="K843" s="84" t="str">
        <f t="shared" si="3"/>
        <v>Stabil</v>
      </c>
      <c r="L843" s="84">
        <f t="shared" si="4"/>
        <v>0</v>
      </c>
      <c r="M843" s="88" t="str">
        <f t="shared" si="5"/>
        <v>Perubahan Normal</v>
      </c>
    </row>
    <row r="844" ht="18.75" customHeight="1">
      <c r="A844" s="80" t="s">
        <v>1282</v>
      </c>
      <c r="B844" s="81" t="str">
        <f t="shared" si="1"/>
        <v>Kota Bima</v>
      </c>
      <c r="C844" s="81" t="str">
        <f t="array" ref="C844">XLOOKUP(B844,Reference!$A$2:$A$152,Reference!$B$2:$B$152)</f>
        <v>Nusa Tenggara Barat (NTB)</v>
      </c>
      <c r="D844" s="82" t="s">
        <v>1283</v>
      </c>
      <c r="E844" s="83">
        <v>45323.0</v>
      </c>
      <c r="F844" s="84" t="str">
        <f t="array" ref="F844">XLOOKUP(G844,Reference!$F:$F,Reference!$D:$D,"null")</f>
        <v>Makanan dan Pakaian </v>
      </c>
      <c r="G844" s="85" t="s">
        <v>64</v>
      </c>
      <c r="H844" s="86">
        <v>101.46</v>
      </c>
      <c r="I844" s="86">
        <v>101.44</v>
      </c>
      <c r="J844" s="87">
        <f t="shared" si="2"/>
        <v>0.01971608833</v>
      </c>
      <c r="K844" s="84" t="str">
        <f t="shared" si="3"/>
        <v>Inflasi Normal</v>
      </c>
      <c r="L844" s="84">
        <f t="shared" si="4"/>
        <v>0.02</v>
      </c>
      <c r="M844" s="88" t="str">
        <f t="shared" si="5"/>
        <v>Perubahan Normal</v>
      </c>
    </row>
    <row r="845" ht="18.75" customHeight="1">
      <c r="A845" s="80" t="s">
        <v>526</v>
      </c>
      <c r="B845" s="81" t="str">
        <f t="shared" si="1"/>
        <v>Maumere</v>
      </c>
      <c r="C845" s="81" t="str">
        <f t="array" ref="C845">XLOOKUP(B845,Reference!$A$2:$A$152,Reference!$B$2:$B$152)</f>
        <v>Nusa Tenggara Timur (NTT)</v>
      </c>
      <c r="D845" s="82" t="s">
        <v>1284</v>
      </c>
      <c r="E845" s="83">
        <v>45323.0</v>
      </c>
      <c r="F845" s="84" t="str">
        <f t="array" ref="F845">XLOOKUP(G845,Reference!$F:$F,Reference!$D:$D,"null")</f>
        <v>Pendidikan dan Kesehatan</v>
      </c>
      <c r="G845" s="85" t="s">
        <v>95</v>
      </c>
      <c r="H845" s="86">
        <v>101.19</v>
      </c>
      <c r="I845" s="86">
        <v>101.19</v>
      </c>
      <c r="J845" s="87">
        <f t="shared" si="2"/>
        <v>0</v>
      </c>
      <c r="K845" s="84" t="str">
        <f t="shared" si="3"/>
        <v>Stabil</v>
      </c>
      <c r="L845" s="84">
        <f t="shared" si="4"/>
        <v>0</v>
      </c>
      <c r="M845" s="88" t="str">
        <f t="shared" si="5"/>
        <v>Perubahan Normal</v>
      </c>
    </row>
    <row r="846" ht="18.75" customHeight="1">
      <c r="A846" s="80" t="s">
        <v>672</v>
      </c>
      <c r="B846" s="81" t="str">
        <f t="shared" si="1"/>
        <v>Kab Ogan Komering Ilir</v>
      </c>
      <c r="C846" s="81" t="str">
        <f t="array" ref="C846">XLOOKUP(B846,Reference!$A$2:$A$152,Reference!$B$2:$B$152)</f>
        <v>Sumatera Selatan</v>
      </c>
      <c r="D846" s="82" t="s">
        <v>1285</v>
      </c>
      <c r="E846" s="83">
        <v>45323.0</v>
      </c>
      <c r="F846" s="84" t="str">
        <f t="array" ref="F846">XLOOKUP(G846,Reference!$F:$F,Reference!$D:$D,"null")</f>
        <v>Makanan dan Pakaian </v>
      </c>
      <c r="G846" s="85" t="s">
        <v>64</v>
      </c>
      <c r="H846" s="86">
        <v>97.82</v>
      </c>
      <c r="I846" s="86">
        <v>97.96</v>
      </c>
      <c r="J846" s="87">
        <f t="shared" si="2"/>
        <v>-0.1429154757</v>
      </c>
      <c r="K846" s="84" t="str">
        <f t="shared" si="3"/>
        <v>Deflasi</v>
      </c>
      <c r="L846" s="84">
        <f t="shared" si="4"/>
        <v>-0.14</v>
      </c>
      <c r="M846" s="88" t="str">
        <f t="shared" si="5"/>
        <v>Perubahan Normal</v>
      </c>
    </row>
    <row r="847" ht="18.75" customHeight="1">
      <c r="A847" s="80" t="s">
        <v>456</v>
      </c>
      <c r="B847" s="81" t="str">
        <f t="shared" si="1"/>
        <v>Kab Aceh Tamiang</v>
      </c>
      <c r="C847" s="81" t="str">
        <f t="array" ref="C847">XLOOKUP(B847,Reference!$A$2:$A$152,Reference!$B$2:$B$152)</f>
        <v>Aceh</v>
      </c>
      <c r="D847" s="82" t="s">
        <v>1286</v>
      </c>
      <c r="E847" s="83">
        <v>45352.0</v>
      </c>
      <c r="F847" s="84" t="str">
        <f t="array" ref="F847">XLOOKUP(G847,Reference!$F:$F,Reference!$D:$D,"null")</f>
        <v>Makanan dan Pakaian </v>
      </c>
      <c r="G847" s="85" t="s">
        <v>72</v>
      </c>
      <c r="H847" s="86">
        <v>109.33</v>
      </c>
      <c r="I847" s="86">
        <v>108.96</v>
      </c>
      <c r="J847" s="87">
        <f t="shared" si="2"/>
        <v>0.3395741557</v>
      </c>
      <c r="K847" s="84" t="str">
        <f t="shared" si="3"/>
        <v>Inflasi Normal</v>
      </c>
      <c r="L847" s="84">
        <f t="shared" si="4"/>
        <v>0.37</v>
      </c>
      <c r="M847" s="88" t="str">
        <f t="shared" si="5"/>
        <v>Perubahan Normal</v>
      </c>
    </row>
    <row r="848" ht="18.75" customHeight="1">
      <c r="A848" s="80" t="s">
        <v>378</v>
      </c>
      <c r="B848" s="81" t="str">
        <f t="shared" si="1"/>
        <v>Kab Berau</v>
      </c>
      <c r="C848" s="81" t="str">
        <f t="array" ref="C848">XLOOKUP(B848,Reference!$A$2:$A$152,Reference!$B$2:$B$152)</f>
        <v>Kalimantan Timur</v>
      </c>
      <c r="D848" s="82" t="s">
        <v>1287</v>
      </c>
      <c r="E848" s="83">
        <v>45323.0</v>
      </c>
      <c r="F848" s="84" t="str">
        <f t="array" ref="F848">XLOOKUP(G848,Reference!$F:$F,Reference!$D:$D,"null")</f>
        <v>Makanan dan Pakaian </v>
      </c>
      <c r="G848" s="85" t="s">
        <v>64</v>
      </c>
      <c r="H848" s="86">
        <v>105.68</v>
      </c>
      <c r="I848" s="86">
        <v>105.52</v>
      </c>
      <c r="J848" s="87">
        <f t="shared" si="2"/>
        <v>0.1516300227</v>
      </c>
      <c r="K848" s="84" t="str">
        <f t="shared" si="3"/>
        <v>Inflasi Normal</v>
      </c>
      <c r="L848" s="84">
        <f t="shared" si="4"/>
        <v>0.16</v>
      </c>
      <c r="M848" s="88" t="str">
        <f t="shared" si="5"/>
        <v>Perubahan Normal</v>
      </c>
    </row>
    <row r="849" ht="18.75" customHeight="1">
      <c r="A849" s="80" t="s">
        <v>502</v>
      </c>
      <c r="B849" s="81" t="str">
        <f t="shared" si="1"/>
        <v>Muara Bungo</v>
      </c>
      <c r="C849" s="81" t="str">
        <f t="array" ref="C849">XLOOKUP(B849,Reference!$A$2:$A$152,Reference!$B$2:$B$152)</f>
        <v>Jambi</v>
      </c>
      <c r="D849" s="82" t="s">
        <v>1288</v>
      </c>
      <c r="E849" s="83">
        <v>45323.0</v>
      </c>
      <c r="F849" s="84" t="str">
        <f t="array" ref="F849">XLOOKUP(G849,Reference!$F:$F,Reference!$D:$D,"null")</f>
        <v>Makanan dan Pakaian </v>
      </c>
      <c r="G849" s="85" t="s">
        <v>72</v>
      </c>
      <c r="H849" s="86">
        <v>104.16</v>
      </c>
      <c r="I849" s="86">
        <v>104.26</v>
      </c>
      <c r="J849" s="87">
        <f t="shared" si="2"/>
        <v>-0.095914061</v>
      </c>
      <c r="K849" s="84" t="str">
        <f t="shared" si="3"/>
        <v>Deflasi</v>
      </c>
      <c r="L849" s="84">
        <f t="shared" si="4"/>
        <v>-0.1</v>
      </c>
      <c r="M849" s="88" t="str">
        <f t="shared" si="5"/>
        <v>Perubahan Normal</v>
      </c>
    </row>
    <row r="850" ht="18.75" customHeight="1">
      <c r="A850" s="80" t="s">
        <v>1282</v>
      </c>
      <c r="B850" s="81" t="str">
        <f t="shared" si="1"/>
        <v>Kota Bima</v>
      </c>
      <c r="C850" s="81" t="str">
        <f t="array" ref="C850">XLOOKUP(B850,Reference!$A$2:$A$152,Reference!$B$2:$B$152)</f>
        <v>Nusa Tenggara Barat (NTB)</v>
      </c>
      <c r="D850" s="82" t="s">
        <v>1289</v>
      </c>
      <c r="E850" s="83">
        <v>45323.0</v>
      </c>
      <c r="F850" s="84" t="str">
        <f t="array" ref="F850">XLOOKUP(G850,Reference!$F:$F,Reference!$D:$D,"null")</f>
        <v>Makanan dan Pakaian </v>
      </c>
      <c r="G850" s="85" t="s">
        <v>56</v>
      </c>
      <c r="H850" s="86">
        <v>103.88</v>
      </c>
      <c r="I850" s="86">
        <v>103.39</v>
      </c>
      <c r="J850" s="87">
        <f t="shared" si="2"/>
        <v>0.4739336493</v>
      </c>
      <c r="K850" s="84" t="str">
        <f t="shared" si="3"/>
        <v>Inflasi Normal</v>
      </c>
      <c r="L850" s="84">
        <f t="shared" si="4"/>
        <v>0.49</v>
      </c>
      <c r="M850" s="88" t="str">
        <f t="shared" si="5"/>
        <v>Perubahan Normal</v>
      </c>
    </row>
    <row r="851" ht="18.75" customHeight="1">
      <c r="A851" s="80" t="s">
        <v>502</v>
      </c>
      <c r="B851" s="81" t="str">
        <f t="shared" si="1"/>
        <v>Muara Bungo</v>
      </c>
      <c r="C851" s="81" t="str">
        <f t="array" ref="C851">XLOOKUP(B851,Reference!$A$2:$A$152,Reference!$B$2:$B$152)</f>
        <v>Jambi</v>
      </c>
      <c r="D851" s="82" t="s">
        <v>1290</v>
      </c>
      <c r="E851" s="83">
        <v>45323.0</v>
      </c>
      <c r="F851" s="84" t="str">
        <f t="array" ref="F851">XLOOKUP(G851,Reference!$F:$F,Reference!$D:$D,"null")</f>
        <v>Pendidikan dan Kesehatan</v>
      </c>
      <c r="G851" s="89" t="s">
        <v>95</v>
      </c>
      <c r="H851" s="90">
        <v>103.44</v>
      </c>
      <c r="I851" s="90">
        <v>103.44</v>
      </c>
      <c r="J851" s="87">
        <f t="shared" si="2"/>
        <v>0</v>
      </c>
      <c r="K851" s="84" t="str">
        <f t="shared" si="3"/>
        <v>Stabil</v>
      </c>
      <c r="L851" s="91">
        <f t="shared" si="4"/>
        <v>0</v>
      </c>
      <c r="M851" s="88" t="str">
        <f t="shared" si="5"/>
        <v>Perubahan Normal</v>
      </c>
    </row>
    <row r="852" ht="18.75" customHeight="1">
      <c r="A852" s="80" t="s">
        <v>598</v>
      </c>
      <c r="B852" s="81" t="str">
        <f t="shared" si="1"/>
        <v>Kota Surakarta</v>
      </c>
      <c r="C852" s="81" t="str">
        <f t="array" ref="C852">XLOOKUP(B852,Reference!$A$2:$A$152,Reference!$B$2:$B$152)</f>
        <v>Jawa Tengah</v>
      </c>
      <c r="D852" s="82" t="s">
        <v>1291</v>
      </c>
      <c r="E852" s="83">
        <v>45323.0</v>
      </c>
      <c r="F852" s="84" t="str">
        <f t="array" ref="F852">XLOOKUP(G852,Reference!$F:$F,Reference!$D:$D,"null")</f>
        <v>Makanan dan Pakaian </v>
      </c>
      <c r="G852" s="85" t="s">
        <v>72</v>
      </c>
      <c r="H852" s="86">
        <v>102.9</v>
      </c>
      <c r="I852" s="86">
        <v>102.9</v>
      </c>
      <c r="J852" s="87">
        <f t="shared" si="2"/>
        <v>0</v>
      </c>
      <c r="K852" s="84" t="str">
        <f t="shared" si="3"/>
        <v>Stabil</v>
      </c>
      <c r="L852" s="84">
        <f t="shared" si="4"/>
        <v>0</v>
      </c>
      <c r="M852" s="88" t="str">
        <f t="shared" si="5"/>
        <v>Perubahan Normal</v>
      </c>
    </row>
    <row r="853" ht="18.75" customHeight="1">
      <c r="A853" s="80" t="s">
        <v>442</v>
      </c>
      <c r="B853" s="81" t="str">
        <f t="shared" si="1"/>
        <v>Kota Cirebon</v>
      </c>
      <c r="C853" s="81" t="str">
        <f t="array" ref="C853">XLOOKUP(B853,Reference!$A$2:$A$152,Reference!$B$2:$B$152)</f>
        <v>Jawa Barat</v>
      </c>
      <c r="D853" s="82" t="s">
        <v>1292</v>
      </c>
      <c r="E853" s="83">
        <v>45323.0</v>
      </c>
      <c r="F853" s="84" t="str">
        <f t="array" ref="F853">XLOOKUP(G853,Reference!$F:$F,Reference!$D:$D,"null")</f>
        <v>Rekreasi dan Kendaraan</v>
      </c>
      <c r="G853" s="85" t="s">
        <v>102</v>
      </c>
      <c r="H853" s="86">
        <v>102.61</v>
      </c>
      <c r="I853" s="86">
        <v>102.61</v>
      </c>
      <c r="J853" s="87">
        <f t="shared" si="2"/>
        <v>0</v>
      </c>
      <c r="K853" s="84" t="str">
        <f t="shared" si="3"/>
        <v>Stabil</v>
      </c>
      <c r="L853" s="84">
        <f t="shared" si="4"/>
        <v>0</v>
      </c>
      <c r="M853" s="88" t="str">
        <f t="shared" si="5"/>
        <v>Perubahan Normal</v>
      </c>
    </row>
    <row r="854" ht="18.75" customHeight="1">
      <c r="A854" s="80" t="s">
        <v>316</v>
      </c>
      <c r="B854" s="81" t="str">
        <f t="shared" si="1"/>
        <v>Singaraja</v>
      </c>
      <c r="C854" s="81" t="str">
        <f t="array" ref="C854">XLOOKUP(B854,Reference!$A$2:$A$152,Reference!$B$2:$B$152)</f>
        <v>Bali</v>
      </c>
      <c r="D854" s="82" t="s">
        <v>1293</v>
      </c>
      <c r="E854" s="83">
        <v>45352.0</v>
      </c>
      <c r="F854" s="84" t="str">
        <f t="array" ref="F854">XLOOKUP(G854,Reference!$F:$F,Reference!$D:$D,"null")</f>
        <v>Pendidikan dan Kesehatan</v>
      </c>
      <c r="G854" s="89" t="s">
        <v>95</v>
      </c>
      <c r="H854" s="90">
        <v>99.79</v>
      </c>
      <c r="I854" s="90">
        <v>99.79</v>
      </c>
      <c r="J854" s="87">
        <f t="shared" si="2"/>
        <v>0</v>
      </c>
      <c r="K854" s="84" t="str">
        <f t="shared" si="3"/>
        <v>Stabil</v>
      </c>
      <c r="L854" s="91">
        <f t="shared" si="4"/>
        <v>0</v>
      </c>
      <c r="M854" s="88" t="str">
        <f t="shared" si="5"/>
        <v>Perubahan Normal</v>
      </c>
    </row>
    <row r="855" ht="18.75" customHeight="1">
      <c r="A855" s="80" t="s">
        <v>764</v>
      </c>
      <c r="B855" s="81" t="str">
        <f t="shared" si="1"/>
        <v>Kota Madiun</v>
      </c>
      <c r="C855" s="81" t="str">
        <f t="array" ref="C855">XLOOKUP(B855,Reference!$A$2:$A$152,Reference!$B$2:$B$152)</f>
        <v>Jawa Timur</v>
      </c>
      <c r="D855" s="82" t="s">
        <v>1294</v>
      </c>
      <c r="E855" s="83">
        <v>45352.0</v>
      </c>
      <c r="F855" s="84" t="str">
        <f t="array" ref="F855">XLOOKUP(G855,Reference!$F:$F,Reference!$D:$D,"null")</f>
        <v>Makanan dan Pakaian </v>
      </c>
      <c r="G855" s="85" t="s">
        <v>56</v>
      </c>
      <c r="H855" s="86">
        <v>104.44</v>
      </c>
      <c r="I855" s="86">
        <v>103.84</v>
      </c>
      <c r="J855" s="87">
        <f t="shared" si="2"/>
        <v>0.5778120185</v>
      </c>
      <c r="K855" s="84" t="str">
        <f t="shared" si="3"/>
        <v>Inflasi Tinggi</v>
      </c>
      <c r="L855" s="84">
        <f t="shared" si="4"/>
        <v>0.6</v>
      </c>
      <c r="M855" s="88" t="str">
        <f t="shared" si="5"/>
        <v>Akselerasi Persentase</v>
      </c>
    </row>
    <row r="856" ht="18.75" customHeight="1">
      <c r="A856" s="80" t="s">
        <v>364</v>
      </c>
      <c r="B856" s="81" t="str">
        <f t="shared" si="1"/>
        <v>Kab Tanah Laut</v>
      </c>
      <c r="C856" s="81" t="str">
        <f t="array" ref="C856">XLOOKUP(B856,Reference!$A$2:$A$152,Reference!$B$2:$B$152)</f>
        <v>Kalimantan Selatan</v>
      </c>
      <c r="D856" s="82" t="s">
        <v>1295</v>
      </c>
      <c r="E856" s="83">
        <v>45323.0</v>
      </c>
      <c r="F856" s="84" t="str">
        <f t="array" ref="F856">XLOOKUP(G856,Reference!$F:$F,Reference!$D:$D,"null")</f>
        <v>Rekreasi dan Kendaraan</v>
      </c>
      <c r="G856" s="85" t="s">
        <v>105</v>
      </c>
      <c r="H856" s="86">
        <v>101.9</v>
      </c>
      <c r="I856" s="86">
        <v>101.85</v>
      </c>
      <c r="J856" s="87">
        <f t="shared" si="2"/>
        <v>0.04909180167</v>
      </c>
      <c r="K856" s="84" t="str">
        <f t="shared" si="3"/>
        <v>Inflasi Normal</v>
      </c>
      <c r="L856" s="84">
        <f t="shared" si="4"/>
        <v>0.05</v>
      </c>
      <c r="M856" s="88" t="str">
        <f t="shared" si="5"/>
        <v>Perubahan Normal</v>
      </c>
    </row>
    <row r="857" ht="18.75" customHeight="1">
      <c r="A857" s="80" t="s">
        <v>529</v>
      </c>
      <c r="B857" s="81" t="str">
        <f t="shared" si="1"/>
        <v>Kota Yogyakarta</v>
      </c>
      <c r="C857" s="81" t="str">
        <f t="array" ref="C857">XLOOKUP(B857,Reference!$A$2:$A$152,Reference!$B$2:$B$152)</f>
        <v>D.I. Yogyakarta</v>
      </c>
      <c r="D857" s="82" t="s">
        <v>1296</v>
      </c>
      <c r="E857" s="83">
        <v>45352.0</v>
      </c>
      <c r="F857" s="84" t="str">
        <f t="array" ref="F857">XLOOKUP(G857,Reference!$F:$F,Reference!$D:$D,"null")</f>
        <v>Makanan dan Pakaian </v>
      </c>
      <c r="G857" s="89" t="s">
        <v>72</v>
      </c>
      <c r="H857" s="90">
        <v>100.93</v>
      </c>
      <c r="I857" s="90">
        <v>100.98</v>
      </c>
      <c r="J857" s="87">
        <f t="shared" si="2"/>
        <v>-0.0495147554</v>
      </c>
      <c r="K857" s="84" t="str">
        <f t="shared" si="3"/>
        <v>Deflasi</v>
      </c>
      <c r="L857" s="91">
        <f t="shared" si="4"/>
        <v>-0.05</v>
      </c>
      <c r="M857" s="88" t="str">
        <f t="shared" si="5"/>
        <v>Perubahan Normal</v>
      </c>
    </row>
    <row r="858" ht="18.75" customHeight="1">
      <c r="A858" s="80" t="s">
        <v>548</v>
      </c>
      <c r="B858" s="81" t="str">
        <f t="shared" si="1"/>
        <v>Kota Metro</v>
      </c>
      <c r="C858" s="81" t="str">
        <f t="array" ref="C858">XLOOKUP(B858,Reference!$A$2:$A$152,Reference!$B$2:$B$152)</f>
        <v>Lampung</v>
      </c>
      <c r="D858" s="82" t="s">
        <v>1297</v>
      </c>
      <c r="E858" s="83">
        <v>45323.0</v>
      </c>
      <c r="F858" s="84" t="str">
        <f t="array" ref="F858">XLOOKUP(G858,Reference!$F:$F,Reference!$D:$D,"null")</f>
        <v>Pendidikan dan Kesehatan</v>
      </c>
      <c r="G858" s="85" t="s">
        <v>98</v>
      </c>
      <c r="H858" s="86">
        <v>101.67</v>
      </c>
      <c r="I858" s="86">
        <v>101.67</v>
      </c>
      <c r="J858" s="87">
        <f t="shared" si="2"/>
        <v>0</v>
      </c>
      <c r="K858" s="84" t="str">
        <f t="shared" si="3"/>
        <v>Stabil</v>
      </c>
      <c r="L858" s="84">
        <f t="shared" si="4"/>
        <v>0</v>
      </c>
      <c r="M858" s="88" t="str">
        <f t="shared" si="5"/>
        <v>Perubahan Normal</v>
      </c>
    </row>
    <row r="859" ht="18.75" customHeight="1">
      <c r="A859" s="80" t="s">
        <v>310</v>
      </c>
      <c r="B859" s="81" t="str">
        <f t="shared" si="1"/>
        <v>Kab Kampar</v>
      </c>
      <c r="C859" s="81" t="str">
        <f t="array" ref="C859">XLOOKUP(B859,Reference!$A$2:$A$152,Reference!$B$2:$B$152)</f>
        <v>Riau</v>
      </c>
      <c r="D859" s="82" t="s">
        <v>1298</v>
      </c>
      <c r="E859" s="83">
        <v>45323.0</v>
      </c>
      <c r="F859" s="84" t="str">
        <f t="array" ref="F859">XLOOKUP(G859,Reference!$F:$F,Reference!$D:$D,"null")</f>
        <v>Makanan dan Pakaian </v>
      </c>
      <c r="G859" s="85" t="s">
        <v>72</v>
      </c>
      <c r="H859" s="86">
        <v>114.77</v>
      </c>
      <c r="I859" s="86">
        <v>114.29</v>
      </c>
      <c r="J859" s="87">
        <f t="shared" si="2"/>
        <v>0.4199842506</v>
      </c>
      <c r="K859" s="84" t="str">
        <f t="shared" si="3"/>
        <v>Inflasi Normal</v>
      </c>
      <c r="L859" s="84">
        <f t="shared" si="4"/>
        <v>0.48</v>
      </c>
      <c r="M859" s="88" t="str">
        <f t="shared" si="5"/>
        <v>Perubahan Normal</v>
      </c>
    </row>
    <row r="860" ht="18.75" customHeight="1">
      <c r="A860" s="80" t="s">
        <v>462</v>
      </c>
      <c r="B860" s="81" t="str">
        <f t="shared" si="1"/>
        <v>Kota Probolinggo</v>
      </c>
      <c r="C860" s="81" t="str">
        <f t="array" ref="C860">XLOOKUP(B860,Reference!$A$2:$A$152,Reference!$B$2:$B$152)</f>
        <v>Jawa Timur</v>
      </c>
      <c r="D860" s="82" t="s">
        <v>1299</v>
      </c>
      <c r="E860" s="83">
        <v>45323.0</v>
      </c>
      <c r="F860" s="84" t="str">
        <f t="array" ref="F860">XLOOKUP(G860,Reference!$F:$F,Reference!$D:$D,"null")</f>
        <v>Makanan dan Pakaian </v>
      </c>
      <c r="G860" s="85" t="s">
        <v>56</v>
      </c>
      <c r="H860" s="86">
        <v>105.96</v>
      </c>
      <c r="I860" s="86">
        <v>105.7</v>
      </c>
      <c r="J860" s="87">
        <f t="shared" si="2"/>
        <v>0.2459791864</v>
      </c>
      <c r="K860" s="84" t="str">
        <f t="shared" si="3"/>
        <v>Inflasi Normal</v>
      </c>
      <c r="L860" s="84">
        <f t="shared" si="4"/>
        <v>0.26</v>
      </c>
      <c r="M860" s="88" t="str">
        <f t="shared" si="5"/>
        <v>Perubahan Normal</v>
      </c>
    </row>
    <row r="861" ht="18.75" customHeight="1">
      <c r="A861" s="80" t="s">
        <v>524</v>
      </c>
      <c r="B861" s="81" t="str">
        <f t="shared" si="1"/>
        <v>Kudus</v>
      </c>
      <c r="C861" s="81" t="str">
        <f t="array" ref="C861">XLOOKUP(B861,Reference!$A$2:$A$152,Reference!$B$2:$B$152)</f>
        <v>Jawa Tengah</v>
      </c>
      <c r="D861" s="82" t="s">
        <v>1300</v>
      </c>
      <c r="E861" s="83">
        <v>45352.0</v>
      </c>
      <c r="F861" s="84" t="str">
        <f t="array" ref="F861">XLOOKUP(G861,Reference!$F:$F,Reference!$D:$D,"null")</f>
        <v>Rekreasi dan Kendaraan</v>
      </c>
      <c r="G861" s="85" t="s">
        <v>105</v>
      </c>
      <c r="H861" s="86">
        <v>104.83</v>
      </c>
      <c r="I861" s="86">
        <v>104.67</v>
      </c>
      <c r="J861" s="87">
        <f t="shared" si="2"/>
        <v>0.1528613738</v>
      </c>
      <c r="K861" s="84" t="str">
        <f t="shared" si="3"/>
        <v>Inflasi Normal</v>
      </c>
      <c r="L861" s="84">
        <f t="shared" si="4"/>
        <v>0.16</v>
      </c>
      <c r="M861" s="88" t="str">
        <f t="shared" si="5"/>
        <v>Perubahan Normal</v>
      </c>
    </row>
    <row r="862" ht="18.75" customHeight="1">
      <c r="A862" s="80" t="s">
        <v>634</v>
      </c>
      <c r="B862" s="81" t="str">
        <f t="shared" si="1"/>
        <v>Kota Depok</v>
      </c>
      <c r="C862" s="81" t="str">
        <f t="array" ref="C862">XLOOKUP(B862,Reference!$A$2:$A$152,Reference!$B$2:$B$152)</f>
        <v>Jawa Barat</v>
      </c>
      <c r="D862" s="82" t="s">
        <v>1301</v>
      </c>
      <c r="E862" s="83">
        <v>45352.0</v>
      </c>
      <c r="F862" s="84" t="str">
        <f t="array" ref="F862">XLOOKUP(G862,Reference!$F:$F,Reference!$D:$D,"null")</f>
        <v>Pendidikan dan Kesehatan</v>
      </c>
      <c r="G862" s="85" t="s">
        <v>95</v>
      </c>
      <c r="H862" s="86">
        <v>105.31</v>
      </c>
      <c r="I862" s="86">
        <v>105.31</v>
      </c>
      <c r="J862" s="87">
        <f t="shared" si="2"/>
        <v>0</v>
      </c>
      <c r="K862" s="84" t="str">
        <f t="shared" si="3"/>
        <v>Stabil</v>
      </c>
      <c r="L862" s="84">
        <f t="shared" si="4"/>
        <v>0</v>
      </c>
      <c r="M862" s="88" t="str">
        <f t="shared" si="5"/>
        <v>Perubahan Normal</v>
      </c>
    </row>
    <row r="863" ht="18.75" customHeight="1">
      <c r="A863" s="80" t="s">
        <v>362</v>
      </c>
      <c r="B863" s="81" t="str">
        <f t="shared" si="1"/>
        <v>Sumenep</v>
      </c>
      <c r="C863" s="81" t="str">
        <f t="array" ref="C863">XLOOKUP(B863,Reference!$A$2:$A$152,Reference!$B$2:$B$152)</f>
        <v>Jawa Timur</v>
      </c>
      <c r="D863" s="82" t="s">
        <v>1302</v>
      </c>
      <c r="E863" s="83">
        <v>45352.0</v>
      </c>
      <c r="F863" s="84" t="str">
        <f t="array" ref="F863">XLOOKUP(G863,Reference!$F:$F,Reference!$D:$D,"null")</f>
        <v>Rekreasi dan Kendaraan</v>
      </c>
      <c r="G863" s="89" t="s">
        <v>102</v>
      </c>
      <c r="H863" s="90">
        <v>102.23</v>
      </c>
      <c r="I863" s="90">
        <v>102.16</v>
      </c>
      <c r="J863" s="87">
        <f t="shared" si="2"/>
        <v>0.06851996868</v>
      </c>
      <c r="K863" s="84" t="str">
        <f t="shared" si="3"/>
        <v>Inflasi Normal</v>
      </c>
      <c r="L863" s="91">
        <f t="shared" si="4"/>
        <v>0.07</v>
      </c>
      <c r="M863" s="88" t="str">
        <f t="shared" si="5"/>
        <v>Perubahan Normal</v>
      </c>
    </row>
    <row r="864" ht="18.75" customHeight="1">
      <c r="A864" s="80" t="s">
        <v>656</v>
      </c>
      <c r="B864" s="81" t="str">
        <f t="shared" si="1"/>
        <v>Kota Palopo</v>
      </c>
      <c r="C864" s="81" t="str">
        <f t="array" ref="C864">XLOOKUP(B864,Reference!$A$2:$A$152,Reference!$B$2:$B$152)</f>
        <v>Sulawesi Selatan</v>
      </c>
      <c r="D864" s="82" t="s">
        <v>1303</v>
      </c>
      <c r="E864" s="83">
        <v>45352.0</v>
      </c>
      <c r="F864" s="84" t="str">
        <f t="array" ref="F864">XLOOKUP(G864,Reference!$F:$F,Reference!$D:$D,"null")</f>
        <v>Pendidikan dan Kesehatan</v>
      </c>
      <c r="G864" s="85" t="s">
        <v>95</v>
      </c>
      <c r="H864" s="86">
        <v>102.0</v>
      </c>
      <c r="I864" s="86">
        <v>102.0</v>
      </c>
      <c r="J864" s="87">
        <f t="shared" si="2"/>
        <v>0</v>
      </c>
      <c r="K864" s="84" t="str">
        <f t="shared" si="3"/>
        <v>Stabil</v>
      </c>
      <c r="L864" s="84">
        <f t="shared" si="4"/>
        <v>0</v>
      </c>
      <c r="M864" s="88" t="str">
        <f t="shared" si="5"/>
        <v>Perubahan Normal</v>
      </c>
    </row>
    <row r="865" ht="18.75" customHeight="1">
      <c r="A865" s="80" t="s">
        <v>606</v>
      </c>
      <c r="B865" s="81" t="str">
        <f t="shared" si="1"/>
        <v>Kota Pare Pare</v>
      </c>
      <c r="C865" s="81" t="str">
        <f t="array" ref="C865">XLOOKUP(B865,Reference!$A$2:$A$152,Reference!$B$2:$B$152)</f>
        <v>Sulawesi Selatan</v>
      </c>
      <c r="D865" s="82" t="s">
        <v>1304</v>
      </c>
      <c r="E865" s="83">
        <v>45323.0</v>
      </c>
      <c r="F865" s="84" t="str">
        <f t="array" ref="F865">XLOOKUP(G865,Reference!$F:$F,Reference!$D:$D,"null")</f>
        <v>Makanan dan Pakaian </v>
      </c>
      <c r="G865" s="85" t="s">
        <v>48</v>
      </c>
      <c r="H865" s="86">
        <v>109.66</v>
      </c>
      <c r="I865" s="86">
        <v>110.39</v>
      </c>
      <c r="J865" s="87">
        <f t="shared" si="2"/>
        <v>-0.6612917837</v>
      </c>
      <c r="K865" s="84" t="str">
        <f t="shared" si="3"/>
        <v>Deflasi</v>
      </c>
      <c r="L865" s="84">
        <f t="shared" si="4"/>
        <v>-0.73</v>
      </c>
      <c r="M865" s="88" t="str">
        <f t="shared" si="5"/>
        <v>Perubahan Normal</v>
      </c>
    </row>
    <row r="866" ht="18.75" customHeight="1">
      <c r="A866" s="80" t="s">
        <v>456</v>
      </c>
      <c r="B866" s="81" t="str">
        <f t="shared" si="1"/>
        <v>Kab Aceh Tamiang</v>
      </c>
      <c r="C866" s="81" t="str">
        <f t="array" ref="C866">XLOOKUP(B866,Reference!$A$2:$A$152,Reference!$B$2:$B$152)</f>
        <v>Aceh</v>
      </c>
      <c r="D866" s="82" t="s">
        <v>1305</v>
      </c>
      <c r="E866" s="83">
        <v>45352.0</v>
      </c>
      <c r="F866" s="84" t="str">
        <f t="array" ref="F866">XLOOKUP(G866,Reference!$F:$F,Reference!$D:$D,"null")</f>
        <v>Rumah Tangga</v>
      </c>
      <c r="G866" s="85" t="s">
        <v>89</v>
      </c>
      <c r="H866" s="86">
        <v>102.73</v>
      </c>
      <c r="I866" s="86">
        <v>102.73</v>
      </c>
      <c r="J866" s="87">
        <f t="shared" si="2"/>
        <v>0</v>
      </c>
      <c r="K866" s="84" t="str">
        <f t="shared" si="3"/>
        <v>Stabil</v>
      </c>
      <c r="L866" s="84">
        <f t="shared" si="4"/>
        <v>0</v>
      </c>
      <c r="M866" s="88" t="str">
        <f t="shared" si="5"/>
        <v>Perubahan Normal</v>
      </c>
    </row>
    <row r="867" ht="18.75" customHeight="1">
      <c r="A867" s="80" t="s">
        <v>548</v>
      </c>
      <c r="B867" s="81" t="str">
        <f t="shared" si="1"/>
        <v>Kota Metro</v>
      </c>
      <c r="C867" s="81" t="str">
        <f t="array" ref="C867">XLOOKUP(B867,Reference!$A$2:$A$152,Reference!$B$2:$B$152)</f>
        <v>Lampung</v>
      </c>
      <c r="D867" s="82" t="s">
        <v>1306</v>
      </c>
      <c r="E867" s="83">
        <v>45323.0</v>
      </c>
      <c r="F867" s="84" t="str">
        <f t="array" ref="F867">XLOOKUP(G867,Reference!$F:$F,Reference!$D:$D,"null")</f>
        <v>Pendidikan dan Kesehatan</v>
      </c>
      <c r="G867" s="85" t="s">
        <v>95</v>
      </c>
      <c r="H867" s="86">
        <v>101.55</v>
      </c>
      <c r="I867" s="86">
        <v>101.55</v>
      </c>
      <c r="J867" s="87">
        <f t="shared" si="2"/>
        <v>0</v>
      </c>
      <c r="K867" s="84" t="str">
        <f t="shared" si="3"/>
        <v>Stabil</v>
      </c>
      <c r="L867" s="84">
        <f t="shared" si="4"/>
        <v>0</v>
      </c>
      <c r="M867" s="88" t="str">
        <f t="shared" si="5"/>
        <v>Perubahan Normal</v>
      </c>
    </row>
    <row r="868" ht="18.75" customHeight="1">
      <c r="A868" s="80" t="s">
        <v>550</v>
      </c>
      <c r="B868" s="81" t="str">
        <f t="shared" si="1"/>
        <v>Kota Sukabumi</v>
      </c>
      <c r="C868" s="81" t="str">
        <f t="array" ref="C868">XLOOKUP(B868,Reference!$A$2:$A$152,Reference!$B$2:$B$152)</f>
        <v>Jawa Barat</v>
      </c>
      <c r="D868" s="82" t="s">
        <v>1307</v>
      </c>
      <c r="E868" s="83">
        <v>45323.0</v>
      </c>
      <c r="F868" s="84" t="str">
        <f t="array" ref="F868">XLOOKUP(G868,Reference!$F:$F,Reference!$D:$D,"null")</f>
        <v>Rekreasi dan Kendaraan</v>
      </c>
      <c r="G868" s="85" t="s">
        <v>102</v>
      </c>
      <c r="H868" s="86">
        <v>104.39</v>
      </c>
      <c r="I868" s="86">
        <v>102.66</v>
      </c>
      <c r="J868" s="87">
        <f t="shared" si="2"/>
        <v>1.685174362</v>
      </c>
      <c r="K868" s="84" t="str">
        <f t="shared" si="3"/>
        <v>Inflasi Tinggi</v>
      </c>
      <c r="L868" s="84">
        <f t="shared" si="4"/>
        <v>1.73</v>
      </c>
      <c r="M868" s="88" t="str">
        <f t="shared" si="5"/>
        <v>Akselerasi Persentase</v>
      </c>
    </row>
    <row r="869" ht="18.75" customHeight="1">
      <c r="A869" s="80" t="s">
        <v>727</v>
      </c>
      <c r="B869" s="81" t="str">
        <f t="shared" si="1"/>
        <v>Kab Badung</v>
      </c>
      <c r="C869" s="81" t="str">
        <f t="array" ref="C869">XLOOKUP(B869,Reference!$A$2:$A$152,Reference!$B$2:$B$152)</f>
        <v>Bali</v>
      </c>
      <c r="D869" s="82" t="s">
        <v>1308</v>
      </c>
      <c r="E869" s="83">
        <v>45352.0</v>
      </c>
      <c r="F869" s="84" t="str">
        <f t="array" ref="F869">XLOOKUP(G869,Reference!$F:$F,Reference!$D:$D,"null")</f>
        <v>Makanan dan Pakaian </v>
      </c>
      <c r="G869" s="85" t="s">
        <v>72</v>
      </c>
      <c r="H869" s="86">
        <v>109.63</v>
      </c>
      <c r="I869" s="86">
        <v>109.63</v>
      </c>
      <c r="J869" s="87">
        <f t="shared" si="2"/>
        <v>0</v>
      </c>
      <c r="K869" s="84" t="str">
        <f t="shared" si="3"/>
        <v>Stabil</v>
      </c>
      <c r="L869" s="84">
        <f t="shared" si="4"/>
        <v>0</v>
      </c>
      <c r="M869" s="88" t="str">
        <f t="shared" si="5"/>
        <v>Perubahan Normal</v>
      </c>
    </row>
    <row r="870" ht="18.75" customHeight="1">
      <c r="A870" s="80" t="s">
        <v>404</v>
      </c>
      <c r="B870" s="81" t="str">
        <f t="shared" si="1"/>
        <v>Kab Mesuji</v>
      </c>
      <c r="C870" s="81" t="str">
        <f t="array" ref="C870">XLOOKUP(B870,Reference!$A$2:$A$152,Reference!$B$2:$B$152)</f>
        <v>Lampung</v>
      </c>
      <c r="D870" s="82" t="s">
        <v>1309</v>
      </c>
      <c r="E870" s="83">
        <v>45352.0</v>
      </c>
      <c r="F870" s="84" t="str">
        <f t="array" ref="F870">XLOOKUP(G870,Reference!$F:$F,Reference!$D:$D,"null")</f>
        <v>Rekreasi dan Kendaraan</v>
      </c>
      <c r="G870" s="85" t="s">
        <v>105</v>
      </c>
      <c r="H870" s="86">
        <v>97.9</v>
      </c>
      <c r="I870" s="86">
        <v>97.9</v>
      </c>
      <c r="J870" s="87">
        <f t="shared" si="2"/>
        <v>0</v>
      </c>
      <c r="K870" s="84" t="str">
        <f t="shared" si="3"/>
        <v>Stabil</v>
      </c>
      <c r="L870" s="84">
        <f t="shared" si="4"/>
        <v>0</v>
      </c>
      <c r="M870" s="88" t="str">
        <f t="shared" si="5"/>
        <v>Perubahan Normal</v>
      </c>
    </row>
    <row r="871" ht="18.75" customHeight="1">
      <c r="A871" s="80" t="s">
        <v>631</v>
      </c>
      <c r="B871" s="81" t="str">
        <f t="shared" si="1"/>
        <v>Kab Toli Toli</v>
      </c>
      <c r="C871" s="81" t="str">
        <f t="array" ref="C871">XLOOKUP(B871,Reference!$A$2:$A$152,Reference!$B$2:$B$152)</f>
        <v>Sulawesi Tengah</v>
      </c>
      <c r="D871" s="82" t="s">
        <v>1310</v>
      </c>
      <c r="E871" s="83">
        <v>45323.0</v>
      </c>
      <c r="F871" s="84" t="str">
        <f t="array" ref="F871">XLOOKUP(G871,Reference!$F:$F,Reference!$D:$D,"null")</f>
        <v>Pendidikan dan Kesehatan</v>
      </c>
      <c r="G871" s="85" t="s">
        <v>95</v>
      </c>
      <c r="H871" s="86">
        <v>100.0</v>
      </c>
      <c r="I871" s="86">
        <v>100.0</v>
      </c>
      <c r="J871" s="87">
        <f t="shared" si="2"/>
        <v>0</v>
      </c>
      <c r="K871" s="84" t="str">
        <f t="shared" si="3"/>
        <v>Stabil</v>
      </c>
      <c r="L871" s="84">
        <f t="shared" si="4"/>
        <v>0</v>
      </c>
      <c r="M871" s="88" t="str">
        <f t="shared" si="5"/>
        <v>Perubahan Normal</v>
      </c>
    </row>
    <row r="872" ht="18.75" customHeight="1">
      <c r="A872" s="80" t="s">
        <v>471</v>
      </c>
      <c r="B872" s="81" t="str">
        <f t="shared" si="1"/>
        <v>Kab Gunungkidul</v>
      </c>
      <c r="C872" s="81" t="str">
        <f t="array" ref="C872">XLOOKUP(B872,Reference!$A$2:$A$152,Reference!$B$2:$B$152)</f>
        <v>D.I. Yogyakarta</v>
      </c>
      <c r="D872" s="82" t="s">
        <v>1311</v>
      </c>
      <c r="E872" s="83">
        <v>45352.0</v>
      </c>
      <c r="F872" s="84" t="str">
        <f t="array" ref="F872">XLOOKUP(G872,Reference!$F:$F,Reference!$D:$D,"null")</f>
        <v>Makanan dan Pakaian </v>
      </c>
      <c r="G872" s="85" t="s">
        <v>56</v>
      </c>
      <c r="H872" s="86">
        <v>101.72</v>
      </c>
      <c r="I872" s="86">
        <v>101.93</v>
      </c>
      <c r="J872" s="87">
        <f t="shared" si="2"/>
        <v>-0.2060237418</v>
      </c>
      <c r="K872" s="84" t="str">
        <f t="shared" si="3"/>
        <v>Deflasi</v>
      </c>
      <c r="L872" s="84">
        <f t="shared" si="4"/>
        <v>-0.21</v>
      </c>
      <c r="M872" s="88" t="str">
        <f t="shared" si="5"/>
        <v>Perubahan Normal</v>
      </c>
    </row>
    <row r="873" ht="18.75" customHeight="1">
      <c r="A873" s="80" t="s">
        <v>483</v>
      </c>
      <c r="B873" s="81" t="str">
        <f t="shared" si="1"/>
        <v>Kota Padangsidimpuan</v>
      </c>
      <c r="C873" s="81" t="str">
        <f t="array" ref="C873">XLOOKUP(B873,Reference!$A$2:$A$152,Reference!$B$2:$B$152)</f>
        <v>Sumatera Utara</v>
      </c>
      <c r="D873" s="82" t="s">
        <v>1312</v>
      </c>
      <c r="E873" s="83">
        <v>45323.0</v>
      </c>
      <c r="F873" s="84" t="str">
        <f t="array" ref="F873">XLOOKUP(G873,Reference!$F:$F,Reference!$D:$D,"null")</f>
        <v>Rumah Tangga</v>
      </c>
      <c r="G873" s="89" t="s">
        <v>89</v>
      </c>
      <c r="H873" s="90">
        <v>102.6</v>
      </c>
      <c r="I873" s="90">
        <v>101.79</v>
      </c>
      <c r="J873" s="87">
        <f t="shared" si="2"/>
        <v>0.7957559682</v>
      </c>
      <c r="K873" s="84" t="str">
        <f t="shared" si="3"/>
        <v>Inflasi Tinggi</v>
      </c>
      <c r="L873" s="91">
        <f t="shared" si="4"/>
        <v>0.81</v>
      </c>
      <c r="M873" s="88" t="str">
        <f t="shared" si="5"/>
        <v>Akselerasi Persentase</v>
      </c>
    </row>
    <row r="874" ht="18.75" customHeight="1">
      <c r="A874" s="80" t="s">
        <v>417</v>
      </c>
      <c r="B874" s="81" t="str">
        <f t="shared" si="1"/>
        <v>Kotabaru</v>
      </c>
      <c r="C874" s="81" t="str">
        <f t="array" ref="C874">XLOOKUP(B874,Reference!$A$2:$A$152,Reference!$B$2:$B$152)</f>
        <v>Kalimantan Selatan</v>
      </c>
      <c r="D874" s="82" t="s">
        <v>1313</v>
      </c>
      <c r="E874" s="83">
        <v>45323.0</v>
      </c>
      <c r="F874" s="84" t="str">
        <f t="array" ref="F874">XLOOKUP(G874,Reference!$F:$F,Reference!$D:$D,"null")</f>
        <v>Makanan dan Pakaian </v>
      </c>
      <c r="G874" s="85" t="s">
        <v>72</v>
      </c>
      <c r="H874" s="86">
        <v>103.02</v>
      </c>
      <c r="I874" s="86">
        <v>103.02</v>
      </c>
      <c r="J874" s="87">
        <f t="shared" si="2"/>
        <v>0</v>
      </c>
      <c r="K874" s="84" t="str">
        <f t="shared" si="3"/>
        <v>Stabil</v>
      </c>
      <c r="L874" s="84">
        <f t="shared" si="4"/>
        <v>0</v>
      </c>
      <c r="M874" s="88" t="str">
        <f t="shared" si="5"/>
        <v>Perubahan Normal</v>
      </c>
    </row>
    <row r="875" ht="18.75" customHeight="1">
      <c r="A875" s="80" t="s">
        <v>456</v>
      </c>
      <c r="B875" s="81" t="str">
        <f t="shared" si="1"/>
        <v>Kab Aceh Tamiang</v>
      </c>
      <c r="C875" s="81" t="str">
        <f t="array" ref="C875">XLOOKUP(B875,Reference!$A$2:$A$152,Reference!$B$2:$B$152)</f>
        <v>Aceh</v>
      </c>
      <c r="D875" s="82" t="s">
        <v>1314</v>
      </c>
      <c r="E875" s="83">
        <v>45323.0</v>
      </c>
      <c r="F875" s="84" t="str">
        <f t="array" ref="F875">XLOOKUP(G875,Reference!$F:$F,Reference!$D:$D,"null")</f>
        <v>Rumah Tangga</v>
      </c>
      <c r="G875" s="85" t="s">
        <v>80</v>
      </c>
      <c r="H875" s="86">
        <v>101.54</v>
      </c>
      <c r="I875" s="86">
        <v>101.54</v>
      </c>
      <c r="J875" s="87">
        <f t="shared" si="2"/>
        <v>0</v>
      </c>
      <c r="K875" s="84" t="str">
        <f t="shared" si="3"/>
        <v>Stabil</v>
      </c>
      <c r="L875" s="84">
        <f t="shared" si="4"/>
        <v>0</v>
      </c>
      <c r="M875" s="88" t="str">
        <f t="shared" si="5"/>
        <v>Perubahan Normal</v>
      </c>
    </row>
    <row r="876" ht="18.75" customHeight="1">
      <c r="A876" s="80" t="s">
        <v>324</v>
      </c>
      <c r="B876" s="81" t="str">
        <f t="shared" si="1"/>
        <v>Kab Nunukan</v>
      </c>
      <c r="C876" s="81" t="str">
        <f t="array" ref="C876">XLOOKUP(B876,Reference!$A$2:$A$152,Reference!$B$2:$B$152)</f>
        <v>Kalimantan Utara</v>
      </c>
      <c r="D876" s="82" t="s">
        <v>1315</v>
      </c>
      <c r="E876" s="83">
        <v>45352.0</v>
      </c>
      <c r="F876" s="84" t="str">
        <f t="array" ref="F876">XLOOKUP(G876,Reference!$F:$F,Reference!$D:$D,"null")</f>
        <v>Pendidikan dan Kesehatan</v>
      </c>
      <c r="G876" s="85" t="s">
        <v>95</v>
      </c>
      <c r="H876" s="86">
        <v>100.0</v>
      </c>
      <c r="I876" s="86">
        <v>100.0</v>
      </c>
      <c r="J876" s="87">
        <f t="shared" si="2"/>
        <v>0</v>
      </c>
      <c r="K876" s="84" t="str">
        <f t="shared" si="3"/>
        <v>Stabil</v>
      </c>
      <c r="L876" s="84">
        <f t="shared" si="4"/>
        <v>0</v>
      </c>
      <c r="M876" s="88" t="str">
        <f t="shared" si="5"/>
        <v>Perubahan Normal</v>
      </c>
    </row>
    <row r="877" ht="18.75" customHeight="1">
      <c r="A877" s="80" t="s">
        <v>920</v>
      </c>
      <c r="B877" s="81" t="str">
        <f t="shared" si="1"/>
        <v>Kab Deli Serdang</v>
      </c>
      <c r="C877" s="81" t="str">
        <f t="array" ref="C877">XLOOKUP(B877,Reference!$A$2:$A$152,Reference!$B$2:$B$152)</f>
        <v>Sumatera Utara</v>
      </c>
      <c r="D877" s="82" t="s">
        <v>1316</v>
      </c>
      <c r="E877" s="83">
        <v>45323.0</v>
      </c>
      <c r="F877" s="84" t="str">
        <f t="array" ref="F877">XLOOKUP(G877,Reference!$F:$F,Reference!$D:$D,"null")</f>
        <v>Makanan dan Pakaian </v>
      </c>
      <c r="G877" s="85" t="s">
        <v>72</v>
      </c>
      <c r="H877" s="86">
        <v>101.75</v>
      </c>
      <c r="I877" s="86">
        <v>101.75</v>
      </c>
      <c r="J877" s="87">
        <f t="shared" si="2"/>
        <v>0</v>
      </c>
      <c r="K877" s="84" t="str">
        <f t="shared" si="3"/>
        <v>Stabil</v>
      </c>
      <c r="L877" s="84">
        <f t="shared" si="4"/>
        <v>0</v>
      </c>
      <c r="M877" s="88" t="str">
        <f t="shared" si="5"/>
        <v>Perubahan Normal</v>
      </c>
    </row>
    <row r="878" ht="18.75" customHeight="1">
      <c r="A878" s="80" t="s">
        <v>349</v>
      </c>
      <c r="B878" s="81" t="str">
        <f t="shared" si="1"/>
        <v>Kota Banjarmasin</v>
      </c>
      <c r="C878" s="81" t="str">
        <f t="array" ref="C878">XLOOKUP(B878,Reference!$A$2:$A$152,Reference!$B$2:$B$152)</f>
        <v>Kalimantan Selatan</v>
      </c>
      <c r="D878" s="82" t="s">
        <v>1317</v>
      </c>
      <c r="E878" s="83">
        <v>45323.0</v>
      </c>
      <c r="F878" s="84" t="str">
        <f t="array" ref="F878">XLOOKUP(G878,Reference!$F:$F,Reference!$D:$D,"null")</f>
        <v>Rekreasi dan Kendaraan</v>
      </c>
      <c r="G878" s="85" t="s">
        <v>105</v>
      </c>
      <c r="H878" s="86">
        <v>107.55</v>
      </c>
      <c r="I878" s="86">
        <v>107.45</v>
      </c>
      <c r="J878" s="87">
        <f t="shared" si="2"/>
        <v>0.09306654258</v>
      </c>
      <c r="K878" s="84" t="str">
        <f t="shared" si="3"/>
        <v>Inflasi Normal</v>
      </c>
      <c r="L878" s="84">
        <f t="shared" si="4"/>
        <v>0.1</v>
      </c>
      <c r="M878" s="88" t="str">
        <f t="shared" si="5"/>
        <v>Perubahan Normal</v>
      </c>
    </row>
    <row r="879" ht="18.75" customHeight="1">
      <c r="A879" s="80" t="s">
        <v>508</v>
      </c>
      <c r="B879" s="81" t="str">
        <f t="shared" si="1"/>
        <v>Kab Minahasa Selatan</v>
      </c>
      <c r="C879" s="81" t="str">
        <f t="array" ref="C879">XLOOKUP(B879,Reference!$A$2:$A$152,Reference!$B$2:$B$152)</f>
        <v>Sulawesi Utara</v>
      </c>
      <c r="D879" s="82" t="s">
        <v>1318</v>
      </c>
      <c r="E879" s="83">
        <v>45323.0</v>
      </c>
      <c r="F879" s="84" t="str">
        <f t="array" ref="F879">XLOOKUP(G879,Reference!$F:$F,Reference!$D:$D,"null")</f>
        <v>Rekreasi dan Kendaraan</v>
      </c>
      <c r="G879" s="85" t="s">
        <v>105</v>
      </c>
      <c r="H879" s="86">
        <v>101.15</v>
      </c>
      <c r="I879" s="86">
        <v>101.15</v>
      </c>
      <c r="J879" s="87">
        <f t="shared" si="2"/>
        <v>0</v>
      </c>
      <c r="K879" s="84" t="str">
        <f t="shared" si="3"/>
        <v>Stabil</v>
      </c>
      <c r="L879" s="84">
        <f t="shared" si="4"/>
        <v>0</v>
      </c>
      <c r="M879" s="88" t="str">
        <f t="shared" si="5"/>
        <v>Perubahan Normal</v>
      </c>
    </row>
    <row r="880" ht="18.75" customHeight="1">
      <c r="A880" s="80" t="s">
        <v>393</v>
      </c>
      <c r="B880" s="81" t="str">
        <f t="shared" si="1"/>
        <v>Kab Sumbawa</v>
      </c>
      <c r="C880" s="81" t="str">
        <f t="array" ref="C880">XLOOKUP(B880,Reference!$A$2:$A$152,Reference!$B$2:$B$152)</f>
        <v>Nusa Tenggara Barat (NTB)</v>
      </c>
      <c r="D880" s="82" t="s">
        <v>1319</v>
      </c>
      <c r="E880" s="83">
        <v>45323.0</v>
      </c>
      <c r="F880" s="84" t="str">
        <f t="array" ref="F880">XLOOKUP(G880,Reference!$F:$F,Reference!$D:$D,"null")</f>
        <v>Makanan dan Pakaian </v>
      </c>
      <c r="G880" s="85" t="s">
        <v>64</v>
      </c>
      <c r="H880" s="86">
        <v>106.64</v>
      </c>
      <c r="I880" s="86">
        <v>106.64</v>
      </c>
      <c r="J880" s="87">
        <f t="shared" si="2"/>
        <v>0</v>
      </c>
      <c r="K880" s="84" t="str">
        <f t="shared" si="3"/>
        <v>Stabil</v>
      </c>
      <c r="L880" s="84">
        <f t="shared" si="4"/>
        <v>0</v>
      </c>
      <c r="M880" s="88" t="str">
        <f t="shared" si="5"/>
        <v>Perubahan Normal</v>
      </c>
    </row>
    <row r="881" ht="18.75" customHeight="1">
      <c r="A881" s="80" t="s">
        <v>598</v>
      </c>
      <c r="B881" s="81" t="str">
        <f t="shared" si="1"/>
        <v>Kota Surakarta</v>
      </c>
      <c r="C881" s="81" t="str">
        <f t="array" ref="C881">XLOOKUP(B881,Reference!$A$2:$A$152,Reference!$B$2:$B$152)</f>
        <v>Jawa Tengah</v>
      </c>
      <c r="D881" s="82" t="s">
        <v>1320</v>
      </c>
      <c r="E881" s="83">
        <v>45323.0</v>
      </c>
      <c r="F881" s="84" t="str">
        <f t="array" ref="F881">XLOOKUP(G881,Reference!$F:$F,Reference!$D:$D,"null")</f>
        <v>Makanan dan Pakaian </v>
      </c>
      <c r="G881" s="85" t="s">
        <v>48</v>
      </c>
      <c r="H881" s="86">
        <v>113.45</v>
      </c>
      <c r="I881" s="86">
        <v>110.11</v>
      </c>
      <c r="J881" s="87">
        <f t="shared" si="2"/>
        <v>3.033330306</v>
      </c>
      <c r="K881" s="84" t="str">
        <f t="shared" si="3"/>
        <v>Inflasi Tinggi</v>
      </c>
      <c r="L881" s="84">
        <f t="shared" si="4"/>
        <v>3.34</v>
      </c>
      <c r="M881" s="88" t="str">
        <f t="shared" si="5"/>
        <v>Akselerasi Kuat</v>
      </c>
    </row>
    <row r="882" ht="18.75" customHeight="1">
      <c r="A882" s="80" t="s">
        <v>391</v>
      </c>
      <c r="B882" s="81" t="str">
        <f t="shared" si="1"/>
        <v>Kota Batam</v>
      </c>
      <c r="C882" s="81" t="str">
        <f t="array" ref="C882">XLOOKUP(B882,Reference!$A$2:$A$152,Reference!$B$2:$B$152)</f>
        <v>Kepulauan Riau</v>
      </c>
      <c r="D882" s="82" t="s">
        <v>1321</v>
      </c>
      <c r="E882" s="83">
        <v>45352.0</v>
      </c>
      <c r="F882" s="84" t="str">
        <f t="array" ref="F882">XLOOKUP(G882,Reference!$F:$F,Reference!$D:$D,"null")</f>
        <v>Makanan dan Pakaian </v>
      </c>
      <c r="G882" s="85" t="s">
        <v>64</v>
      </c>
      <c r="H882" s="86">
        <v>105.69</v>
      </c>
      <c r="I882" s="86">
        <v>105.38</v>
      </c>
      <c r="J882" s="87">
        <f t="shared" si="2"/>
        <v>0.2941734675</v>
      </c>
      <c r="K882" s="84" t="str">
        <f t="shared" si="3"/>
        <v>Inflasi Normal</v>
      </c>
      <c r="L882" s="84">
        <f t="shared" si="4"/>
        <v>0.31</v>
      </c>
      <c r="M882" s="88" t="str">
        <f t="shared" si="5"/>
        <v>Perubahan Normal</v>
      </c>
    </row>
    <row r="883" ht="18.75" customHeight="1">
      <c r="A883" s="80" t="s">
        <v>550</v>
      </c>
      <c r="B883" s="81" t="str">
        <f t="shared" si="1"/>
        <v>Kota Sukabumi</v>
      </c>
      <c r="C883" s="81" t="str">
        <f t="array" ref="C883">XLOOKUP(B883,Reference!$A$2:$A$152,Reference!$B$2:$B$152)</f>
        <v>Jawa Barat</v>
      </c>
      <c r="D883" s="82" t="s">
        <v>1322</v>
      </c>
      <c r="E883" s="83">
        <v>45323.0</v>
      </c>
      <c r="F883" s="84" t="str">
        <f t="array" ref="F883">XLOOKUP(G883,Reference!$F:$F,Reference!$D:$D,"null")</f>
        <v>Rumah Tangga</v>
      </c>
      <c r="G883" s="89" t="s">
        <v>89</v>
      </c>
      <c r="H883" s="90">
        <v>103.16</v>
      </c>
      <c r="I883" s="90">
        <v>103.16</v>
      </c>
      <c r="J883" s="87">
        <f t="shared" si="2"/>
        <v>0</v>
      </c>
      <c r="K883" s="84" t="str">
        <f t="shared" si="3"/>
        <v>Stabil</v>
      </c>
      <c r="L883" s="91">
        <f t="shared" si="4"/>
        <v>0</v>
      </c>
      <c r="M883" s="88" t="str">
        <f t="shared" si="5"/>
        <v>Perubahan Normal</v>
      </c>
    </row>
    <row r="884" ht="18.75" customHeight="1">
      <c r="A884" s="80" t="s">
        <v>318</v>
      </c>
      <c r="B884" s="81" t="str">
        <f t="shared" si="1"/>
        <v>Tanjung</v>
      </c>
      <c r="C884" s="81" t="str">
        <f t="array" ref="C884">XLOOKUP(B884,Reference!$A$2:$A$152,Reference!$B$2:$B$152)</f>
        <v>Kalimantan Selatan</v>
      </c>
      <c r="D884" s="82" t="s">
        <v>1323</v>
      </c>
      <c r="E884" s="83">
        <v>45323.0</v>
      </c>
      <c r="F884" s="84" t="str">
        <f t="array" ref="F884">XLOOKUP(G884,Reference!$F:$F,Reference!$D:$D,"null")</f>
        <v>Pendidikan dan Kesehatan</v>
      </c>
      <c r="G884" s="85" t="s">
        <v>95</v>
      </c>
      <c r="H884" s="86">
        <v>99.92</v>
      </c>
      <c r="I884" s="86">
        <v>99.92</v>
      </c>
      <c r="J884" s="87">
        <f t="shared" si="2"/>
        <v>0</v>
      </c>
      <c r="K884" s="84" t="str">
        <f t="shared" si="3"/>
        <v>Stabil</v>
      </c>
      <c r="L884" s="84">
        <f t="shared" si="4"/>
        <v>0</v>
      </c>
      <c r="M884" s="88" t="str">
        <f t="shared" si="5"/>
        <v>Perubahan Normal</v>
      </c>
    </row>
    <row r="885" ht="18.75" customHeight="1">
      <c r="A885" s="80" t="s">
        <v>304</v>
      </c>
      <c r="B885" s="81" t="str">
        <f t="shared" si="1"/>
        <v>Kota Kediri</v>
      </c>
      <c r="C885" s="81" t="str">
        <f t="array" ref="C885">XLOOKUP(B885,Reference!$A$2:$A$152,Reference!$B$2:$B$152)</f>
        <v>Jawa Timur</v>
      </c>
      <c r="D885" s="82" t="s">
        <v>1324</v>
      </c>
      <c r="E885" s="83">
        <v>45323.0</v>
      </c>
      <c r="F885" s="84" t="str">
        <f t="array" ref="F885">XLOOKUP(G885,Reference!$F:$F,Reference!$D:$D,"null")</f>
        <v>Pendidikan dan Kesehatan</v>
      </c>
      <c r="G885" s="85" t="s">
        <v>98</v>
      </c>
      <c r="H885" s="86">
        <v>100.24</v>
      </c>
      <c r="I885" s="86">
        <v>100.09</v>
      </c>
      <c r="J885" s="87">
        <f t="shared" si="2"/>
        <v>0.1498651214</v>
      </c>
      <c r="K885" s="84" t="str">
        <f t="shared" si="3"/>
        <v>Inflasi Normal</v>
      </c>
      <c r="L885" s="84">
        <f t="shared" si="4"/>
        <v>0.15</v>
      </c>
      <c r="M885" s="88" t="str">
        <f t="shared" si="5"/>
        <v>Perubahan Normal</v>
      </c>
    </row>
    <row r="886" ht="18.75" customHeight="1">
      <c r="A886" s="80" t="s">
        <v>421</v>
      </c>
      <c r="B886" s="81" t="str">
        <f t="shared" si="1"/>
        <v>Kab Halmahera Tengah</v>
      </c>
      <c r="C886" s="81" t="str">
        <f t="array" ref="C886">XLOOKUP(B886,Reference!$A$2:$A$152,Reference!$B$2:$B$152)</f>
        <v>Maluku Utara</v>
      </c>
      <c r="D886" s="82" t="s">
        <v>1325</v>
      </c>
      <c r="E886" s="83">
        <v>45323.0</v>
      </c>
      <c r="F886" s="84" t="str">
        <f t="array" ref="F886">XLOOKUP(G886,Reference!$F:$F,Reference!$D:$D,"null")</f>
        <v>Makanan dan Pakaian </v>
      </c>
      <c r="G886" s="85" t="s">
        <v>56</v>
      </c>
      <c r="H886" s="86">
        <v>106.01</v>
      </c>
      <c r="I886" s="86">
        <v>105.67</v>
      </c>
      <c r="J886" s="87">
        <f t="shared" si="2"/>
        <v>0.3217564115</v>
      </c>
      <c r="K886" s="84" t="str">
        <f t="shared" si="3"/>
        <v>Inflasi Normal</v>
      </c>
      <c r="L886" s="84">
        <f t="shared" si="4"/>
        <v>0.34</v>
      </c>
      <c r="M886" s="88" t="str">
        <f t="shared" si="5"/>
        <v>Perubahan Normal</v>
      </c>
    </row>
    <row r="887" ht="18.75" customHeight="1">
      <c r="A887" s="80" t="s">
        <v>814</v>
      </c>
      <c r="B887" s="81" t="str">
        <f t="shared" si="1"/>
        <v>Kota Samarinda</v>
      </c>
      <c r="C887" s="81" t="str">
        <f t="array" ref="C887">XLOOKUP(B887,Reference!$A$2:$A$152,Reference!$B$2:$B$152)</f>
        <v>Kalimantan Timur</v>
      </c>
      <c r="D887" s="82" t="s">
        <v>1326</v>
      </c>
      <c r="E887" s="83">
        <v>45323.0</v>
      </c>
      <c r="F887" s="84" t="str">
        <f t="array" ref="F887">XLOOKUP(G887,Reference!$F:$F,Reference!$D:$D,"null")</f>
        <v>Makanan dan Pakaian </v>
      </c>
      <c r="G887" s="85" t="s">
        <v>64</v>
      </c>
      <c r="H887" s="86">
        <v>103.57</v>
      </c>
      <c r="I887" s="86">
        <v>103.34</v>
      </c>
      <c r="J887" s="87">
        <f t="shared" si="2"/>
        <v>0.222566286</v>
      </c>
      <c r="K887" s="84" t="str">
        <f t="shared" si="3"/>
        <v>Inflasi Normal</v>
      </c>
      <c r="L887" s="84">
        <f t="shared" si="4"/>
        <v>0.23</v>
      </c>
      <c r="M887" s="88" t="str">
        <f t="shared" si="5"/>
        <v>Perubahan Normal</v>
      </c>
    </row>
    <row r="888" ht="18.75" customHeight="1">
      <c r="A888" s="80" t="s">
        <v>442</v>
      </c>
      <c r="B888" s="81" t="str">
        <f t="shared" si="1"/>
        <v>Kota Cirebon</v>
      </c>
      <c r="C888" s="81" t="str">
        <f t="array" ref="C888">XLOOKUP(B888,Reference!$A$2:$A$152,Reference!$B$2:$B$152)</f>
        <v>Jawa Barat</v>
      </c>
      <c r="D888" s="82" t="s">
        <v>1327</v>
      </c>
      <c r="E888" s="83">
        <v>45352.0</v>
      </c>
      <c r="F888" s="84" t="str">
        <f t="array" ref="F888">XLOOKUP(G888,Reference!$F:$F,Reference!$D:$D,"null")</f>
        <v>Makanan dan Pakaian </v>
      </c>
      <c r="G888" s="85" t="s">
        <v>72</v>
      </c>
      <c r="H888" s="86">
        <v>101.55</v>
      </c>
      <c r="I888" s="86">
        <v>101.25</v>
      </c>
      <c r="J888" s="87">
        <f t="shared" si="2"/>
        <v>0.2962962963</v>
      </c>
      <c r="K888" s="84" t="str">
        <f t="shared" si="3"/>
        <v>Inflasi Normal</v>
      </c>
      <c r="L888" s="84">
        <f t="shared" si="4"/>
        <v>0.3</v>
      </c>
      <c r="M888" s="88" t="str">
        <f t="shared" si="5"/>
        <v>Perubahan Normal</v>
      </c>
    </row>
    <row r="889" ht="18.75" customHeight="1">
      <c r="A889" s="80" t="s">
        <v>358</v>
      </c>
      <c r="B889" s="81" t="str">
        <f t="shared" si="1"/>
        <v>Kab Minahasa Utara</v>
      </c>
      <c r="C889" s="81" t="str">
        <f t="array" ref="C889">XLOOKUP(B889,Reference!$A$2:$A$152,Reference!$B$2:$B$152)</f>
        <v>Sulawesi Utara</v>
      </c>
      <c r="D889" s="82" t="s">
        <v>1328</v>
      </c>
      <c r="E889" s="83">
        <v>45352.0</v>
      </c>
      <c r="F889" s="84" t="str">
        <f t="array" ref="F889">XLOOKUP(G889,Reference!$F:$F,Reference!$D:$D,"null")</f>
        <v>Rumah Tangga</v>
      </c>
      <c r="G889" s="89" t="s">
        <v>84</v>
      </c>
      <c r="H889" s="90">
        <v>99.59</v>
      </c>
      <c r="I889" s="90">
        <v>99.59</v>
      </c>
      <c r="J889" s="87">
        <f t="shared" si="2"/>
        <v>0</v>
      </c>
      <c r="K889" s="84" t="str">
        <f t="shared" si="3"/>
        <v>Stabil</v>
      </c>
      <c r="L889" s="91">
        <f t="shared" si="4"/>
        <v>0</v>
      </c>
      <c r="M889" s="88" t="str">
        <f t="shared" si="5"/>
        <v>Perubahan Normal</v>
      </c>
    </row>
    <row r="890" ht="18.75" customHeight="1">
      <c r="A890" s="80" t="s">
        <v>364</v>
      </c>
      <c r="B890" s="81" t="str">
        <f t="shared" si="1"/>
        <v>Kab Tanah Laut</v>
      </c>
      <c r="C890" s="81" t="str">
        <f t="array" ref="C890">XLOOKUP(B890,Reference!$A$2:$A$152,Reference!$B$2:$B$152)</f>
        <v>Kalimantan Selatan</v>
      </c>
      <c r="D890" s="82" t="s">
        <v>1329</v>
      </c>
      <c r="E890" s="83">
        <v>45352.0</v>
      </c>
      <c r="F890" s="84" t="str">
        <f t="array" ref="F890">XLOOKUP(G890,Reference!$F:$F,Reference!$D:$D,"null")</f>
        <v>Makanan dan Pakaian </v>
      </c>
      <c r="G890" s="85" t="s">
        <v>48</v>
      </c>
      <c r="H890" s="86">
        <v>109.11</v>
      </c>
      <c r="I890" s="86">
        <v>107.79</v>
      </c>
      <c r="J890" s="87">
        <f t="shared" si="2"/>
        <v>1.224603395</v>
      </c>
      <c r="K890" s="84" t="str">
        <f t="shared" si="3"/>
        <v>Inflasi Tinggi</v>
      </c>
      <c r="L890" s="84">
        <f t="shared" si="4"/>
        <v>1.32</v>
      </c>
      <c r="M890" s="88" t="str">
        <f t="shared" si="5"/>
        <v>Akselerasi Persentase</v>
      </c>
    </row>
    <row r="891" ht="18.75" customHeight="1">
      <c r="A891" s="80" t="s">
        <v>326</v>
      </c>
      <c r="B891" s="81" t="str">
        <f t="shared" si="1"/>
        <v>Luwuk</v>
      </c>
      <c r="C891" s="81" t="str">
        <f t="array" ref="C891">XLOOKUP(B891,Reference!$A$2:$A$152,Reference!$B$2:$B$152)</f>
        <v>Sulawesi Tengah</v>
      </c>
      <c r="D891" s="82" t="s">
        <v>1330</v>
      </c>
      <c r="E891" s="83">
        <v>45352.0</v>
      </c>
      <c r="F891" s="84" t="str">
        <f t="array" ref="F891">XLOOKUP(G891,Reference!$F:$F,Reference!$D:$D,"null")</f>
        <v>Pendidikan dan Kesehatan</v>
      </c>
      <c r="G891" s="85" t="s">
        <v>95</v>
      </c>
      <c r="H891" s="86">
        <v>100.34</v>
      </c>
      <c r="I891" s="86">
        <v>100.34</v>
      </c>
      <c r="J891" s="87">
        <f t="shared" si="2"/>
        <v>0</v>
      </c>
      <c r="K891" s="84" t="str">
        <f t="shared" si="3"/>
        <v>Stabil</v>
      </c>
      <c r="L891" s="84">
        <f t="shared" si="4"/>
        <v>0</v>
      </c>
      <c r="M891" s="88" t="str">
        <f t="shared" si="5"/>
        <v>Perubahan Normal</v>
      </c>
    </row>
    <row r="892" ht="18.75" customHeight="1">
      <c r="A892" s="80" t="s">
        <v>600</v>
      </c>
      <c r="B892" s="81" t="str">
        <f t="shared" si="1"/>
        <v>Kota Banda Aceh</v>
      </c>
      <c r="C892" s="81" t="str">
        <f t="array" ref="C892">XLOOKUP(B892,Reference!$A$2:$A$152,Reference!$B$2:$B$152)</f>
        <v>Aceh</v>
      </c>
      <c r="D892" s="82" t="s">
        <v>1331</v>
      </c>
      <c r="E892" s="83">
        <v>45323.0</v>
      </c>
      <c r="F892" s="84" t="str">
        <f t="array" ref="F892">XLOOKUP(G892,Reference!$F:$F,Reference!$D:$D,"null")</f>
        <v>Pendidikan dan Kesehatan</v>
      </c>
      <c r="G892" s="85" t="s">
        <v>98</v>
      </c>
      <c r="H892" s="86">
        <v>106.63</v>
      </c>
      <c r="I892" s="86">
        <v>106.63</v>
      </c>
      <c r="J892" s="87">
        <f t="shared" si="2"/>
        <v>0</v>
      </c>
      <c r="K892" s="84" t="str">
        <f t="shared" si="3"/>
        <v>Stabil</v>
      </c>
      <c r="L892" s="84">
        <f t="shared" si="4"/>
        <v>0</v>
      </c>
      <c r="M892" s="88" t="str">
        <f t="shared" si="5"/>
        <v>Perubahan Normal</v>
      </c>
    </row>
    <row r="893" ht="18.75" customHeight="1">
      <c r="A893" s="80" t="s">
        <v>425</v>
      </c>
      <c r="B893" s="81" t="str">
        <f t="shared" si="1"/>
        <v>Kab Gorontalo</v>
      </c>
      <c r="C893" s="81" t="str">
        <f t="array" ref="C893">XLOOKUP(B893,Reference!$A$2:$A$152,Reference!$B$2:$B$152)</f>
        <v>Gorontalo</v>
      </c>
      <c r="D893" s="82" t="s">
        <v>1332</v>
      </c>
      <c r="E893" s="83">
        <v>45323.0</v>
      </c>
      <c r="F893" s="84" t="str">
        <f t="array" ref="F893">XLOOKUP(G893,Reference!$F:$F,Reference!$D:$D,"null")</f>
        <v>Makanan dan Pakaian </v>
      </c>
      <c r="G893" s="85" t="s">
        <v>64</v>
      </c>
      <c r="H893" s="86">
        <v>99.99</v>
      </c>
      <c r="I893" s="86">
        <v>100.0</v>
      </c>
      <c r="J893" s="87">
        <f t="shared" si="2"/>
        <v>-0.01</v>
      </c>
      <c r="K893" s="84" t="str">
        <f t="shared" si="3"/>
        <v>Deflasi</v>
      </c>
      <c r="L893" s="84">
        <f t="shared" si="4"/>
        <v>-0.01</v>
      </c>
      <c r="M893" s="88" t="str">
        <f t="shared" si="5"/>
        <v>Perubahan Normal</v>
      </c>
    </row>
    <row r="894" ht="18.75" customHeight="1">
      <c r="A894" s="80" t="s">
        <v>406</v>
      </c>
      <c r="B894" s="81" t="str">
        <f t="shared" si="1"/>
        <v>Kota Tasikmalaya</v>
      </c>
      <c r="C894" s="81" t="str">
        <f t="array" ref="C894">XLOOKUP(B894,Reference!$A$2:$A$152,Reference!$B$2:$B$152)</f>
        <v>Jawa Barat</v>
      </c>
      <c r="D894" s="82" t="s">
        <v>1333</v>
      </c>
      <c r="E894" s="83">
        <v>45352.0</v>
      </c>
      <c r="F894" s="84" t="str">
        <f t="array" ref="F894">XLOOKUP(G894,Reference!$F:$F,Reference!$D:$D,"null")</f>
        <v>Pendidikan dan Kesehatan</v>
      </c>
      <c r="G894" s="85" t="s">
        <v>98</v>
      </c>
      <c r="H894" s="86">
        <v>103.28</v>
      </c>
      <c r="I894" s="86">
        <v>103.22</v>
      </c>
      <c r="J894" s="87">
        <f t="shared" si="2"/>
        <v>0.05812826972</v>
      </c>
      <c r="K894" s="84" t="str">
        <f t="shared" si="3"/>
        <v>Inflasi Normal</v>
      </c>
      <c r="L894" s="84">
        <f t="shared" si="4"/>
        <v>0.06</v>
      </c>
      <c r="M894" s="88" t="str">
        <f t="shared" si="5"/>
        <v>Perubahan Normal</v>
      </c>
    </row>
    <row r="895" ht="18.75" customHeight="1">
      <c r="A895" s="80" t="s">
        <v>654</v>
      </c>
      <c r="B895" s="81" t="str">
        <f t="shared" si="1"/>
        <v>Kab Aceh Tengah</v>
      </c>
      <c r="C895" s="81" t="str">
        <f t="array" ref="C895">XLOOKUP(B895,Reference!$A$2:$A$152,Reference!$B$2:$B$152)</f>
        <v>Aceh</v>
      </c>
      <c r="D895" s="82" t="s">
        <v>1334</v>
      </c>
      <c r="E895" s="83">
        <v>45352.0</v>
      </c>
      <c r="F895" s="84" t="str">
        <f t="array" ref="F895">XLOOKUP(G895,Reference!$F:$F,Reference!$D:$D,"null")</f>
        <v>Makanan dan Pakaian </v>
      </c>
      <c r="G895" s="85" t="s">
        <v>48</v>
      </c>
      <c r="H895" s="86">
        <v>112.0</v>
      </c>
      <c r="I895" s="86">
        <v>111.31</v>
      </c>
      <c r="J895" s="87">
        <f t="shared" si="2"/>
        <v>0.6198903962</v>
      </c>
      <c r="K895" s="84" t="str">
        <f t="shared" si="3"/>
        <v>Inflasi Tinggi</v>
      </c>
      <c r="L895" s="84">
        <f t="shared" si="4"/>
        <v>0.69</v>
      </c>
      <c r="M895" s="88" t="str">
        <f t="shared" si="5"/>
        <v>Akselerasi Persentase</v>
      </c>
    </row>
    <row r="896" ht="18.75" customHeight="1">
      <c r="A896" s="80" t="s">
        <v>526</v>
      </c>
      <c r="B896" s="81" t="str">
        <f t="shared" si="1"/>
        <v>Maumere</v>
      </c>
      <c r="C896" s="81" t="str">
        <f t="array" ref="C896">XLOOKUP(B896,Reference!$A$2:$A$152,Reference!$B$2:$B$152)</f>
        <v>Nusa Tenggara Timur (NTT)</v>
      </c>
      <c r="D896" s="82" t="s">
        <v>1335</v>
      </c>
      <c r="E896" s="83">
        <v>45323.0</v>
      </c>
      <c r="F896" s="84" t="str">
        <f t="array" ref="F896">XLOOKUP(G896,Reference!$F:$F,Reference!$D:$D,"null")</f>
        <v>Makanan dan Pakaian </v>
      </c>
      <c r="G896" s="85" t="s">
        <v>72</v>
      </c>
      <c r="H896" s="86">
        <v>101.72</v>
      </c>
      <c r="I896" s="86">
        <v>101.72</v>
      </c>
      <c r="J896" s="87">
        <f t="shared" si="2"/>
        <v>0</v>
      </c>
      <c r="K896" s="84" t="str">
        <f t="shared" si="3"/>
        <v>Stabil</v>
      </c>
      <c r="L896" s="84">
        <f t="shared" si="4"/>
        <v>0</v>
      </c>
      <c r="M896" s="88" t="str">
        <f t="shared" si="5"/>
        <v>Perubahan Normal</v>
      </c>
    </row>
    <row r="897" ht="18.75" customHeight="1">
      <c r="A897" s="80" t="s">
        <v>425</v>
      </c>
      <c r="B897" s="81" t="str">
        <f t="shared" si="1"/>
        <v>Kab Gorontalo</v>
      </c>
      <c r="C897" s="81" t="str">
        <f t="array" ref="C897">XLOOKUP(B897,Reference!$A$2:$A$152,Reference!$B$2:$B$152)</f>
        <v>Gorontalo</v>
      </c>
      <c r="D897" s="82" t="s">
        <v>1336</v>
      </c>
      <c r="E897" s="83">
        <v>45352.0</v>
      </c>
      <c r="F897" s="84" t="str">
        <f t="array" ref="F897">XLOOKUP(G897,Reference!$F:$F,Reference!$D:$D,"null")</f>
        <v>Makanan dan Pakaian </v>
      </c>
      <c r="G897" s="85" t="s">
        <v>64</v>
      </c>
      <c r="H897" s="86">
        <v>100.29</v>
      </c>
      <c r="I897" s="86">
        <v>99.99</v>
      </c>
      <c r="J897" s="87">
        <f t="shared" si="2"/>
        <v>0.300030003</v>
      </c>
      <c r="K897" s="84" t="str">
        <f t="shared" si="3"/>
        <v>Inflasi Normal</v>
      </c>
      <c r="L897" s="84">
        <f t="shared" si="4"/>
        <v>0.3</v>
      </c>
      <c r="M897" s="88" t="str">
        <f t="shared" si="5"/>
        <v>Perubahan Normal</v>
      </c>
    </row>
    <row r="898" ht="18.75" customHeight="1">
      <c r="A898" s="80" t="s">
        <v>438</v>
      </c>
      <c r="B898" s="81" t="str">
        <f t="shared" si="1"/>
        <v>Kab Muara Enim</v>
      </c>
      <c r="C898" s="81" t="str">
        <f t="array" ref="C898">XLOOKUP(B898,Reference!$A$2:$A$152,Reference!$B$2:$B$152)</f>
        <v>Sumatera Selatan</v>
      </c>
      <c r="D898" s="82" t="s">
        <v>1337</v>
      </c>
      <c r="E898" s="83">
        <v>45323.0</v>
      </c>
      <c r="F898" s="84" t="str">
        <f t="array" ref="F898">XLOOKUP(G898,Reference!$F:$F,Reference!$D:$D,"null")</f>
        <v>Rumah Tangga</v>
      </c>
      <c r="G898" s="85" t="s">
        <v>84</v>
      </c>
      <c r="H898" s="86">
        <v>94.78</v>
      </c>
      <c r="I898" s="86">
        <v>94.92</v>
      </c>
      <c r="J898" s="87">
        <f t="shared" si="2"/>
        <v>-0.1474926254</v>
      </c>
      <c r="K898" s="84" t="str">
        <f t="shared" si="3"/>
        <v>Deflasi</v>
      </c>
      <c r="L898" s="84">
        <f t="shared" si="4"/>
        <v>-0.14</v>
      </c>
      <c r="M898" s="88" t="str">
        <f t="shared" si="5"/>
        <v>Perubahan Normal</v>
      </c>
    </row>
    <row r="899" ht="18.75" customHeight="1">
      <c r="A899" s="80" t="s">
        <v>462</v>
      </c>
      <c r="B899" s="81" t="str">
        <f t="shared" si="1"/>
        <v>Kota Probolinggo</v>
      </c>
      <c r="C899" s="81" t="str">
        <f t="array" ref="C899">XLOOKUP(B899,Reference!$A$2:$A$152,Reference!$B$2:$B$152)</f>
        <v>Jawa Timur</v>
      </c>
      <c r="D899" s="82" t="s">
        <v>1338</v>
      </c>
      <c r="E899" s="83">
        <v>45352.0</v>
      </c>
      <c r="F899" s="84" t="str">
        <f t="array" ref="F899">XLOOKUP(G899,Reference!$F:$F,Reference!$D:$D,"null")</f>
        <v>Pendidikan dan Kesehatan</v>
      </c>
      <c r="G899" s="89" t="s">
        <v>98</v>
      </c>
      <c r="H899" s="90">
        <v>104.68</v>
      </c>
      <c r="I899" s="90">
        <v>104.67</v>
      </c>
      <c r="J899" s="87">
        <f t="shared" si="2"/>
        <v>0.009553835865</v>
      </c>
      <c r="K899" s="84" t="str">
        <f t="shared" si="3"/>
        <v>Inflasi Normal</v>
      </c>
      <c r="L899" s="91">
        <f t="shared" si="4"/>
        <v>0.01</v>
      </c>
      <c r="M899" s="88" t="str">
        <f t="shared" si="5"/>
        <v>Perubahan Normal</v>
      </c>
    </row>
    <row r="900" ht="18.75" customHeight="1">
      <c r="A900" s="80" t="s">
        <v>417</v>
      </c>
      <c r="B900" s="81" t="str">
        <f t="shared" si="1"/>
        <v>Kotabaru</v>
      </c>
      <c r="C900" s="81" t="str">
        <f t="array" ref="C900">XLOOKUP(B900,Reference!$A$2:$A$152,Reference!$B$2:$B$152)</f>
        <v>Kalimantan Selatan</v>
      </c>
      <c r="D900" s="82" t="s">
        <v>1339</v>
      </c>
      <c r="E900" s="83">
        <v>45352.0</v>
      </c>
      <c r="F900" s="84" t="str">
        <f t="array" ref="F900">XLOOKUP(G900,Reference!$F:$F,Reference!$D:$D,"null")</f>
        <v>Rekreasi dan Kendaraan</v>
      </c>
      <c r="G900" s="89" t="s">
        <v>105</v>
      </c>
      <c r="H900" s="90">
        <v>105.68</v>
      </c>
      <c r="I900" s="90">
        <v>105.68</v>
      </c>
      <c r="J900" s="87">
        <f t="shared" si="2"/>
        <v>0</v>
      </c>
      <c r="K900" s="84" t="str">
        <f t="shared" si="3"/>
        <v>Stabil</v>
      </c>
      <c r="L900" s="91">
        <f t="shared" si="4"/>
        <v>0</v>
      </c>
      <c r="M900" s="88" t="str">
        <f t="shared" si="5"/>
        <v>Perubahan Normal</v>
      </c>
    </row>
    <row r="901" ht="18.75" customHeight="1">
      <c r="A901" s="80" t="s">
        <v>329</v>
      </c>
      <c r="B901" s="81" t="str">
        <f t="shared" si="1"/>
        <v>Kab Penajam Paser Utara</v>
      </c>
      <c r="C901" s="81" t="str">
        <f t="array" ref="C901">XLOOKUP(B901,Reference!$A$2:$A$152,Reference!$B$2:$B$152)</f>
        <v>Kalimantan Timur</v>
      </c>
      <c r="D901" s="82" t="s">
        <v>1340</v>
      </c>
      <c r="E901" s="83">
        <v>45323.0</v>
      </c>
      <c r="F901" s="84" t="str">
        <f t="array" ref="F901">XLOOKUP(G901,Reference!$F:$F,Reference!$D:$D,"null")</f>
        <v>Rekreasi dan Kendaraan</v>
      </c>
      <c r="G901" s="85" t="s">
        <v>102</v>
      </c>
      <c r="H901" s="86">
        <v>113.42</v>
      </c>
      <c r="I901" s="86">
        <v>113.42</v>
      </c>
      <c r="J901" s="87">
        <f t="shared" si="2"/>
        <v>0</v>
      </c>
      <c r="K901" s="84" t="str">
        <f t="shared" si="3"/>
        <v>Stabil</v>
      </c>
      <c r="L901" s="84">
        <f t="shared" si="4"/>
        <v>0</v>
      </c>
      <c r="M901" s="88" t="str">
        <f t="shared" si="5"/>
        <v>Perubahan Normal</v>
      </c>
    </row>
    <row r="902" ht="18.75" customHeight="1">
      <c r="A902" s="80" t="s">
        <v>606</v>
      </c>
      <c r="B902" s="81" t="str">
        <f t="shared" si="1"/>
        <v>Kota Pare Pare</v>
      </c>
      <c r="C902" s="81" t="str">
        <f t="array" ref="C902">XLOOKUP(B902,Reference!$A$2:$A$152,Reference!$B$2:$B$152)</f>
        <v>Sulawesi Selatan</v>
      </c>
      <c r="D902" s="82" t="s">
        <v>1341</v>
      </c>
      <c r="E902" s="83">
        <v>45352.0</v>
      </c>
      <c r="F902" s="84" t="str">
        <f t="array" ref="F902">XLOOKUP(G902,Reference!$F:$F,Reference!$D:$D,"null")</f>
        <v>Pendidikan dan Kesehatan</v>
      </c>
      <c r="G902" s="85" t="s">
        <v>98</v>
      </c>
      <c r="H902" s="86">
        <v>103.3</v>
      </c>
      <c r="I902" s="86">
        <v>102.59</v>
      </c>
      <c r="J902" s="87">
        <f t="shared" si="2"/>
        <v>0.692075251</v>
      </c>
      <c r="K902" s="84" t="str">
        <f t="shared" si="3"/>
        <v>Inflasi Tinggi</v>
      </c>
      <c r="L902" s="84">
        <f t="shared" si="4"/>
        <v>0.71</v>
      </c>
      <c r="M902" s="88" t="str">
        <f t="shared" si="5"/>
        <v>Akselerasi Persentase</v>
      </c>
    </row>
    <row r="903" ht="18.75" customHeight="1">
      <c r="A903" s="80" t="s">
        <v>727</v>
      </c>
      <c r="B903" s="81" t="str">
        <f t="shared" si="1"/>
        <v>Kab Badung</v>
      </c>
      <c r="C903" s="81" t="str">
        <f t="array" ref="C903">XLOOKUP(B903,Reference!$A$2:$A$152,Reference!$B$2:$B$152)</f>
        <v>Bali</v>
      </c>
      <c r="D903" s="82" t="s">
        <v>1342</v>
      </c>
      <c r="E903" s="83">
        <v>45352.0</v>
      </c>
      <c r="F903" s="84" t="str">
        <f t="array" ref="F903">XLOOKUP(G903,Reference!$F:$F,Reference!$D:$D,"null")</f>
        <v>Makanan dan Pakaian </v>
      </c>
      <c r="G903" s="85" t="s">
        <v>48</v>
      </c>
      <c r="H903" s="86">
        <v>112.52</v>
      </c>
      <c r="I903" s="86">
        <v>108.84</v>
      </c>
      <c r="J903" s="87">
        <f t="shared" si="2"/>
        <v>3.381109886</v>
      </c>
      <c r="K903" s="84" t="str">
        <f t="shared" si="3"/>
        <v>Inflasi Tinggi</v>
      </c>
      <c r="L903" s="84">
        <f t="shared" si="4"/>
        <v>3.68</v>
      </c>
      <c r="M903" s="88" t="str">
        <f t="shared" si="5"/>
        <v>Akselerasi Kuat</v>
      </c>
    </row>
    <row r="904" ht="18.75" customHeight="1">
      <c r="A904" s="80" t="s">
        <v>762</v>
      </c>
      <c r="B904" s="81" t="str">
        <f t="shared" si="1"/>
        <v>Kota Pangkal Pinang</v>
      </c>
      <c r="C904" s="81" t="str">
        <f t="array" ref="C904">XLOOKUP(B904,Reference!$A$2:$A$152,Reference!$B$2:$B$152)</f>
        <v>Kepulauan Bangka Belitung</v>
      </c>
      <c r="D904" s="82" t="s">
        <v>1343</v>
      </c>
      <c r="E904" s="83">
        <v>45323.0</v>
      </c>
      <c r="F904" s="84" t="str">
        <f t="array" ref="F904">XLOOKUP(G904,Reference!$F:$F,Reference!$D:$D,"null")</f>
        <v>Makanan dan Pakaian </v>
      </c>
      <c r="G904" s="85" t="s">
        <v>48</v>
      </c>
      <c r="H904" s="86">
        <v>106.46</v>
      </c>
      <c r="I904" s="86">
        <v>104.56</v>
      </c>
      <c r="J904" s="87">
        <f t="shared" si="2"/>
        <v>1.817138485</v>
      </c>
      <c r="K904" s="84" t="str">
        <f t="shared" si="3"/>
        <v>Inflasi Tinggi</v>
      </c>
      <c r="L904" s="84">
        <f t="shared" si="4"/>
        <v>1.9</v>
      </c>
      <c r="M904" s="88" t="str">
        <f t="shared" si="5"/>
        <v>Akselerasi Persentase</v>
      </c>
    </row>
    <row r="905" ht="18.75" customHeight="1">
      <c r="A905" s="80" t="s">
        <v>335</v>
      </c>
      <c r="B905" s="81" t="str">
        <f t="shared" si="1"/>
        <v>Kab Wonogiri</v>
      </c>
      <c r="C905" s="81" t="str">
        <f t="array" ref="C905">XLOOKUP(B905,Reference!$A$2:$A$152,Reference!$B$2:$B$152)</f>
        <v>Jawa Tengah</v>
      </c>
      <c r="D905" s="82" t="s">
        <v>1344</v>
      </c>
      <c r="E905" s="83">
        <v>45352.0</v>
      </c>
      <c r="F905" s="84" t="str">
        <f t="array" ref="F905">XLOOKUP(G905,Reference!$F:$F,Reference!$D:$D,"null")</f>
        <v>Makanan dan Pakaian </v>
      </c>
      <c r="G905" s="85" t="s">
        <v>72</v>
      </c>
      <c r="H905" s="86">
        <v>104.2</v>
      </c>
      <c r="I905" s="86">
        <v>104.2</v>
      </c>
      <c r="J905" s="87">
        <f t="shared" si="2"/>
        <v>0</v>
      </c>
      <c r="K905" s="84" t="str">
        <f t="shared" si="3"/>
        <v>Stabil</v>
      </c>
      <c r="L905" s="84">
        <f t="shared" si="4"/>
        <v>0</v>
      </c>
      <c r="M905" s="88" t="str">
        <f t="shared" si="5"/>
        <v>Perubahan Normal</v>
      </c>
    </row>
    <row r="906" ht="18.75" customHeight="1">
      <c r="A906" s="80" t="s">
        <v>316</v>
      </c>
      <c r="B906" s="81" t="str">
        <f t="shared" si="1"/>
        <v>Singaraja</v>
      </c>
      <c r="C906" s="81" t="str">
        <f t="array" ref="C906">XLOOKUP(B906,Reference!$A$2:$A$152,Reference!$B$2:$B$152)</f>
        <v>Bali</v>
      </c>
      <c r="D906" s="82" t="s">
        <v>1345</v>
      </c>
      <c r="E906" s="83">
        <v>45352.0</v>
      </c>
      <c r="F906" s="84" t="str">
        <f t="array" ref="F906">XLOOKUP(G906,Reference!$F:$F,Reference!$D:$D,"null")</f>
        <v>Makanan dan Pakaian </v>
      </c>
      <c r="G906" s="85" t="s">
        <v>56</v>
      </c>
      <c r="H906" s="86">
        <v>103.79</v>
      </c>
      <c r="I906" s="86">
        <v>103.53</v>
      </c>
      <c r="J906" s="87">
        <f t="shared" si="2"/>
        <v>0.2511349367</v>
      </c>
      <c r="K906" s="84" t="str">
        <f t="shared" si="3"/>
        <v>Inflasi Normal</v>
      </c>
      <c r="L906" s="84">
        <f t="shared" si="4"/>
        <v>0.26</v>
      </c>
      <c r="M906" s="88" t="str">
        <f t="shared" si="5"/>
        <v>Perubahan Normal</v>
      </c>
    </row>
    <row r="907" ht="18.75" customHeight="1">
      <c r="A907" s="80" t="s">
        <v>423</v>
      </c>
      <c r="B907" s="81" t="str">
        <f t="shared" si="1"/>
        <v>Kota Kotamobagu</v>
      </c>
      <c r="C907" s="81" t="str">
        <f t="array" ref="C907">XLOOKUP(B907,Reference!$A$2:$A$152,Reference!$B$2:$B$152)</f>
        <v>Sulawesi Utara</v>
      </c>
      <c r="D907" s="82" t="s">
        <v>1346</v>
      </c>
      <c r="E907" s="83">
        <v>45352.0</v>
      </c>
      <c r="F907" s="84" t="str">
        <f t="array" ref="F907">XLOOKUP(G907,Reference!$F:$F,Reference!$D:$D,"null")</f>
        <v>Pendidikan dan Kesehatan</v>
      </c>
      <c r="G907" s="85" t="s">
        <v>95</v>
      </c>
      <c r="H907" s="86">
        <v>104.05</v>
      </c>
      <c r="I907" s="86">
        <v>104.05</v>
      </c>
      <c r="J907" s="87">
        <f t="shared" si="2"/>
        <v>0</v>
      </c>
      <c r="K907" s="84" t="str">
        <f t="shared" si="3"/>
        <v>Stabil</v>
      </c>
      <c r="L907" s="84">
        <f t="shared" si="4"/>
        <v>0</v>
      </c>
      <c r="M907" s="88" t="str">
        <f t="shared" si="5"/>
        <v>Perubahan Normal</v>
      </c>
    </row>
    <row r="908" ht="18.75" customHeight="1">
      <c r="A908" s="80" t="s">
        <v>515</v>
      </c>
      <c r="B908" s="81" t="str">
        <f t="shared" si="1"/>
        <v>Kab Gresik</v>
      </c>
      <c r="C908" s="81" t="str">
        <f t="array" ref="C908">XLOOKUP(B908,Reference!$A$2:$A$152,Reference!$B$2:$B$152)</f>
        <v>Jawa Timur</v>
      </c>
      <c r="D908" s="82" t="s">
        <v>1347</v>
      </c>
      <c r="E908" s="83">
        <v>45352.0</v>
      </c>
      <c r="F908" s="84" t="str">
        <f t="array" ref="F908">XLOOKUP(G908,Reference!$F:$F,Reference!$D:$D,"null")</f>
        <v>Rumah Tangga</v>
      </c>
      <c r="G908" s="85" t="s">
        <v>89</v>
      </c>
      <c r="H908" s="86">
        <v>104.89</v>
      </c>
      <c r="I908" s="86">
        <v>104.54</v>
      </c>
      <c r="J908" s="87">
        <f t="shared" si="2"/>
        <v>0.3348000765</v>
      </c>
      <c r="K908" s="84" t="str">
        <f t="shared" si="3"/>
        <v>Inflasi Normal</v>
      </c>
      <c r="L908" s="84">
        <f t="shared" si="4"/>
        <v>0.35</v>
      </c>
      <c r="M908" s="88" t="str">
        <f t="shared" si="5"/>
        <v>Perubahan Normal</v>
      </c>
    </row>
    <row r="909" ht="18.75" customHeight="1">
      <c r="A909" s="80" t="s">
        <v>423</v>
      </c>
      <c r="B909" s="81" t="str">
        <f t="shared" si="1"/>
        <v>Kota Kotamobagu</v>
      </c>
      <c r="C909" s="81" t="str">
        <f t="array" ref="C909">XLOOKUP(B909,Reference!$A$2:$A$152,Reference!$B$2:$B$152)</f>
        <v>Sulawesi Utara</v>
      </c>
      <c r="D909" s="82" t="s">
        <v>1348</v>
      </c>
      <c r="E909" s="83">
        <v>45352.0</v>
      </c>
      <c r="F909" s="84" t="str">
        <f t="array" ref="F909">XLOOKUP(G909,Reference!$F:$F,Reference!$D:$D,"null")</f>
        <v>Rekreasi dan Kendaraan</v>
      </c>
      <c r="G909" s="85" t="s">
        <v>102</v>
      </c>
      <c r="H909" s="86">
        <v>103.2</v>
      </c>
      <c r="I909" s="86">
        <v>103.2</v>
      </c>
      <c r="J909" s="87">
        <f t="shared" si="2"/>
        <v>0</v>
      </c>
      <c r="K909" s="84" t="str">
        <f t="shared" si="3"/>
        <v>Stabil</v>
      </c>
      <c r="L909" s="84">
        <f t="shared" si="4"/>
        <v>0</v>
      </c>
      <c r="M909" s="88" t="str">
        <f t="shared" si="5"/>
        <v>Perubahan Normal</v>
      </c>
    </row>
    <row r="910" ht="18.75" customHeight="1">
      <c r="A910" s="80" t="s">
        <v>310</v>
      </c>
      <c r="B910" s="81" t="str">
        <f t="shared" si="1"/>
        <v>Kab Kampar</v>
      </c>
      <c r="C910" s="81" t="str">
        <f t="array" ref="C910">XLOOKUP(B910,Reference!$A$2:$A$152,Reference!$B$2:$B$152)</f>
        <v>Riau</v>
      </c>
      <c r="D910" s="82" t="s">
        <v>1349</v>
      </c>
      <c r="E910" s="83">
        <v>45323.0</v>
      </c>
      <c r="F910" s="84" t="str">
        <f t="array" ref="F910">XLOOKUP(G910,Reference!$F:$F,Reference!$D:$D,"null")</f>
        <v>Rumah Tangga</v>
      </c>
      <c r="G910" s="85" t="s">
        <v>89</v>
      </c>
      <c r="H910" s="86">
        <v>109.42</v>
      </c>
      <c r="I910" s="86">
        <v>109.42</v>
      </c>
      <c r="J910" s="87">
        <f t="shared" si="2"/>
        <v>0</v>
      </c>
      <c r="K910" s="84" t="str">
        <f t="shared" si="3"/>
        <v>Stabil</v>
      </c>
      <c r="L910" s="84">
        <f t="shared" si="4"/>
        <v>0</v>
      </c>
      <c r="M910" s="88" t="str">
        <f t="shared" si="5"/>
        <v>Perubahan Normal</v>
      </c>
    </row>
    <row r="911" ht="18.75" customHeight="1">
      <c r="A911" s="80" t="s">
        <v>433</v>
      </c>
      <c r="B911" s="81" t="str">
        <f t="shared" si="1"/>
        <v>Kab Tulungagung</v>
      </c>
      <c r="C911" s="81" t="str">
        <f t="array" ref="C911">XLOOKUP(B911,Reference!$A$2:$A$152,Reference!$B$2:$B$152)</f>
        <v>Jawa Timur</v>
      </c>
      <c r="D911" s="82" t="s">
        <v>1350</v>
      </c>
      <c r="E911" s="83">
        <v>45352.0</v>
      </c>
      <c r="F911" s="84" t="str">
        <f t="array" ref="F911">XLOOKUP(G911,Reference!$F:$F,Reference!$D:$D,"null")</f>
        <v>Rekreasi dan Kendaraan</v>
      </c>
      <c r="G911" s="85" t="s">
        <v>102</v>
      </c>
      <c r="H911" s="86">
        <v>102.42</v>
      </c>
      <c r="I911" s="86">
        <v>102.42</v>
      </c>
      <c r="J911" s="87">
        <f t="shared" si="2"/>
        <v>0</v>
      </c>
      <c r="K911" s="84" t="str">
        <f t="shared" si="3"/>
        <v>Stabil</v>
      </c>
      <c r="L911" s="84">
        <f t="shared" si="4"/>
        <v>0</v>
      </c>
      <c r="M911" s="88" t="str">
        <f t="shared" si="5"/>
        <v>Perubahan Normal</v>
      </c>
    </row>
    <row r="912" ht="18.75" customHeight="1">
      <c r="A912" s="80" t="s">
        <v>320</v>
      </c>
      <c r="B912" s="81" t="str">
        <f t="shared" si="1"/>
        <v>Kota Manado</v>
      </c>
      <c r="C912" s="81" t="str">
        <f t="array" ref="C912">XLOOKUP(B912,Reference!$A$2:$A$152,Reference!$B$2:$B$152)</f>
        <v>Sulawesi Utara</v>
      </c>
      <c r="D912" s="82" t="s">
        <v>1351</v>
      </c>
      <c r="E912" s="83">
        <v>45352.0</v>
      </c>
      <c r="F912" s="84" t="str">
        <f t="array" ref="F912">XLOOKUP(G912,Reference!$F:$F,Reference!$D:$D,"null")</f>
        <v>Rumah Tangga</v>
      </c>
      <c r="G912" s="85" t="s">
        <v>80</v>
      </c>
      <c r="H912" s="86">
        <v>100.05</v>
      </c>
      <c r="I912" s="86">
        <v>100.05</v>
      </c>
      <c r="J912" s="87">
        <f t="shared" si="2"/>
        <v>0</v>
      </c>
      <c r="K912" s="84" t="str">
        <f t="shared" si="3"/>
        <v>Stabil</v>
      </c>
      <c r="L912" s="84">
        <f t="shared" si="4"/>
        <v>0</v>
      </c>
      <c r="M912" s="88" t="str">
        <f t="shared" si="5"/>
        <v>Perubahan Normal</v>
      </c>
    </row>
    <row r="913" ht="18.75" customHeight="1">
      <c r="A913" s="80" t="s">
        <v>324</v>
      </c>
      <c r="B913" s="81" t="str">
        <f t="shared" si="1"/>
        <v>Kab Nunukan</v>
      </c>
      <c r="C913" s="81" t="str">
        <f t="array" ref="C913">XLOOKUP(B913,Reference!$A$2:$A$152,Reference!$B$2:$B$152)</f>
        <v>Kalimantan Utara</v>
      </c>
      <c r="D913" s="82" t="s">
        <v>1352</v>
      </c>
      <c r="E913" s="83">
        <v>45323.0</v>
      </c>
      <c r="F913" s="84" t="str">
        <f t="array" ref="F913">XLOOKUP(G913,Reference!$F:$F,Reference!$D:$D,"null")</f>
        <v>Makanan dan Pakaian </v>
      </c>
      <c r="G913" s="85" t="s">
        <v>64</v>
      </c>
      <c r="H913" s="86">
        <v>106.1</v>
      </c>
      <c r="I913" s="86">
        <v>96.17</v>
      </c>
      <c r="J913" s="87">
        <f t="shared" si="2"/>
        <v>10.32546532</v>
      </c>
      <c r="K913" s="84" t="str">
        <f t="shared" si="3"/>
        <v>Inflasi Tinggi</v>
      </c>
      <c r="L913" s="84">
        <f t="shared" si="4"/>
        <v>9.93</v>
      </c>
      <c r="M913" s="88" t="str">
        <f t="shared" si="5"/>
        <v>Akselerasi Kuat</v>
      </c>
    </row>
    <row r="914" ht="18.75" customHeight="1">
      <c r="A914" s="80" t="s">
        <v>421</v>
      </c>
      <c r="B914" s="81" t="str">
        <f t="shared" si="1"/>
        <v>Kab Halmahera Tengah</v>
      </c>
      <c r="C914" s="81" t="str">
        <f t="array" ref="C914">XLOOKUP(B914,Reference!$A$2:$A$152,Reference!$B$2:$B$152)</f>
        <v>Maluku Utara</v>
      </c>
      <c r="D914" s="82" t="s">
        <v>1353</v>
      </c>
      <c r="E914" s="83">
        <v>45352.0</v>
      </c>
      <c r="F914" s="84" t="str">
        <f t="array" ref="F914">XLOOKUP(G914,Reference!$F:$F,Reference!$D:$D,"null")</f>
        <v>Pendidikan dan Kesehatan</v>
      </c>
      <c r="G914" s="85" t="s">
        <v>98</v>
      </c>
      <c r="H914" s="86">
        <v>95.21</v>
      </c>
      <c r="I914" s="86">
        <v>95.2</v>
      </c>
      <c r="J914" s="87">
        <f t="shared" si="2"/>
        <v>0.01050420168</v>
      </c>
      <c r="K914" s="84" t="str">
        <f t="shared" si="3"/>
        <v>Inflasi Normal</v>
      </c>
      <c r="L914" s="84">
        <f t="shared" si="4"/>
        <v>0.01</v>
      </c>
      <c r="M914" s="88" t="str">
        <f t="shared" si="5"/>
        <v>Perubahan Normal</v>
      </c>
    </row>
    <row r="915" ht="18.75" customHeight="1">
      <c r="A915" s="80" t="s">
        <v>391</v>
      </c>
      <c r="B915" s="81" t="str">
        <f t="shared" si="1"/>
        <v>Kota Batam</v>
      </c>
      <c r="C915" s="81" t="str">
        <f t="array" ref="C915">XLOOKUP(B915,Reference!$A$2:$A$152,Reference!$B$2:$B$152)</f>
        <v>Kepulauan Riau</v>
      </c>
      <c r="D915" s="82" t="s">
        <v>1354</v>
      </c>
      <c r="E915" s="83">
        <v>45323.0</v>
      </c>
      <c r="F915" s="84" t="str">
        <f t="array" ref="F915">XLOOKUP(G915,Reference!$F:$F,Reference!$D:$D,"null")</f>
        <v>Makanan dan Pakaian </v>
      </c>
      <c r="G915" s="85" t="s">
        <v>72</v>
      </c>
      <c r="H915" s="86">
        <v>103.47</v>
      </c>
      <c r="I915" s="86">
        <v>102.79</v>
      </c>
      <c r="J915" s="87">
        <f t="shared" si="2"/>
        <v>0.6615429516</v>
      </c>
      <c r="K915" s="84" t="str">
        <f t="shared" si="3"/>
        <v>Inflasi Tinggi</v>
      </c>
      <c r="L915" s="84">
        <f t="shared" si="4"/>
        <v>0.68</v>
      </c>
      <c r="M915" s="88" t="str">
        <f t="shared" si="5"/>
        <v>Akselerasi Persentase</v>
      </c>
    </row>
    <row r="916" ht="18.75" customHeight="1">
      <c r="A916" s="80" t="s">
        <v>512</v>
      </c>
      <c r="B916" s="81" t="str">
        <f t="shared" si="1"/>
        <v>Kota Palu</v>
      </c>
      <c r="C916" s="81" t="str">
        <f t="array" ref="C916">XLOOKUP(B916,Reference!$A$2:$A$152,Reference!$B$2:$B$152)</f>
        <v>Sulawesi Tengah</v>
      </c>
      <c r="D916" s="82" t="s">
        <v>1355</v>
      </c>
      <c r="E916" s="83">
        <v>45352.0</v>
      </c>
      <c r="F916" s="84" t="str">
        <f t="array" ref="F916">XLOOKUP(G916,Reference!$F:$F,Reference!$D:$D,"null")</f>
        <v>Makanan dan Pakaian </v>
      </c>
      <c r="G916" s="85" t="s">
        <v>72</v>
      </c>
      <c r="H916" s="86">
        <v>103.53</v>
      </c>
      <c r="I916" s="86">
        <v>103.53</v>
      </c>
      <c r="J916" s="87">
        <f t="shared" si="2"/>
        <v>0</v>
      </c>
      <c r="K916" s="84" t="str">
        <f t="shared" si="3"/>
        <v>Stabil</v>
      </c>
      <c r="L916" s="84">
        <f t="shared" si="4"/>
        <v>0</v>
      </c>
      <c r="M916" s="88" t="str">
        <f t="shared" si="5"/>
        <v>Perubahan Normal</v>
      </c>
    </row>
    <row r="917" ht="18.75" customHeight="1">
      <c r="A917" s="80" t="s">
        <v>740</v>
      </c>
      <c r="B917" s="81" t="str">
        <f t="shared" si="1"/>
        <v>Kota Gunungsitoli</v>
      </c>
      <c r="C917" s="81" t="str">
        <f t="array" ref="C917">XLOOKUP(B917,Reference!$A$2:$A$152,Reference!$B$2:$B$152)</f>
        <v>Sumatera Utara</v>
      </c>
      <c r="D917" s="82" t="s">
        <v>1356</v>
      </c>
      <c r="E917" s="83">
        <v>45323.0</v>
      </c>
      <c r="F917" s="84" t="str">
        <f t="array" ref="F917">XLOOKUP(G917,Reference!$F:$F,Reference!$D:$D,"null")</f>
        <v>Makanan dan Pakaian </v>
      </c>
      <c r="G917" s="85" t="s">
        <v>56</v>
      </c>
      <c r="H917" s="86">
        <v>105.43</v>
      </c>
      <c r="I917" s="86">
        <v>105.43</v>
      </c>
      <c r="J917" s="87">
        <f t="shared" si="2"/>
        <v>0</v>
      </c>
      <c r="K917" s="84" t="str">
        <f t="shared" si="3"/>
        <v>Stabil</v>
      </c>
      <c r="L917" s="84">
        <f t="shared" si="4"/>
        <v>0</v>
      </c>
      <c r="M917" s="88" t="str">
        <f t="shared" si="5"/>
        <v>Perubahan Normal</v>
      </c>
    </row>
    <row r="918" ht="18.75" customHeight="1">
      <c r="A918" s="80" t="s">
        <v>462</v>
      </c>
      <c r="B918" s="81" t="str">
        <f t="shared" si="1"/>
        <v>Kota Probolinggo</v>
      </c>
      <c r="C918" s="81" t="str">
        <f t="array" ref="C918">XLOOKUP(B918,Reference!$A$2:$A$152,Reference!$B$2:$B$152)</f>
        <v>Jawa Timur</v>
      </c>
      <c r="D918" s="82" t="s">
        <v>1357</v>
      </c>
      <c r="E918" s="83">
        <v>45323.0</v>
      </c>
      <c r="F918" s="84" t="str">
        <f t="array" ref="F918">XLOOKUP(G918,Reference!$F:$F,Reference!$D:$D,"null")</f>
        <v>Makanan dan Pakaian </v>
      </c>
      <c r="G918" s="85" t="s">
        <v>72</v>
      </c>
      <c r="H918" s="86">
        <v>105.34</v>
      </c>
      <c r="I918" s="86">
        <v>105.34</v>
      </c>
      <c r="J918" s="87">
        <f t="shared" si="2"/>
        <v>0</v>
      </c>
      <c r="K918" s="84" t="str">
        <f t="shared" si="3"/>
        <v>Stabil</v>
      </c>
      <c r="L918" s="84">
        <f t="shared" si="4"/>
        <v>0</v>
      </c>
      <c r="M918" s="88" t="str">
        <f t="shared" si="5"/>
        <v>Perubahan Normal</v>
      </c>
    </row>
    <row r="919" ht="18.75" customHeight="1">
      <c r="A919" s="80" t="s">
        <v>308</v>
      </c>
      <c r="B919" s="81" t="str">
        <f t="shared" si="1"/>
        <v>Kab Sukamara</v>
      </c>
      <c r="C919" s="81" t="str">
        <f t="array" ref="C919">XLOOKUP(B919,Reference!$A$2:$A$152,Reference!$B$2:$B$152)</f>
        <v>Kalimantan Tengah</v>
      </c>
      <c r="D919" s="82" t="s">
        <v>1358</v>
      </c>
      <c r="E919" s="83">
        <v>45352.0</v>
      </c>
      <c r="F919" s="84" t="str">
        <f t="array" ref="F919">XLOOKUP(G919,Reference!$F:$F,Reference!$D:$D,"null")</f>
        <v>Pendidikan dan Kesehatan</v>
      </c>
      <c r="G919" s="85" t="s">
        <v>98</v>
      </c>
      <c r="H919" s="86">
        <v>106.88</v>
      </c>
      <c r="I919" s="86">
        <v>105.59</v>
      </c>
      <c r="J919" s="87">
        <f t="shared" si="2"/>
        <v>1.221706601</v>
      </c>
      <c r="K919" s="84" t="str">
        <f t="shared" si="3"/>
        <v>Inflasi Tinggi</v>
      </c>
      <c r="L919" s="84">
        <f t="shared" si="4"/>
        <v>1.29</v>
      </c>
      <c r="M919" s="88" t="str">
        <f t="shared" si="5"/>
        <v>Akselerasi Persentase</v>
      </c>
    </row>
    <row r="920" ht="18.75" customHeight="1">
      <c r="A920" s="80" t="s">
        <v>320</v>
      </c>
      <c r="B920" s="81" t="str">
        <f t="shared" si="1"/>
        <v>Kota Manado</v>
      </c>
      <c r="C920" s="81" t="str">
        <f t="array" ref="C920">XLOOKUP(B920,Reference!$A$2:$A$152,Reference!$B$2:$B$152)</f>
        <v>Sulawesi Utara</v>
      </c>
      <c r="D920" s="82" t="s">
        <v>1359</v>
      </c>
      <c r="E920" s="83">
        <v>45323.0</v>
      </c>
      <c r="F920" s="84" t="str">
        <f t="array" ref="F920">XLOOKUP(G920,Reference!$F:$F,Reference!$D:$D,"null")</f>
        <v>Makanan dan Pakaian </v>
      </c>
      <c r="G920" s="85" t="s">
        <v>72</v>
      </c>
      <c r="H920" s="86">
        <v>99.48</v>
      </c>
      <c r="I920" s="86">
        <v>100.69</v>
      </c>
      <c r="J920" s="87">
        <f t="shared" si="2"/>
        <v>-1.201708213</v>
      </c>
      <c r="K920" s="84" t="str">
        <f t="shared" si="3"/>
        <v>Deflasi</v>
      </c>
      <c r="L920" s="84">
        <f t="shared" si="4"/>
        <v>-1.21</v>
      </c>
      <c r="M920" s="88" t="str">
        <f t="shared" si="5"/>
        <v>Perubahan Normal</v>
      </c>
    </row>
    <row r="921" ht="18.75" customHeight="1">
      <c r="A921" s="80" t="s">
        <v>508</v>
      </c>
      <c r="B921" s="81" t="str">
        <f t="shared" si="1"/>
        <v>Kab Minahasa Selatan</v>
      </c>
      <c r="C921" s="81" t="str">
        <f t="array" ref="C921">XLOOKUP(B921,Reference!$A$2:$A$152,Reference!$B$2:$B$152)</f>
        <v>Sulawesi Utara</v>
      </c>
      <c r="D921" s="82" t="s">
        <v>1360</v>
      </c>
      <c r="E921" s="83">
        <v>45352.0</v>
      </c>
      <c r="F921" s="84" t="str">
        <f t="array" ref="F921">XLOOKUP(G921,Reference!$F:$F,Reference!$D:$D,"null")</f>
        <v>Rekreasi dan Kendaraan</v>
      </c>
      <c r="G921" s="85" t="s">
        <v>105</v>
      </c>
      <c r="H921" s="86">
        <v>101.15</v>
      </c>
      <c r="I921" s="86">
        <v>101.15</v>
      </c>
      <c r="J921" s="87">
        <f t="shared" si="2"/>
        <v>0</v>
      </c>
      <c r="K921" s="84" t="str">
        <f t="shared" si="3"/>
        <v>Stabil</v>
      </c>
      <c r="L921" s="84">
        <f t="shared" si="4"/>
        <v>0</v>
      </c>
      <c r="M921" s="88" t="str">
        <f t="shared" si="5"/>
        <v>Perubahan Normal</v>
      </c>
    </row>
    <row r="922" ht="18.75" customHeight="1">
      <c r="A922" s="80" t="s">
        <v>433</v>
      </c>
      <c r="B922" s="81" t="str">
        <f t="shared" si="1"/>
        <v>Kab Tulungagung</v>
      </c>
      <c r="C922" s="81" t="str">
        <f t="array" ref="C922">XLOOKUP(B922,Reference!$A$2:$A$152,Reference!$B$2:$B$152)</f>
        <v>Jawa Timur</v>
      </c>
      <c r="D922" s="82" t="s">
        <v>1361</v>
      </c>
      <c r="E922" s="83">
        <v>45323.0</v>
      </c>
      <c r="F922" s="84" t="str">
        <f t="array" ref="F922">XLOOKUP(G922,Reference!$F:$F,Reference!$D:$D,"null")</f>
        <v>Pendidikan dan Kesehatan</v>
      </c>
      <c r="G922" s="85" t="s">
        <v>95</v>
      </c>
      <c r="H922" s="86">
        <v>100.18</v>
      </c>
      <c r="I922" s="86">
        <v>100.18</v>
      </c>
      <c r="J922" s="87">
        <f t="shared" si="2"/>
        <v>0</v>
      </c>
      <c r="K922" s="84" t="str">
        <f t="shared" si="3"/>
        <v>Stabil</v>
      </c>
      <c r="L922" s="84">
        <f t="shared" si="4"/>
        <v>0</v>
      </c>
      <c r="M922" s="88" t="str">
        <f t="shared" si="5"/>
        <v>Perubahan Normal</v>
      </c>
    </row>
    <row r="923" ht="18.75" customHeight="1">
      <c r="A923" s="80" t="s">
        <v>378</v>
      </c>
      <c r="B923" s="81" t="str">
        <f t="shared" si="1"/>
        <v>Kab Berau</v>
      </c>
      <c r="C923" s="81" t="str">
        <f t="array" ref="C923">XLOOKUP(B923,Reference!$A$2:$A$152,Reference!$B$2:$B$152)</f>
        <v>Kalimantan Timur</v>
      </c>
      <c r="D923" s="82" t="s">
        <v>1362</v>
      </c>
      <c r="E923" s="83">
        <v>45323.0</v>
      </c>
      <c r="F923" s="84" t="str">
        <f t="array" ref="F923">XLOOKUP(G923,Reference!$F:$F,Reference!$D:$D,"null")</f>
        <v>Rumah Tangga</v>
      </c>
      <c r="G923" s="85" t="s">
        <v>84</v>
      </c>
      <c r="H923" s="86">
        <v>102.75</v>
      </c>
      <c r="I923" s="86">
        <v>103.3</v>
      </c>
      <c r="J923" s="87">
        <f t="shared" si="2"/>
        <v>-0.5324298161</v>
      </c>
      <c r="K923" s="84" t="str">
        <f t="shared" si="3"/>
        <v>Deflasi</v>
      </c>
      <c r="L923" s="84">
        <f t="shared" si="4"/>
        <v>-0.55</v>
      </c>
      <c r="M923" s="88" t="str">
        <f t="shared" si="5"/>
        <v>Perubahan Normal</v>
      </c>
    </row>
    <row r="924" ht="18.75" customHeight="1">
      <c r="A924" s="80" t="s">
        <v>429</v>
      </c>
      <c r="B924" s="81" t="str">
        <f t="shared" si="1"/>
        <v>Kab Nabire</v>
      </c>
      <c r="C924" s="81" t="str">
        <f t="array" ref="C924">XLOOKUP(B924,Reference!$A$2:$A$152,Reference!$B$2:$B$152)</f>
        <v>Papua</v>
      </c>
      <c r="D924" s="82" t="s">
        <v>1363</v>
      </c>
      <c r="E924" s="83">
        <v>45352.0</v>
      </c>
      <c r="F924" s="84" t="str">
        <f t="array" ref="F924">XLOOKUP(G924,Reference!$F:$F,Reference!$D:$D,"null")</f>
        <v>Rumah Tangga</v>
      </c>
      <c r="G924" s="89" t="s">
        <v>89</v>
      </c>
      <c r="H924" s="90">
        <v>95.01</v>
      </c>
      <c r="I924" s="90">
        <v>94.69</v>
      </c>
      <c r="J924" s="87">
        <f t="shared" si="2"/>
        <v>0.3379448727</v>
      </c>
      <c r="K924" s="84" t="str">
        <f t="shared" si="3"/>
        <v>Inflasi Normal</v>
      </c>
      <c r="L924" s="91">
        <f t="shared" si="4"/>
        <v>0.32</v>
      </c>
      <c r="M924" s="88" t="str">
        <f t="shared" si="5"/>
        <v>Perubahan Normal</v>
      </c>
    </row>
    <row r="925" ht="18.75" customHeight="1">
      <c r="A925" s="80" t="s">
        <v>505</v>
      </c>
      <c r="B925" s="81" t="str">
        <f t="shared" si="1"/>
        <v>Kota Denpasar</v>
      </c>
      <c r="C925" s="81" t="str">
        <f t="array" ref="C925">XLOOKUP(B925,Reference!$A$2:$A$152,Reference!$B$2:$B$152)</f>
        <v>Bali</v>
      </c>
      <c r="D925" s="82" t="s">
        <v>1364</v>
      </c>
      <c r="E925" s="83">
        <v>45323.0</v>
      </c>
      <c r="F925" s="84" t="str">
        <f t="array" ref="F925">XLOOKUP(G925,Reference!$F:$F,Reference!$D:$D,"null")</f>
        <v>Pendidikan dan Kesehatan</v>
      </c>
      <c r="G925" s="85" t="s">
        <v>95</v>
      </c>
      <c r="H925" s="86">
        <v>107.59</v>
      </c>
      <c r="I925" s="86">
        <v>107.59</v>
      </c>
      <c r="J925" s="87">
        <f t="shared" si="2"/>
        <v>0</v>
      </c>
      <c r="K925" s="84" t="str">
        <f t="shared" si="3"/>
        <v>Stabil</v>
      </c>
      <c r="L925" s="84">
        <f t="shared" si="4"/>
        <v>0</v>
      </c>
      <c r="M925" s="88" t="str">
        <f t="shared" si="5"/>
        <v>Perubahan Normal</v>
      </c>
    </row>
    <row r="926" ht="18.75" customHeight="1">
      <c r="A926" s="80" t="s">
        <v>576</v>
      </c>
      <c r="B926" s="81" t="str">
        <f t="shared" si="1"/>
        <v>Kab Tabanan</v>
      </c>
      <c r="C926" s="81" t="str">
        <f t="array" ref="C926">XLOOKUP(B926,Reference!$A$2:$A$152,Reference!$B$2:$B$152)</f>
        <v>Bali</v>
      </c>
      <c r="D926" s="82" t="s">
        <v>1365</v>
      </c>
      <c r="E926" s="83">
        <v>45352.0</v>
      </c>
      <c r="F926" s="84" t="str">
        <f t="array" ref="F926">XLOOKUP(G926,Reference!$F:$F,Reference!$D:$D,"null")</f>
        <v>Rumah Tangga</v>
      </c>
      <c r="G926" s="85" t="s">
        <v>84</v>
      </c>
      <c r="H926" s="86">
        <v>103.92</v>
      </c>
      <c r="I926" s="86">
        <v>103.42</v>
      </c>
      <c r="J926" s="87">
        <f t="shared" si="2"/>
        <v>0.4834654806</v>
      </c>
      <c r="K926" s="84" t="str">
        <f t="shared" si="3"/>
        <v>Inflasi Normal</v>
      </c>
      <c r="L926" s="84">
        <f t="shared" si="4"/>
        <v>0.5</v>
      </c>
      <c r="M926" s="88" t="str">
        <f t="shared" si="5"/>
        <v>Perubahan Normal</v>
      </c>
    </row>
    <row r="927" ht="18.75" customHeight="1">
      <c r="A927" s="80" t="s">
        <v>423</v>
      </c>
      <c r="B927" s="81" t="str">
        <f t="shared" si="1"/>
        <v>Kota Kotamobagu</v>
      </c>
      <c r="C927" s="81" t="str">
        <f t="array" ref="C927">XLOOKUP(B927,Reference!$A$2:$A$152,Reference!$B$2:$B$152)</f>
        <v>Sulawesi Utara</v>
      </c>
      <c r="D927" s="82" t="s">
        <v>1366</v>
      </c>
      <c r="E927" s="83">
        <v>45323.0</v>
      </c>
      <c r="F927" s="84" t="str">
        <f t="array" ref="F927">XLOOKUP(G927,Reference!$F:$F,Reference!$D:$D,"null")</f>
        <v>Makanan dan Pakaian </v>
      </c>
      <c r="G927" s="85" t="s">
        <v>48</v>
      </c>
      <c r="H927" s="86">
        <v>109.35</v>
      </c>
      <c r="I927" s="86">
        <v>111.92</v>
      </c>
      <c r="J927" s="87">
        <f t="shared" si="2"/>
        <v>-2.296283059</v>
      </c>
      <c r="K927" s="84" t="str">
        <f t="shared" si="3"/>
        <v>Deflasi</v>
      </c>
      <c r="L927" s="84">
        <f t="shared" si="4"/>
        <v>-2.57</v>
      </c>
      <c r="M927" s="88" t="str">
        <f t="shared" si="5"/>
        <v>Perubahan Normal</v>
      </c>
    </row>
    <row r="928" ht="18.75" customHeight="1">
      <c r="A928" s="80" t="s">
        <v>460</v>
      </c>
      <c r="B928" s="81" t="str">
        <f t="shared" si="1"/>
        <v>Kab Kayong Utara</v>
      </c>
      <c r="C928" s="81" t="str">
        <f t="array" ref="C928">XLOOKUP(B928,Reference!$A$2:$A$152,Reference!$B$2:$B$152)</f>
        <v>Kalimantan Barat</v>
      </c>
      <c r="D928" s="82" t="s">
        <v>1367</v>
      </c>
      <c r="E928" s="83">
        <v>45323.0</v>
      </c>
      <c r="F928" s="84" t="str">
        <f t="array" ref="F928">XLOOKUP(G928,Reference!$F:$F,Reference!$D:$D,"null")</f>
        <v>Pendidikan dan Kesehatan</v>
      </c>
      <c r="G928" s="85" t="s">
        <v>95</v>
      </c>
      <c r="H928" s="86">
        <v>108.14</v>
      </c>
      <c r="I928" s="86">
        <v>108.14</v>
      </c>
      <c r="J928" s="87">
        <f t="shared" si="2"/>
        <v>0</v>
      </c>
      <c r="K928" s="84" t="str">
        <f t="shared" si="3"/>
        <v>Stabil</v>
      </c>
      <c r="L928" s="84">
        <f t="shared" si="4"/>
        <v>0</v>
      </c>
      <c r="M928" s="88" t="str">
        <f t="shared" si="5"/>
        <v>Perubahan Normal</v>
      </c>
    </row>
    <row r="929" ht="18.75" customHeight="1">
      <c r="A929" s="80" t="s">
        <v>412</v>
      </c>
      <c r="B929" s="81" t="str">
        <f t="shared" si="1"/>
        <v>Cilacap</v>
      </c>
      <c r="C929" s="81" t="str">
        <f t="array" ref="C929">XLOOKUP(B929,Reference!$A$2:$A$152,Reference!$B$2:$B$152)</f>
        <v>Jawa Tengah</v>
      </c>
      <c r="D929" s="82" t="s">
        <v>1368</v>
      </c>
      <c r="E929" s="83">
        <v>45323.0</v>
      </c>
      <c r="F929" s="84" t="str">
        <f t="array" ref="F929">XLOOKUP(G929,Reference!$F:$F,Reference!$D:$D,"null")</f>
        <v>Rumah Tangga</v>
      </c>
      <c r="G929" s="85" t="s">
        <v>84</v>
      </c>
      <c r="H929" s="86">
        <v>100.8</v>
      </c>
      <c r="I929" s="86">
        <v>100.8</v>
      </c>
      <c r="J929" s="87">
        <f t="shared" si="2"/>
        <v>0</v>
      </c>
      <c r="K929" s="84" t="str">
        <f t="shared" si="3"/>
        <v>Stabil</v>
      </c>
      <c r="L929" s="84">
        <f t="shared" si="4"/>
        <v>0</v>
      </c>
      <c r="M929" s="88" t="str">
        <f t="shared" si="5"/>
        <v>Perubahan Normal</v>
      </c>
    </row>
    <row r="930" ht="18.75" customHeight="1">
      <c r="A930" s="80" t="s">
        <v>573</v>
      </c>
      <c r="B930" s="81" t="str">
        <f t="shared" si="1"/>
        <v>Kota Palangkaraya</v>
      </c>
      <c r="C930" s="81" t="str">
        <f t="array" ref="C930">XLOOKUP(B930,Reference!$A$2:$A$152,Reference!$B$2:$B$152)</f>
        <v>Kalimantan Tengah</v>
      </c>
      <c r="D930" s="82" t="s">
        <v>1369</v>
      </c>
      <c r="E930" s="83">
        <v>45323.0</v>
      </c>
      <c r="F930" s="84" t="str">
        <f t="array" ref="F930">XLOOKUP(G930,Reference!$F:$F,Reference!$D:$D,"null")</f>
        <v>Rekreasi dan Kendaraan</v>
      </c>
      <c r="G930" s="85" t="s">
        <v>105</v>
      </c>
      <c r="H930" s="86">
        <v>103.16</v>
      </c>
      <c r="I930" s="86">
        <v>103.13</v>
      </c>
      <c r="J930" s="87">
        <f t="shared" si="2"/>
        <v>0.02908949869</v>
      </c>
      <c r="K930" s="84" t="str">
        <f t="shared" si="3"/>
        <v>Inflasi Normal</v>
      </c>
      <c r="L930" s="84">
        <f t="shared" si="4"/>
        <v>0.03</v>
      </c>
      <c r="M930" s="88" t="str">
        <f t="shared" si="5"/>
        <v>Perubahan Normal</v>
      </c>
    </row>
    <row r="931" ht="18.75" customHeight="1">
      <c r="A931" s="80" t="s">
        <v>335</v>
      </c>
      <c r="B931" s="81" t="str">
        <f t="shared" si="1"/>
        <v>Kab Wonogiri</v>
      </c>
      <c r="C931" s="81" t="str">
        <f t="array" ref="C931">XLOOKUP(B931,Reference!$A$2:$A$152,Reference!$B$2:$B$152)</f>
        <v>Jawa Tengah</v>
      </c>
      <c r="D931" s="82" t="s">
        <v>1370</v>
      </c>
      <c r="E931" s="83">
        <v>45352.0</v>
      </c>
      <c r="F931" s="84" t="str">
        <f t="array" ref="F931">XLOOKUP(G931,Reference!$F:$F,Reference!$D:$D,"null")</f>
        <v>Makanan dan Pakaian </v>
      </c>
      <c r="G931" s="89" t="s">
        <v>56</v>
      </c>
      <c r="H931" s="90">
        <v>113.84</v>
      </c>
      <c r="I931" s="90">
        <v>114.17</v>
      </c>
      <c r="J931" s="87">
        <f t="shared" si="2"/>
        <v>-0.2890426557</v>
      </c>
      <c r="K931" s="84" t="str">
        <f t="shared" si="3"/>
        <v>Deflasi</v>
      </c>
      <c r="L931" s="91">
        <f t="shared" si="4"/>
        <v>-0.33</v>
      </c>
      <c r="M931" s="88" t="str">
        <f t="shared" si="5"/>
        <v>Perubahan Normal</v>
      </c>
    </row>
    <row r="932" ht="18.75" customHeight="1">
      <c r="A932" s="80" t="s">
        <v>406</v>
      </c>
      <c r="B932" s="81" t="str">
        <f t="shared" si="1"/>
        <v>Kota Tasikmalaya</v>
      </c>
      <c r="C932" s="81" t="str">
        <f t="array" ref="C932">XLOOKUP(B932,Reference!$A$2:$A$152,Reference!$B$2:$B$152)</f>
        <v>Jawa Barat</v>
      </c>
      <c r="D932" s="82" t="s">
        <v>1371</v>
      </c>
      <c r="E932" s="83">
        <v>45323.0</v>
      </c>
      <c r="F932" s="84" t="str">
        <f t="array" ref="F932">XLOOKUP(G932,Reference!$F:$F,Reference!$D:$D,"null")</f>
        <v>Pendidikan dan Kesehatan</v>
      </c>
      <c r="G932" s="89" t="s">
        <v>98</v>
      </c>
      <c r="H932" s="90">
        <v>103.22</v>
      </c>
      <c r="I932" s="90">
        <v>103.51</v>
      </c>
      <c r="J932" s="87">
        <f t="shared" si="2"/>
        <v>-0.2801661675</v>
      </c>
      <c r="K932" s="84" t="str">
        <f t="shared" si="3"/>
        <v>Deflasi</v>
      </c>
      <c r="L932" s="91">
        <f t="shared" si="4"/>
        <v>-0.29</v>
      </c>
      <c r="M932" s="88" t="str">
        <f t="shared" si="5"/>
        <v>Perubahan Normal</v>
      </c>
    </row>
    <row r="933" ht="18.75" customHeight="1">
      <c r="A933" s="80" t="s">
        <v>302</v>
      </c>
      <c r="B933" s="81" t="str">
        <f t="shared" si="1"/>
        <v>Kota Lubuk Linggau</v>
      </c>
      <c r="C933" s="81" t="str">
        <f t="array" ref="C933">XLOOKUP(B933,Reference!$A$2:$A$152,Reference!$B$2:$B$152)</f>
        <v>Sumatera Selatan</v>
      </c>
      <c r="D933" s="82" t="s">
        <v>1372</v>
      </c>
      <c r="E933" s="83">
        <v>45323.0</v>
      </c>
      <c r="F933" s="84" t="str">
        <f t="array" ref="F933">XLOOKUP(G933,Reference!$F:$F,Reference!$D:$D,"null")</f>
        <v>Makanan dan Pakaian </v>
      </c>
      <c r="G933" s="85" t="s">
        <v>56</v>
      </c>
      <c r="H933" s="86">
        <v>109.71</v>
      </c>
      <c r="I933" s="86">
        <v>109.34</v>
      </c>
      <c r="J933" s="87">
        <f t="shared" si="2"/>
        <v>0.3383940004</v>
      </c>
      <c r="K933" s="84" t="str">
        <f t="shared" si="3"/>
        <v>Inflasi Normal</v>
      </c>
      <c r="L933" s="84">
        <f t="shared" si="4"/>
        <v>0.37</v>
      </c>
      <c r="M933" s="88" t="str">
        <f t="shared" si="5"/>
        <v>Perubahan Normal</v>
      </c>
    </row>
    <row r="934" ht="18.75" customHeight="1">
      <c r="A934" s="80" t="s">
        <v>419</v>
      </c>
      <c r="B934" s="81" t="str">
        <f t="shared" si="1"/>
        <v>Kota Singkawang</v>
      </c>
      <c r="C934" s="81" t="str">
        <f t="array" ref="C934">XLOOKUP(B934,Reference!$A$2:$A$152,Reference!$B$2:$B$152)</f>
        <v>Kalimantan Barat</v>
      </c>
      <c r="D934" s="82" t="s">
        <v>1373</v>
      </c>
      <c r="E934" s="83">
        <v>45323.0</v>
      </c>
      <c r="F934" s="84" t="str">
        <f t="array" ref="F934">XLOOKUP(G934,Reference!$F:$F,Reference!$D:$D,"null")</f>
        <v>Makanan dan Pakaian </v>
      </c>
      <c r="G934" s="85" t="s">
        <v>64</v>
      </c>
      <c r="H934" s="86">
        <v>102.15</v>
      </c>
      <c r="I934" s="86">
        <v>102.01</v>
      </c>
      <c r="J934" s="87">
        <f t="shared" si="2"/>
        <v>0.1372414469</v>
      </c>
      <c r="K934" s="84" t="str">
        <f t="shared" si="3"/>
        <v>Inflasi Normal</v>
      </c>
      <c r="L934" s="84">
        <f t="shared" si="4"/>
        <v>0.14</v>
      </c>
      <c r="M934" s="88" t="str">
        <f t="shared" si="5"/>
        <v>Perubahan Normal</v>
      </c>
    </row>
    <row r="935" ht="18.75" customHeight="1">
      <c r="A935" s="80" t="s">
        <v>925</v>
      </c>
      <c r="B935" s="81" t="str">
        <f t="shared" si="1"/>
        <v>Kota Jakarta</v>
      </c>
      <c r="C935" s="81" t="str">
        <f t="array" ref="C935">XLOOKUP(B935,Reference!$A$2:$A$152,Reference!$B$2:$B$152)</f>
        <v>DKI Jakarta</v>
      </c>
      <c r="D935" s="82" t="s">
        <v>1374</v>
      </c>
      <c r="E935" s="83">
        <v>45352.0</v>
      </c>
      <c r="F935" s="84" t="str">
        <f t="array" ref="F935">XLOOKUP(G935,Reference!$F:$F,Reference!$D:$D,"null")</f>
        <v>Rumah Tangga</v>
      </c>
      <c r="G935" s="85" t="s">
        <v>84</v>
      </c>
      <c r="H935" s="86">
        <v>102.21</v>
      </c>
      <c r="I935" s="86">
        <v>102.21</v>
      </c>
      <c r="J935" s="87">
        <f t="shared" si="2"/>
        <v>0</v>
      </c>
      <c r="K935" s="84" t="str">
        <f t="shared" si="3"/>
        <v>Stabil</v>
      </c>
      <c r="L935" s="84">
        <f t="shared" si="4"/>
        <v>0</v>
      </c>
      <c r="M935" s="88" t="str">
        <f t="shared" si="5"/>
        <v>Perubahan Normal</v>
      </c>
    </row>
    <row r="936" ht="18.75" customHeight="1">
      <c r="A936" s="80" t="s">
        <v>425</v>
      </c>
      <c r="B936" s="81" t="str">
        <f t="shared" si="1"/>
        <v>Kab Gorontalo</v>
      </c>
      <c r="C936" s="81" t="str">
        <f t="array" ref="C936">XLOOKUP(B936,Reference!$A$2:$A$152,Reference!$B$2:$B$152)</f>
        <v>Gorontalo</v>
      </c>
      <c r="D936" s="82" t="s">
        <v>1375</v>
      </c>
      <c r="E936" s="83">
        <v>45352.0</v>
      </c>
      <c r="F936" s="84" t="str">
        <f t="array" ref="F936">XLOOKUP(G936,Reference!$F:$F,Reference!$D:$D,"null")</f>
        <v>Makanan dan Pakaian </v>
      </c>
      <c r="G936" s="89" t="s">
        <v>48</v>
      </c>
      <c r="H936" s="90">
        <v>113.58</v>
      </c>
      <c r="I936" s="90">
        <v>111.41</v>
      </c>
      <c r="J936" s="87">
        <f t="shared" si="2"/>
        <v>1.947760524</v>
      </c>
      <c r="K936" s="84" t="str">
        <f t="shared" si="3"/>
        <v>Inflasi Tinggi</v>
      </c>
      <c r="L936" s="91">
        <f t="shared" si="4"/>
        <v>2.17</v>
      </c>
      <c r="M936" s="88" t="str">
        <f t="shared" si="5"/>
        <v>Akselerasi Kuat</v>
      </c>
    </row>
    <row r="937" ht="18.75" customHeight="1">
      <c r="A937" s="80" t="s">
        <v>634</v>
      </c>
      <c r="B937" s="81" t="str">
        <f t="shared" si="1"/>
        <v>Kota Depok</v>
      </c>
      <c r="C937" s="81" t="str">
        <f t="array" ref="C937">XLOOKUP(B937,Reference!$A$2:$A$152,Reference!$B$2:$B$152)</f>
        <v>Jawa Barat</v>
      </c>
      <c r="D937" s="82" t="s">
        <v>1376</v>
      </c>
      <c r="E937" s="83">
        <v>45323.0</v>
      </c>
      <c r="F937" s="84" t="str">
        <f t="array" ref="F937">XLOOKUP(G937,Reference!$F:$F,Reference!$D:$D,"null")</f>
        <v>Pendidikan dan Kesehatan</v>
      </c>
      <c r="G937" s="85" t="s">
        <v>98</v>
      </c>
      <c r="H937" s="86">
        <v>102.87</v>
      </c>
      <c r="I937" s="86">
        <v>101.69</v>
      </c>
      <c r="J937" s="87">
        <f t="shared" si="2"/>
        <v>1.160389419</v>
      </c>
      <c r="K937" s="84" t="str">
        <f t="shared" si="3"/>
        <v>Inflasi Tinggi</v>
      </c>
      <c r="L937" s="84">
        <f t="shared" si="4"/>
        <v>1.18</v>
      </c>
      <c r="M937" s="88" t="str">
        <f t="shared" si="5"/>
        <v>Akselerasi Persentase</v>
      </c>
    </row>
    <row r="938" ht="18.75" customHeight="1">
      <c r="A938" s="80" t="s">
        <v>594</v>
      </c>
      <c r="B938" s="81" t="str">
        <f t="shared" si="1"/>
        <v>Kota Kendari</v>
      </c>
      <c r="C938" s="81" t="str">
        <f t="array" ref="C938">XLOOKUP(B938,Reference!$A$2:$A$152,Reference!$B$2:$B$152)</f>
        <v>Sulawesi Tenggara</v>
      </c>
      <c r="D938" s="82" t="s">
        <v>1377</v>
      </c>
      <c r="E938" s="83">
        <v>45323.0</v>
      </c>
      <c r="F938" s="84" t="str">
        <f t="array" ref="F938">XLOOKUP(G938,Reference!$F:$F,Reference!$D:$D,"null")</f>
        <v>Pendidikan dan Kesehatan</v>
      </c>
      <c r="G938" s="85" t="s">
        <v>95</v>
      </c>
      <c r="H938" s="86">
        <v>110.29</v>
      </c>
      <c r="I938" s="86">
        <v>110.1</v>
      </c>
      <c r="J938" s="87">
        <f t="shared" si="2"/>
        <v>0.1725703906</v>
      </c>
      <c r="K938" s="84" t="str">
        <f t="shared" si="3"/>
        <v>Inflasi Normal</v>
      </c>
      <c r="L938" s="84">
        <f t="shared" si="4"/>
        <v>0.19</v>
      </c>
      <c r="M938" s="88" t="str">
        <f t="shared" si="5"/>
        <v>Perubahan Normal</v>
      </c>
    </row>
    <row r="939" ht="18.75" customHeight="1">
      <c r="A939" s="80" t="s">
        <v>905</v>
      </c>
      <c r="B939" s="81" t="str">
        <f t="shared" si="1"/>
        <v>Kota Ambon</v>
      </c>
      <c r="C939" s="81" t="str">
        <f t="array" ref="C939">XLOOKUP(B939,Reference!$A$2:$A$152,Reference!$B$2:$B$152)</f>
        <v>Maluku</v>
      </c>
      <c r="D939" s="82" t="s">
        <v>1378</v>
      </c>
      <c r="E939" s="83">
        <v>45323.0</v>
      </c>
      <c r="F939" s="84" t="str">
        <f t="array" ref="F939">XLOOKUP(G939,Reference!$F:$F,Reference!$D:$D,"null")</f>
        <v>Pendidikan dan Kesehatan</v>
      </c>
      <c r="G939" s="85" t="s">
        <v>95</v>
      </c>
      <c r="H939" s="86">
        <v>102.77</v>
      </c>
      <c r="I939" s="86">
        <v>102.77</v>
      </c>
      <c r="J939" s="87">
        <f t="shared" si="2"/>
        <v>0</v>
      </c>
      <c r="K939" s="84" t="str">
        <f t="shared" si="3"/>
        <v>Stabil</v>
      </c>
      <c r="L939" s="84">
        <f t="shared" si="4"/>
        <v>0</v>
      </c>
      <c r="M939" s="88" t="str">
        <f t="shared" si="5"/>
        <v>Perubahan Normal</v>
      </c>
    </row>
    <row r="940" ht="18.75" customHeight="1">
      <c r="A940" s="80" t="s">
        <v>680</v>
      </c>
      <c r="B940" s="81" t="str">
        <f t="shared" si="1"/>
        <v>Kota Pekanbaru</v>
      </c>
      <c r="C940" s="81" t="str">
        <f t="array" ref="C940">XLOOKUP(B940,Reference!$A$2:$A$152,Reference!$B$2:$B$152)</f>
        <v>Riau</v>
      </c>
      <c r="D940" s="82" t="s">
        <v>1379</v>
      </c>
      <c r="E940" s="83">
        <v>45323.0</v>
      </c>
      <c r="F940" s="84" t="str">
        <f t="array" ref="F940">XLOOKUP(G940,Reference!$F:$F,Reference!$D:$D,"null")</f>
        <v>Rumah Tangga</v>
      </c>
      <c r="G940" s="85" t="s">
        <v>80</v>
      </c>
      <c r="H940" s="86">
        <v>103.11</v>
      </c>
      <c r="I940" s="86">
        <v>103.11</v>
      </c>
      <c r="J940" s="87">
        <f t="shared" si="2"/>
        <v>0</v>
      </c>
      <c r="K940" s="84" t="str">
        <f t="shared" si="3"/>
        <v>Stabil</v>
      </c>
      <c r="L940" s="84">
        <f t="shared" si="4"/>
        <v>0</v>
      </c>
      <c r="M940" s="88" t="str">
        <f t="shared" si="5"/>
        <v>Perubahan Normal</v>
      </c>
    </row>
    <row r="941" ht="18.75" customHeight="1">
      <c r="A941" s="80" t="s">
        <v>370</v>
      </c>
      <c r="B941" s="81" t="str">
        <f t="shared" si="1"/>
        <v>Jember</v>
      </c>
      <c r="C941" s="81" t="str">
        <f t="array" ref="C941">XLOOKUP(B941,Reference!$A$2:$A$152,Reference!$B$2:$B$152)</f>
        <v>Jawa Timur</v>
      </c>
      <c r="D941" s="82" t="s">
        <v>1380</v>
      </c>
      <c r="E941" s="83">
        <v>45352.0</v>
      </c>
      <c r="F941" s="84" t="str">
        <f t="array" ref="F941">XLOOKUP(G941,Reference!$F:$F,Reference!$D:$D,"null")</f>
        <v>Makanan dan Pakaian </v>
      </c>
      <c r="G941" s="85" t="s">
        <v>56</v>
      </c>
      <c r="H941" s="86">
        <v>105.62</v>
      </c>
      <c r="I941" s="86">
        <v>105.27</v>
      </c>
      <c r="J941" s="87">
        <f t="shared" si="2"/>
        <v>0.3324783889</v>
      </c>
      <c r="K941" s="84" t="str">
        <f t="shared" si="3"/>
        <v>Inflasi Normal</v>
      </c>
      <c r="L941" s="84">
        <f t="shared" si="4"/>
        <v>0.35</v>
      </c>
      <c r="M941" s="88" t="str">
        <f t="shared" si="5"/>
        <v>Perubahan Normal</v>
      </c>
    </row>
    <row r="942" ht="18.75" customHeight="1">
      <c r="A942" s="80" t="s">
        <v>387</v>
      </c>
      <c r="B942" s="81" t="str">
        <f t="shared" si="1"/>
        <v>Kota Semarang</v>
      </c>
      <c r="C942" s="81" t="str">
        <f t="array" ref="C942">XLOOKUP(B942,Reference!$A$2:$A$152,Reference!$B$2:$B$152)</f>
        <v>Jawa Tengah</v>
      </c>
      <c r="D942" s="82" t="s">
        <v>1381</v>
      </c>
      <c r="E942" s="83">
        <v>45323.0</v>
      </c>
      <c r="F942" s="84" t="str">
        <f t="array" ref="F942">XLOOKUP(G942,Reference!$F:$F,Reference!$D:$D,"null")</f>
        <v>Makanan dan Pakaian </v>
      </c>
      <c r="G942" s="85" t="s">
        <v>72</v>
      </c>
      <c r="H942" s="86">
        <v>100.77</v>
      </c>
      <c r="I942" s="86">
        <v>100.77</v>
      </c>
      <c r="J942" s="87">
        <f t="shared" si="2"/>
        <v>0</v>
      </c>
      <c r="K942" s="84" t="str">
        <f t="shared" si="3"/>
        <v>Stabil</v>
      </c>
      <c r="L942" s="84">
        <f t="shared" si="4"/>
        <v>0</v>
      </c>
      <c r="M942" s="88" t="str">
        <f t="shared" si="5"/>
        <v>Perubahan Normal</v>
      </c>
    </row>
    <row r="943" ht="18.75" customHeight="1">
      <c r="A943" s="80" t="s">
        <v>417</v>
      </c>
      <c r="B943" s="81" t="str">
        <f t="shared" si="1"/>
        <v>Kotabaru</v>
      </c>
      <c r="C943" s="81" t="str">
        <f t="array" ref="C943">XLOOKUP(B943,Reference!$A$2:$A$152,Reference!$B$2:$B$152)</f>
        <v>Kalimantan Selatan</v>
      </c>
      <c r="D943" s="82" t="s">
        <v>1382</v>
      </c>
      <c r="E943" s="83">
        <v>45352.0</v>
      </c>
      <c r="F943" s="84" t="str">
        <f t="array" ref="F943">XLOOKUP(G943,Reference!$F:$F,Reference!$D:$D,"null")</f>
        <v>Pendidikan dan Kesehatan</v>
      </c>
      <c r="G943" s="85" t="s">
        <v>98</v>
      </c>
      <c r="H943" s="86">
        <v>109.41</v>
      </c>
      <c r="I943" s="86">
        <v>109.41</v>
      </c>
      <c r="J943" s="87">
        <f t="shared" si="2"/>
        <v>0</v>
      </c>
      <c r="K943" s="84" t="str">
        <f t="shared" si="3"/>
        <v>Stabil</v>
      </c>
      <c r="L943" s="84">
        <f t="shared" si="4"/>
        <v>0</v>
      </c>
      <c r="M943" s="88" t="str">
        <f t="shared" si="5"/>
        <v>Perubahan Normal</v>
      </c>
    </row>
    <row r="944" ht="18.75" customHeight="1">
      <c r="A944" s="80" t="s">
        <v>450</v>
      </c>
      <c r="B944" s="81" t="str">
        <f t="shared" si="1"/>
        <v>Waingapu</v>
      </c>
      <c r="C944" s="81" t="str">
        <f t="array" ref="C944">XLOOKUP(B944,Reference!$A$2:$A$152,Reference!$B$2:$B$152)</f>
        <v>Nusa Tenggara Timur (NTT)</v>
      </c>
      <c r="D944" s="82" t="s">
        <v>1383</v>
      </c>
      <c r="E944" s="83">
        <v>45323.0</v>
      </c>
      <c r="F944" s="84" t="str">
        <f t="array" ref="F944">XLOOKUP(G944,Reference!$F:$F,Reference!$D:$D,"null")</f>
        <v>Makanan dan Pakaian </v>
      </c>
      <c r="G944" s="85" t="s">
        <v>48</v>
      </c>
      <c r="H944" s="86">
        <v>106.9</v>
      </c>
      <c r="I944" s="86">
        <v>105.38</v>
      </c>
      <c r="J944" s="87">
        <f t="shared" si="2"/>
        <v>1.442398937</v>
      </c>
      <c r="K944" s="84" t="str">
        <f t="shared" si="3"/>
        <v>Inflasi Tinggi</v>
      </c>
      <c r="L944" s="84">
        <f t="shared" si="4"/>
        <v>1.52</v>
      </c>
      <c r="M944" s="88" t="str">
        <f t="shared" si="5"/>
        <v>Akselerasi Persentase</v>
      </c>
    </row>
    <row r="945" ht="18.75" customHeight="1">
      <c r="A945" s="80" t="s">
        <v>616</v>
      </c>
      <c r="B945" s="81" t="str">
        <f t="shared" si="1"/>
        <v>Kab Sorong</v>
      </c>
      <c r="C945" s="81" t="str">
        <f t="array" ref="C945">XLOOKUP(B945,Reference!$A$2:$A$152,Reference!$B$2:$B$152)</f>
        <v>Papua Barat Daya</v>
      </c>
      <c r="D945" s="82" t="s">
        <v>1384</v>
      </c>
      <c r="E945" s="83">
        <v>45352.0</v>
      </c>
      <c r="F945" s="84" t="str">
        <f t="array" ref="F945">XLOOKUP(G945,Reference!$F:$F,Reference!$D:$D,"null")</f>
        <v>Makanan dan Pakaian </v>
      </c>
      <c r="G945" s="85" t="s">
        <v>72</v>
      </c>
      <c r="H945" s="86">
        <v>104.84</v>
      </c>
      <c r="I945" s="86">
        <v>105.53</v>
      </c>
      <c r="J945" s="87">
        <f t="shared" si="2"/>
        <v>-0.6538425092</v>
      </c>
      <c r="K945" s="84" t="str">
        <f t="shared" si="3"/>
        <v>Deflasi</v>
      </c>
      <c r="L945" s="84">
        <f t="shared" si="4"/>
        <v>-0.69</v>
      </c>
      <c r="M945" s="88" t="str">
        <f t="shared" si="5"/>
        <v>Perubahan Normal</v>
      </c>
    </row>
    <row r="946" ht="18.75" customHeight="1">
      <c r="A946" s="80" t="s">
        <v>715</v>
      </c>
      <c r="B946" s="81" t="str">
        <f t="shared" si="1"/>
        <v>Kab Bojonegoro</v>
      </c>
      <c r="C946" s="81" t="str">
        <f t="array" ref="C946">XLOOKUP(B946,Reference!$A$2:$A$152,Reference!$B$2:$B$152)</f>
        <v>Jawa Timur</v>
      </c>
      <c r="D946" s="82" t="s">
        <v>1385</v>
      </c>
      <c r="E946" s="83">
        <v>45323.0</v>
      </c>
      <c r="F946" s="84" t="str">
        <f t="array" ref="F946">XLOOKUP(G946,Reference!$F:$F,Reference!$D:$D,"null")</f>
        <v>Rekreasi dan Kendaraan</v>
      </c>
      <c r="G946" s="85" t="s">
        <v>102</v>
      </c>
      <c r="H946" s="86">
        <v>105.33</v>
      </c>
      <c r="I946" s="86">
        <v>105.07</v>
      </c>
      <c r="J946" s="87">
        <f t="shared" si="2"/>
        <v>0.2474540782</v>
      </c>
      <c r="K946" s="84" t="str">
        <f t="shared" si="3"/>
        <v>Inflasi Normal</v>
      </c>
      <c r="L946" s="84">
        <f t="shared" si="4"/>
        <v>0.26</v>
      </c>
      <c r="M946" s="88" t="str">
        <f t="shared" si="5"/>
        <v>Perubahan Normal</v>
      </c>
    </row>
    <row r="947" ht="18.75" customHeight="1">
      <c r="A947" s="80" t="s">
        <v>355</v>
      </c>
      <c r="B947" s="81" t="str">
        <f t="shared" si="1"/>
        <v>Kota Gorontalo</v>
      </c>
      <c r="C947" s="81" t="str">
        <f t="array" ref="C947">XLOOKUP(B947,Reference!$A$2:$A$152,Reference!$B$2:$B$152)</f>
        <v>Gorontalo</v>
      </c>
      <c r="D947" s="82" t="s">
        <v>1386</v>
      </c>
      <c r="E947" s="83">
        <v>45352.0</v>
      </c>
      <c r="F947" s="84" t="str">
        <f t="array" ref="F947">XLOOKUP(G947,Reference!$F:$F,Reference!$D:$D,"null")</f>
        <v>Rekreasi dan Kendaraan</v>
      </c>
      <c r="G947" s="85" t="s">
        <v>105</v>
      </c>
      <c r="H947" s="86">
        <v>103.67</v>
      </c>
      <c r="I947" s="86">
        <v>103.53</v>
      </c>
      <c r="J947" s="87">
        <f t="shared" si="2"/>
        <v>0.1352265044</v>
      </c>
      <c r="K947" s="84" t="str">
        <f t="shared" si="3"/>
        <v>Inflasi Normal</v>
      </c>
      <c r="L947" s="84">
        <f t="shared" si="4"/>
        <v>0.14</v>
      </c>
      <c r="M947" s="88" t="str">
        <f t="shared" si="5"/>
        <v>Perubahan Normal</v>
      </c>
    </row>
    <row r="948" ht="18.75" customHeight="1">
      <c r="A948" s="80" t="s">
        <v>351</v>
      </c>
      <c r="B948" s="81" t="str">
        <f t="shared" si="1"/>
        <v>Kota Balikpapan</v>
      </c>
      <c r="C948" s="81" t="str">
        <f t="array" ref="C948">XLOOKUP(B948,Reference!$A$2:$A$152,Reference!$B$2:$B$152)</f>
        <v>Kalimantan Timur</v>
      </c>
      <c r="D948" s="82" t="s">
        <v>1387</v>
      </c>
      <c r="E948" s="83">
        <v>45323.0</v>
      </c>
      <c r="F948" s="84" t="str">
        <f t="array" ref="F948">XLOOKUP(G948,Reference!$F:$F,Reference!$D:$D,"null")</f>
        <v>Makanan dan Pakaian </v>
      </c>
      <c r="G948" s="89" t="s">
        <v>72</v>
      </c>
      <c r="H948" s="90">
        <v>99.17</v>
      </c>
      <c r="I948" s="90">
        <v>99.17</v>
      </c>
      <c r="J948" s="87">
        <f t="shared" si="2"/>
        <v>0</v>
      </c>
      <c r="K948" s="84" t="str">
        <f t="shared" si="3"/>
        <v>Stabil</v>
      </c>
      <c r="L948" s="91">
        <f t="shared" si="4"/>
        <v>0</v>
      </c>
      <c r="M948" s="88" t="str">
        <f t="shared" si="5"/>
        <v>Perubahan Normal</v>
      </c>
    </row>
    <row r="949" ht="18.75" customHeight="1">
      <c r="A949" s="80" t="s">
        <v>512</v>
      </c>
      <c r="B949" s="81" t="str">
        <f t="shared" si="1"/>
        <v>Kota Palu</v>
      </c>
      <c r="C949" s="81" t="str">
        <f t="array" ref="C949">XLOOKUP(B949,Reference!$A$2:$A$152,Reference!$B$2:$B$152)</f>
        <v>Sulawesi Tengah</v>
      </c>
      <c r="D949" s="82" t="s">
        <v>1388</v>
      </c>
      <c r="E949" s="83">
        <v>45323.0</v>
      </c>
      <c r="F949" s="84" t="str">
        <f t="array" ref="F949">XLOOKUP(G949,Reference!$F:$F,Reference!$D:$D,"null")</f>
        <v>Rumah Tangga</v>
      </c>
      <c r="G949" s="85" t="s">
        <v>80</v>
      </c>
      <c r="H949" s="86">
        <v>105.5</v>
      </c>
      <c r="I949" s="86">
        <v>105.5</v>
      </c>
      <c r="J949" s="87">
        <f t="shared" si="2"/>
        <v>0</v>
      </c>
      <c r="K949" s="84" t="str">
        <f t="shared" si="3"/>
        <v>Stabil</v>
      </c>
      <c r="L949" s="84">
        <f t="shared" si="4"/>
        <v>0</v>
      </c>
      <c r="M949" s="88" t="str">
        <f t="shared" si="5"/>
        <v>Perubahan Normal</v>
      </c>
    </row>
    <row r="950" ht="18.75" customHeight="1">
      <c r="A950" s="80" t="s">
        <v>558</v>
      </c>
      <c r="B950" s="81" t="str">
        <f t="shared" si="1"/>
        <v>Kab Kapuas</v>
      </c>
      <c r="C950" s="81" t="str">
        <f t="array" ref="C950">XLOOKUP(B950,Reference!$A$2:$A$152,Reference!$B$2:$B$152)</f>
        <v>Kalimantan Tengah</v>
      </c>
      <c r="D950" s="82" t="s">
        <v>1389</v>
      </c>
      <c r="E950" s="83">
        <v>45323.0</v>
      </c>
      <c r="F950" s="84" t="str">
        <f t="array" ref="F950">XLOOKUP(G950,Reference!$F:$F,Reference!$D:$D,"null")</f>
        <v>Rekreasi dan Kendaraan</v>
      </c>
      <c r="G950" s="85" t="s">
        <v>102</v>
      </c>
      <c r="H950" s="86">
        <v>105.75</v>
      </c>
      <c r="I950" s="86">
        <v>105.55</v>
      </c>
      <c r="J950" s="87">
        <f t="shared" si="2"/>
        <v>0.189483657</v>
      </c>
      <c r="K950" s="84" t="str">
        <f t="shared" si="3"/>
        <v>Inflasi Normal</v>
      </c>
      <c r="L950" s="84">
        <f t="shared" si="4"/>
        <v>0.2</v>
      </c>
      <c r="M950" s="88" t="str">
        <f t="shared" si="5"/>
        <v>Perubahan Normal</v>
      </c>
    </row>
    <row r="951" ht="18.75" customHeight="1">
      <c r="A951" s="80" t="s">
        <v>397</v>
      </c>
      <c r="B951" s="81" t="str">
        <f t="shared" si="1"/>
        <v>Kota Pematangsiantar</v>
      </c>
      <c r="C951" s="81" t="str">
        <f t="array" ref="C951">XLOOKUP(B951,Reference!$A$2:$A$152,Reference!$B$2:$B$152)</f>
        <v>Sumatera Utara</v>
      </c>
      <c r="D951" s="82" t="s">
        <v>1390</v>
      </c>
      <c r="E951" s="83">
        <v>45352.0</v>
      </c>
      <c r="F951" s="84" t="str">
        <f t="array" ref="F951">XLOOKUP(G951,Reference!$F:$F,Reference!$D:$D,"null")</f>
        <v>Rumah Tangga</v>
      </c>
      <c r="G951" s="85" t="s">
        <v>89</v>
      </c>
      <c r="H951" s="86">
        <v>110.84</v>
      </c>
      <c r="I951" s="86">
        <v>110.84</v>
      </c>
      <c r="J951" s="87">
        <f t="shared" si="2"/>
        <v>0</v>
      </c>
      <c r="K951" s="84" t="str">
        <f t="shared" si="3"/>
        <v>Stabil</v>
      </c>
      <c r="L951" s="84">
        <f t="shared" si="4"/>
        <v>0</v>
      </c>
      <c r="M951" s="88" t="str">
        <f t="shared" si="5"/>
        <v>Perubahan Normal</v>
      </c>
    </row>
    <row r="952" ht="18.75" customHeight="1">
      <c r="A952" s="80" t="s">
        <v>837</v>
      </c>
      <c r="B952" s="81" t="str">
        <f t="shared" si="1"/>
        <v>Kab Luwu Timur</v>
      </c>
      <c r="C952" s="81" t="str">
        <f t="array" ref="C952">XLOOKUP(B952,Reference!$A$2:$A$152,Reference!$B$2:$B$152)</f>
        <v>Sulawesi Selatan</v>
      </c>
      <c r="D952" s="82" t="s">
        <v>1391</v>
      </c>
      <c r="E952" s="83">
        <v>45323.0</v>
      </c>
      <c r="F952" s="84" t="str">
        <f t="array" ref="F952">XLOOKUP(G952,Reference!$F:$F,Reference!$D:$D,"null")</f>
        <v>Makanan dan Pakaian </v>
      </c>
      <c r="G952" s="85" t="s">
        <v>72</v>
      </c>
      <c r="H952" s="86">
        <v>97.87</v>
      </c>
      <c r="I952" s="86">
        <v>97.87</v>
      </c>
      <c r="J952" s="87">
        <f t="shared" si="2"/>
        <v>0</v>
      </c>
      <c r="K952" s="84" t="str">
        <f t="shared" si="3"/>
        <v>Stabil</v>
      </c>
      <c r="L952" s="84">
        <f t="shared" si="4"/>
        <v>0</v>
      </c>
      <c r="M952" s="88" t="str">
        <f t="shared" si="5"/>
        <v>Perubahan Normal</v>
      </c>
    </row>
    <row r="953" ht="18.75" customHeight="1">
      <c r="A953" s="80" t="s">
        <v>600</v>
      </c>
      <c r="B953" s="81" t="str">
        <f t="shared" si="1"/>
        <v>Kota Banda Aceh</v>
      </c>
      <c r="C953" s="81" t="str">
        <f t="array" ref="C953">XLOOKUP(B953,Reference!$A$2:$A$152,Reference!$B$2:$B$152)</f>
        <v>Aceh</v>
      </c>
      <c r="D953" s="82" t="s">
        <v>1392</v>
      </c>
      <c r="E953" s="83">
        <v>45323.0</v>
      </c>
      <c r="F953" s="84" t="str">
        <f t="array" ref="F953">XLOOKUP(G953,Reference!$F:$F,Reference!$D:$D,"null")</f>
        <v>Rumah Tangga</v>
      </c>
      <c r="G953" s="85" t="s">
        <v>89</v>
      </c>
      <c r="H953" s="86">
        <v>101.11</v>
      </c>
      <c r="I953" s="86">
        <v>101.11</v>
      </c>
      <c r="J953" s="87">
        <f t="shared" si="2"/>
        <v>0</v>
      </c>
      <c r="K953" s="84" t="str">
        <f t="shared" si="3"/>
        <v>Stabil</v>
      </c>
      <c r="L953" s="84">
        <f t="shared" si="4"/>
        <v>0</v>
      </c>
      <c r="M953" s="88" t="str">
        <f t="shared" si="5"/>
        <v>Perubahan Normal</v>
      </c>
    </row>
    <row r="954" ht="18.75" customHeight="1">
      <c r="A954" s="80" t="s">
        <v>905</v>
      </c>
      <c r="B954" s="81" t="str">
        <f t="shared" si="1"/>
        <v>Kota Ambon</v>
      </c>
      <c r="C954" s="81" t="str">
        <f t="array" ref="C954">XLOOKUP(B954,Reference!$A$2:$A$152,Reference!$B$2:$B$152)</f>
        <v>Maluku</v>
      </c>
      <c r="D954" s="82" t="s">
        <v>1393</v>
      </c>
      <c r="E954" s="83">
        <v>45352.0</v>
      </c>
      <c r="F954" s="84" t="str">
        <f t="array" ref="F954">XLOOKUP(G954,Reference!$F:$F,Reference!$D:$D,"null")</f>
        <v>Makanan dan Pakaian </v>
      </c>
      <c r="G954" s="85" t="s">
        <v>72</v>
      </c>
      <c r="H954" s="86">
        <v>101.04</v>
      </c>
      <c r="I954" s="86">
        <v>100.19</v>
      </c>
      <c r="J954" s="87">
        <f t="shared" si="2"/>
        <v>0.8483880627</v>
      </c>
      <c r="K954" s="84" t="str">
        <f t="shared" si="3"/>
        <v>Inflasi Tinggi</v>
      </c>
      <c r="L954" s="84">
        <f t="shared" si="4"/>
        <v>0.85</v>
      </c>
      <c r="M954" s="88" t="str">
        <f t="shared" si="5"/>
        <v>Akselerasi Persentase</v>
      </c>
    </row>
    <row r="955" ht="18.75" customHeight="1">
      <c r="A955" s="80" t="s">
        <v>642</v>
      </c>
      <c r="B955" s="81" t="str">
        <f t="shared" si="1"/>
        <v>Kota Bandar Lampung</v>
      </c>
      <c r="C955" s="81" t="str">
        <f t="array" ref="C955">XLOOKUP(B955,Reference!$A$2:$A$152,Reference!$B$2:$B$152)</f>
        <v>Lampung</v>
      </c>
      <c r="D955" s="82" t="s">
        <v>1394</v>
      </c>
      <c r="E955" s="83">
        <v>45352.0</v>
      </c>
      <c r="F955" s="84" t="str">
        <f t="array" ref="F955">XLOOKUP(G955,Reference!$F:$F,Reference!$D:$D,"null")</f>
        <v>Makanan dan Pakaian </v>
      </c>
      <c r="G955" s="85" t="s">
        <v>56</v>
      </c>
      <c r="H955" s="86">
        <v>113.08</v>
      </c>
      <c r="I955" s="86">
        <v>110.24</v>
      </c>
      <c r="J955" s="87">
        <f t="shared" si="2"/>
        <v>2.576197388</v>
      </c>
      <c r="K955" s="84" t="str">
        <f t="shared" si="3"/>
        <v>Inflasi Tinggi</v>
      </c>
      <c r="L955" s="84">
        <f t="shared" si="4"/>
        <v>2.84</v>
      </c>
      <c r="M955" s="88" t="str">
        <f t="shared" si="5"/>
        <v>Akselerasi Kuat</v>
      </c>
    </row>
    <row r="956" ht="18.75" customHeight="1">
      <c r="A956" s="80" t="s">
        <v>542</v>
      </c>
      <c r="B956" s="81" t="str">
        <f t="shared" si="1"/>
        <v>Kab Karo</v>
      </c>
      <c r="C956" s="81" t="str">
        <f t="array" ref="C956">XLOOKUP(B956,Reference!$A$2:$A$152,Reference!$B$2:$B$152)</f>
        <v>Sumatera Utara</v>
      </c>
      <c r="D956" s="82" t="s">
        <v>1395</v>
      </c>
      <c r="E956" s="83">
        <v>45352.0</v>
      </c>
      <c r="F956" s="84" t="str">
        <f t="array" ref="F956">XLOOKUP(G956,Reference!$F:$F,Reference!$D:$D,"null")</f>
        <v>Pendidikan dan Kesehatan</v>
      </c>
      <c r="G956" s="85" t="s">
        <v>98</v>
      </c>
      <c r="H956" s="86">
        <v>99.32</v>
      </c>
      <c r="I956" s="86">
        <v>99.32</v>
      </c>
      <c r="J956" s="87">
        <f t="shared" si="2"/>
        <v>0</v>
      </c>
      <c r="K956" s="84" t="str">
        <f t="shared" si="3"/>
        <v>Stabil</v>
      </c>
      <c r="L956" s="84">
        <f t="shared" si="4"/>
        <v>0</v>
      </c>
      <c r="M956" s="88" t="str">
        <f t="shared" si="5"/>
        <v>Perubahan Normal</v>
      </c>
    </row>
    <row r="957" ht="18.75" customHeight="1">
      <c r="A957" s="80" t="s">
        <v>656</v>
      </c>
      <c r="B957" s="81" t="str">
        <f t="shared" si="1"/>
        <v>Kota Palopo</v>
      </c>
      <c r="C957" s="81" t="str">
        <f t="array" ref="C957">XLOOKUP(B957,Reference!$A$2:$A$152,Reference!$B$2:$B$152)</f>
        <v>Sulawesi Selatan</v>
      </c>
      <c r="D957" s="82" t="s">
        <v>1396</v>
      </c>
      <c r="E957" s="83">
        <v>45323.0</v>
      </c>
      <c r="F957" s="84" t="str">
        <f t="array" ref="F957">XLOOKUP(G957,Reference!$F:$F,Reference!$D:$D,"null")</f>
        <v>Pendidikan dan Kesehatan</v>
      </c>
      <c r="G957" s="85" t="s">
        <v>95</v>
      </c>
      <c r="H957" s="86">
        <v>102.0</v>
      </c>
      <c r="I957" s="86">
        <v>102.0</v>
      </c>
      <c r="J957" s="87">
        <f t="shared" si="2"/>
        <v>0</v>
      </c>
      <c r="K957" s="84" t="str">
        <f t="shared" si="3"/>
        <v>Stabil</v>
      </c>
      <c r="L957" s="84">
        <f t="shared" si="4"/>
        <v>0</v>
      </c>
      <c r="M957" s="88" t="str">
        <f t="shared" si="5"/>
        <v>Perubahan Normal</v>
      </c>
    </row>
    <row r="958" ht="18.75" customHeight="1">
      <c r="A958" s="80" t="s">
        <v>417</v>
      </c>
      <c r="B958" s="81" t="str">
        <f t="shared" si="1"/>
        <v>Kotabaru</v>
      </c>
      <c r="C958" s="81" t="str">
        <f t="array" ref="C958">XLOOKUP(B958,Reference!$A$2:$A$152,Reference!$B$2:$B$152)</f>
        <v>Kalimantan Selatan</v>
      </c>
      <c r="D958" s="82" t="s">
        <v>1397</v>
      </c>
      <c r="E958" s="83">
        <v>45323.0</v>
      </c>
      <c r="F958" s="84" t="str">
        <f t="array" ref="F958">XLOOKUP(G958,Reference!$F:$F,Reference!$D:$D,"null")</f>
        <v>Makanan dan Pakaian </v>
      </c>
      <c r="G958" s="89" t="s">
        <v>64</v>
      </c>
      <c r="H958" s="90">
        <v>105.22</v>
      </c>
      <c r="I958" s="90">
        <v>105.22</v>
      </c>
      <c r="J958" s="87">
        <f t="shared" si="2"/>
        <v>0</v>
      </c>
      <c r="K958" s="84" t="str">
        <f t="shared" si="3"/>
        <v>Stabil</v>
      </c>
      <c r="L958" s="91">
        <f t="shared" si="4"/>
        <v>0</v>
      </c>
      <c r="M958" s="88" t="str">
        <f t="shared" si="5"/>
        <v>Perubahan Normal</v>
      </c>
    </row>
    <row r="959" ht="18.75" customHeight="1">
      <c r="A959" s="80" t="s">
        <v>308</v>
      </c>
      <c r="B959" s="81" t="str">
        <f t="shared" si="1"/>
        <v>Kab Sukamara</v>
      </c>
      <c r="C959" s="81" t="str">
        <f t="array" ref="C959">XLOOKUP(B959,Reference!$A$2:$A$152,Reference!$B$2:$B$152)</f>
        <v>Kalimantan Tengah</v>
      </c>
      <c r="D959" s="82" t="s">
        <v>1398</v>
      </c>
      <c r="E959" s="83">
        <v>45323.0</v>
      </c>
      <c r="F959" s="84" t="str">
        <f t="array" ref="F959">XLOOKUP(G959,Reference!$F:$F,Reference!$D:$D,"null")</f>
        <v>Makanan dan Pakaian </v>
      </c>
      <c r="G959" s="85" t="s">
        <v>72</v>
      </c>
      <c r="H959" s="86">
        <v>115.2</v>
      </c>
      <c r="I959" s="86">
        <v>115.2</v>
      </c>
      <c r="J959" s="87">
        <f t="shared" si="2"/>
        <v>0</v>
      </c>
      <c r="K959" s="84" t="str">
        <f t="shared" si="3"/>
        <v>Stabil</v>
      </c>
      <c r="L959" s="84">
        <f t="shared" si="4"/>
        <v>0</v>
      </c>
      <c r="M959" s="88" t="str">
        <f t="shared" si="5"/>
        <v>Perubahan Normal</v>
      </c>
    </row>
    <row r="960" ht="18.75" customHeight="1">
      <c r="A960" s="80" t="s">
        <v>740</v>
      </c>
      <c r="B960" s="81" t="str">
        <f t="shared" si="1"/>
        <v>Kota Gunungsitoli</v>
      </c>
      <c r="C960" s="81" t="str">
        <f t="array" ref="C960">XLOOKUP(B960,Reference!$A$2:$A$152,Reference!$B$2:$B$152)</f>
        <v>Sumatera Utara</v>
      </c>
      <c r="D960" s="82" t="s">
        <v>1399</v>
      </c>
      <c r="E960" s="83">
        <v>45323.0</v>
      </c>
      <c r="F960" s="84" t="str">
        <f t="array" ref="F960">XLOOKUP(G960,Reference!$F:$F,Reference!$D:$D,"null")</f>
        <v>Rekreasi dan Kendaraan</v>
      </c>
      <c r="G960" s="85" t="s">
        <v>102</v>
      </c>
      <c r="H960" s="86">
        <v>109.27</v>
      </c>
      <c r="I960" s="86">
        <v>109.27</v>
      </c>
      <c r="J960" s="87">
        <f t="shared" si="2"/>
        <v>0</v>
      </c>
      <c r="K960" s="84" t="str">
        <f t="shared" si="3"/>
        <v>Stabil</v>
      </c>
      <c r="L960" s="84">
        <f t="shared" si="4"/>
        <v>0</v>
      </c>
      <c r="M960" s="88" t="str">
        <f t="shared" si="5"/>
        <v>Perubahan Normal</v>
      </c>
    </row>
    <row r="961" ht="18.75" customHeight="1">
      <c r="A961" s="80" t="s">
        <v>316</v>
      </c>
      <c r="B961" s="81" t="str">
        <f t="shared" si="1"/>
        <v>Singaraja</v>
      </c>
      <c r="C961" s="81" t="str">
        <f t="array" ref="C961">XLOOKUP(B961,Reference!$A$2:$A$152,Reference!$B$2:$B$152)</f>
        <v>Bali</v>
      </c>
      <c r="D961" s="82" t="s">
        <v>1400</v>
      </c>
      <c r="E961" s="83">
        <v>45323.0</v>
      </c>
      <c r="F961" s="84" t="str">
        <f t="array" ref="F961">XLOOKUP(G961,Reference!$F:$F,Reference!$D:$D,"null")</f>
        <v>Pendidikan dan Kesehatan</v>
      </c>
      <c r="G961" s="85" t="s">
        <v>95</v>
      </c>
      <c r="H961" s="86">
        <v>99.79</v>
      </c>
      <c r="I961" s="86">
        <v>99.79</v>
      </c>
      <c r="J961" s="87">
        <f t="shared" si="2"/>
        <v>0</v>
      </c>
      <c r="K961" s="84" t="str">
        <f t="shared" si="3"/>
        <v>Stabil</v>
      </c>
      <c r="L961" s="84">
        <f t="shared" si="4"/>
        <v>0</v>
      </c>
      <c r="M961" s="88" t="str">
        <f t="shared" si="5"/>
        <v>Perubahan Normal</v>
      </c>
    </row>
    <row r="962" ht="18.75" customHeight="1">
      <c r="A962" s="80" t="s">
        <v>532</v>
      </c>
      <c r="B962" s="81" t="str">
        <f t="shared" si="1"/>
        <v>Kota Palembang</v>
      </c>
      <c r="C962" s="81" t="str">
        <f t="array" ref="C962">XLOOKUP(B962,Reference!$A$2:$A$152,Reference!$B$2:$B$152)</f>
        <v>Sumatera Selatan</v>
      </c>
      <c r="D962" s="82" t="s">
        <v>1401</v>
      </c>
      <c r="E962" s="83">
        <v>45352.0</v>
      </c>
      <c r="F962" s="84" t="str">
        <f t="array" ref="F962">XLOOKUP(G962,Reference!$F:$F,Reference!$D:$D,"null")</f>
        <v>Rekreasi dan Kendaraan</v>
      </c>
      <c r="G962" s="85" t="s">
        <v>105</v>
      </c>
      <c r="H962" s="86">
        <v>99.95</v>
      </c>
      <c r="I962" s="86">
        <v>99.95</v>
      </c>
      <c r="J962" s="87">
        <f t="shared" si="2"/>
        <v>0</v>
      </c>
      <c r="K962" s="84" t="str">
        <f t="shared" si="3"/>
        <v>Stabil</v>
      </c>
      <c r="L962" s="84">
        <f t="shared" si="4"/>
        <v>0</v>
      </c>
      <c r="M962" s="88" t="str">
        <f t="shared" si="5"/>
        <v>Perubahan Normal</v>
      </c>
    </row>
    <row r="963" ht="18.75" customHeight="1">
      <c r="A963" s="80" t="s">
        <v>642</v>
      </c>
      <c r="B963" s="81" t="str">
        <f t="shared" si="1"/>
        <v>Kota Bandar Lampung</v>
      </c>
      <c r="C963" s="81" t="str">
        <f t="array" ref="C963">XLOOKUP(B963,Reference!$A$2:$A$152,Reference!$B$2:$B$152)</f>
        <v>Lampung</v>
      </c>
      <c r="D963" s="82" t="s">
        <v>1402</v>
      </c>
      <c r="E963" s="83">
        <v>45323.0</v>
      </c>
      <c r="F963" s="84" t="str">
        <f t="array" ref="F963">XLOOKUP(G963,Reference!$F:$F,Reference!$D:$D,"null")</f>
        <v>Makanan dan Pakaian </v>
      </c>
      <c r="G963" s="85" t="s">
        <v>56</v>
      </c>
      <c r="H963" s="86">
        <v>110.24</v>
      </c>
      <c r="I963" s="86">
        <v>110.14</v>
      </c>
      <c r="J963" s="87">
        <f t="shared" si="2"/>
        <v>0.0907935355</v>
      </c>
      <c r="K963" s="84" t="str">
        <f t="shared" si="3"/>
        <v>Inflasi Normal</v>
      </c>
      <c r="L963" s="84">
        <f t="shared" si="4"/>
        <v>0.1</v>
      </c>
      <c r="M963" s="88" t="str">
        <f t="shared" si="5"/>
        <v>Perubahan Normal</v>
      </c>
    </row>
    <row r="964" ht="18.75" customHeight="1">
      <c r="A964" s="80" t="s">
        <v>656</v>
      </c>
      <c r="B964" s="81" t="str">
        <f t="shared" si="1"/>
        <v>Kota Palopo</v>
      </c>
      <c r="C964" s="81" t="str">
        <f t="array" ref="C964">XLOOKUP(B964,Reference!$A$2:$A$152,Reference!$B$2:$B$152)</f>
        <v>Sulawesi Selatan</v>
      </c>
      <c r="D964" s="82" t="s">
        <v>1403</v>
      </c>
      <c r="E964" s="83">
        <v>45352.0</v>
      </c>
      <c r="F964" s="84" t="str">
        <f t="array" ref="F964">XLOOKUP(G964,Reference!$F:$F,Reference!$D:$D,"null")</f>
        <v>Makanan dan Pakaian </v>
      </c>
      <c r="G964" s="85" t="s">
        <v>72</v>
      </c>
      <c r="H964" s="86">
        <v>100.08</v>
      </c>
      <c r="I964" s="86">
        <v>100.08</v>
      </c>
      <c r="J964" s="87">
        <f t="shared" si="2"/>
        <v>0</v>
      </c>
      <c r="K964" s="84" t="str">
        <f t="shared" si="3"/>
        <v>Stabil</v>
      </c>
      <c r="L964" s="84">
        <f t="shared" si="4"/>
        <v>0</v>
      </c>
      <c r="M964" s="88" t="str">
        <f t="shared" si="5"/>
        <v>Perubahan Normal</v>
      </c>
    </row>
    <row r="965" ht="18.75" customHeight="1">
      <c r="A965" s="80" t="s">
        <v>606</v>
      </c>
      <c r="B965" s="81" t="str">
        <f t="shared" si="1"/>
        <v>Kota Pare Pare</v>
      </c>
      <c r="C965" s="81" t="str">
        <f t="array" ref="C965">XLOOKUP(B965,Reference!$A$2:$A$152,Reference!$B$2:$B$152)</f>
        <v>Sulawesi Selatan</v>
      </c>
      <c r="D965" s="82" t="s">
        <v>1404</v>
      </c>
      <c r="E965" s="83">
        <v>45352.0</v>
      </c>
      <c r="F965" s="84" t="str">
        <f t="array" ref="F965">XLOOKUP(G965,Reference!$F:$F,Reference!$D:$D,"null")</f>
        <v>Pendidikan dan Kesehatan</v>
      </c>
      <c r="G965" s="85" t="s">
        <v>95</v>
      </c>
      <c r="H965" s="86">
        <v>108.02</v>
      </c>
      <c r="I965" s="86">
        <v>108.02</v>
      </c>
      <c r="J965" s="87">
        <f t="shared" si="2"/>
        <v>0</v>
      </c>
      <c r="K965" s="84" t="str">
        <f t="shared" si="3"/>
        <v>Stabil</v>
      </c>
      <c r="L965" s="84">
        <f t="shared" si="4"/>
        <v>0</v>
      </c>
      <c r="M965" s="88" t="str">
        <f t="shared" si="5"/>
        <v>Perubahan Normal</v>
      </c>
    </row>
    <row r="966" ht="18.75" customHeight="1">
      <c r="A966" s="80" t="s">
        <v>431</v>
      </c>
      <c r="B966" s="81" t="str">
        <f t="shared" si="1"/>
        <v>Kota Ternate</v>
      </c>
      <c r="C966" s="81" t="str">
        <f t="array" ref="C966">XLOOKUP(B966,Reference!$A$2:$A$152,Reference!$B$2:$B$152)</f>
        <v>Maluku Utara</v>
      </c>
      <c r="D966" s="82" t="s">
        <v>1405</v>
      </c>
      <c r="E966" s="83">
        <v>45323.0</v>
      </c>
      <c r="F966" s="84" t="str">
        <f t="array" ref="F966">XLOOKUP(G966,Reference!$F:$F,Reference!$D:$D,"null")</f>
        <v>Pendidikan dan Kesehatan</v>
      </c>
      <c r="G966" s="85" t="s">
        <v>95</v>
      </c>
      <c r="H966" s="86">
        <v>103.05</v>
      </c>
      <c r="I966" s="86">
        <v>103.05</v>
      </c>
      <c r="J966" s="87">
        <f t="shared" si="2"/>
        <v>0</v>
      </c>
      <c r="K966" s="84" t="str">
        <f t="shared" si="3"/>
        <v>Stabil</v>
      </c>
      <c r="L966" s="84">
        <f t="shared" si="4"/>
        <v>0</v>
      </c>
      <c r="M966" s="88" t="str">
        <f t="shared" si="5"/>
        <v>Perubahan Normal</v>
      </c>
    </row>
    <row r="967" ht="18.75" customHeight="1">
      <c r="A967" s="80" t="s">
        <v>427</v>
      </c>
      <c r="B967" s="81" t="str">
        <f t="shared" si="1"/>
        <v>Kota Malang</v>
      </c>
      <c r="C967" s="81" t="str">
        <f t="array" ref="C967">XLOOKUP(B967,Reference!$A$2:$A$152,Reference!$B$2:$B$152)</f>
        <v>Jawa Timur</v>
      </c>
      <c r="D967" s="82" t="s">
        <v>1406</v>
      </c>
      <c r="E967" s="83">
        <v>45352.0</v>
      </c>
      <c r="F967" s="84" t="str">
        <f t="array" ref="F967">XLOOKUP(G967,Reference!$F:$F,Reference!$D:$D,"null")</f>
        <v>Makanan dan Pakaian </v>
      </c>
      <c r="G967" s="85" t="s">
        <v>56</v>
      </c>
      <c r="H967" s="86">
        <v>107.15</v>
      </c>
      <c r="I967" s="86">
        <v>106.86</v>
      </c>
      <c r="J967" s="87">
        <f t="shared" si="2"/>
        <v>0.2713831181</v>
      </c>
      <c r="K967" s="84" t="str">
        <f t="shared" si="3"/>
        <v>Inflasi Normal</v>
      </c>
      <c r="L967" s="84">
        <f t="shared" si="4"/>
        <v>0.29</v>
      </c>
      <c r="M967" s="88" t="str">
        <f t="shared" si="5"/>
        <v>Perubahan Normal</v>
      </c>
    </row>
    <row r="968" ht="18.75" customHeight="1">
      <c r="A968" s="80" t="s">
        <v>656</v>
      </c>
      <c r="B968" s="81" t="str">
        <f t="shared" si="1"/>
        <v>Kota Palopo</v>
      </c>
      <c r="C968" s="81" t="str">
        <f t="array" ref="C968">XLOOKUP(B968,Reference!$A$2:$A$152,Reference!$B$2:$B$152)</f>
        <v>Sulawesi Selatan</v>
      </c>
      <c r="D968" s="82" t="s">
        <v>1407</v>
      </c>
      <c r="E968" s="83">
        <v>45323.0</v>
      </c>
      <c r="F968" s="84" t="str">
        <f t="array" ref="F968">XLOOKUP(G968,Reference!$F:$F,Reference!$D:$D,"null")</f>
        <v>Rekreasi dan Kendaraan</v>
      </c>
      <c r="G968" s="85" t="s">
        <v>105</v>
      </c>
      <c r="H968" s="86">
        <v>99.99</v>
      </c>
      <c r="I968" s="86">
        <v>99.99</v>
      </c>
      <c r="J968" s="87">
        <f t="shared" si="2"/>
        <v>0</v>
      </c>
      <c r="K968" s="84" t="str">
        <f t="shared" si="3"/>
        <v>Stabil</v>
      </c>
      <c r="L968" s="84">
        <f t="shared" si="4"/>
        <v>0</v>
      </c>
      <c r="M968" s="88" t="str">
        <f t="shared" si="5"/>
        <v>Perubahan Normal</v>
      </c>
    </row>
    <row r="969" ht="18.75" customHeight="1">
      <c r="A969" s="80" t="s">
        <v>634</v>
      </c>
      <c r="B969" s="81" t="str">
        <f t="shared" si="1"/>
        <v>Kota Depok</v>
      </c>
      <c r="C969" s="81" t="str">
        <f t="array" ref="C969">XLOOKUP(B969,Reference!$A$2:$A$152,Reference!$B$2:$B$152)</f>
        <v>Jawa Barat</v>
      </c>
      <c r="D969" s="82" t="s">
        <v>1408</v>
      </c>
      <c r="E969" s="83">
        <v>45352.0</v>
      </c>
      <c r="F969" s="84" t="str">
        <f t="array" ref="F969">XLOOKUP(G969,Reference!$F:$F,Reference!$D:$D,"null")</f>
        <v>Rumah Tangga</v>
      </c>
      <c r="G969" s="85" t="s">
        <v>84</v>
      </c>
      <c r="H969" s="86">
        <v>102.37</v>
      </c>
      <c r="I969" s="86">
        <v>102.37</v>
      </c>
      <c r="J969" s="87">
        <f t="shared" si="2"/>
        <v>0</v>
      </c>
      <c r="K969" s="84" t="str">
        <f t="shared" si="3"/>
        <v>Stabil</v>
      </c>
      <c r="L969" s="84">
        <f t="shared" si="4"/>
        <v>0</v>
      </c>
      <c r="M969" s="88" t="str">
        <f t="shared" si="5"/>
        <v>Perubahan Normal</v>
      </c>
    </row>
    <row r="970" ht="18.75" customHeight="1">
      <c r="A970" s="80" t="s">
        <v>706</v>
      </c>
      <c r="B970" s="81" t="str">
        <f t="shared" si="1"/>
        <v>Kota Makassar</v>
      </c>
      <c r="C970" s="81" t="str">
        <f t="array" ref="C970">XLOOKUP(B970,Reference!$A$2:$A$152,Reference!$B$2:$B$152)</f>
        <v>Sulawesi Selatan</v>
      </c>
      <c r="D970" s="82" t="s">
        <v>1409</v>
      </c>
      <c r="E970" s="83">
        <v>45323.0</v>
      </c>
      <c r="F970" s="84" t="str">
        <f t="array" ref="F970">XLOOKUP(G970,Reference!$F:$F,Reference!$D:$D,"null")</f>
        <v>Rumah Tangga</v>
      </c>
      <c r="G970" s="85" t="s">
        <v>80</v>
      </c>
      <c r="H970" s="86">
        <v>103.09</v>
      </c>
      <c r="I970" s="86">
        <v>103.08</v>
      </c>
      <c r="J970" s="87">
        <f t="shared" si="2"/>
        <v>0.009701202949</v>
      </c>
      <c r="K970" s="84" t="str">
        <f t="shared" si="3"/>
        <v>Inflasi Normal</v>
      </c>
      <c r="L970" s="84">
        <f t="shared" si="4"/>
        <v>0.01</v>
      </c>
      <c r="M970" s="88" t="str">
        <f t="shared" si="5"/>
        <v>Perubahan Normal</v>
      </c>
    </row>
    <row r="971" ht="18.75" customHeight="1">
      <c r="A971" s="80" t="s">
        <v>672</v>
      </c>
      <c r="B971" s="81" t="str">
        <f t="shared" si="1"/>
        <v>Kab Ogan Komering Ilir</v>
      </c>
      <c r="C971" s="81" t="str">
        <f t="array" ref="C971">XLOOKUP(B971,Reference!$A$2:$A$152,Reference!$B$2:$B$152)</f>
        <v>Sumatera Selatan</v>
      </c>
      <c r="D971" s="82" t="s">
        <v>1410</v>
      </c>
      <c r="E971" s="83">
        <v>45323.0</v>
      </c>
      <c r="F971" s="84" t="str">
        <f t="array" ref="F971">XLOOKUP(G971,Reference!$F:$F,Reference!$D:$D,"null")</f>
        <v>Rumah Tangga</v>
      </c>
      <c r="G971" s="85" t="s">
        <v>84</v>
      </c>
      <c r="H971" s="86">
        <v>102.04</v>
      </c>
      <c r="I971" s="86">
        <v>102.58</v>
      </c>
      <c r="J971" s="87">
        <f t="shared" si="2"/>
        <v>-0.5264184051</v>
      </c>
      <c r="K971" s="84" t="str">
        <f t="shared" si="3"/>
        <v>Deflasi</v>
      </c>
      <c r="L971" s="84">
        <f t="shared" si="4"/>
        <v>-0.54</v>
      </c>
      <c r="M971" s="88" t="str">
        <f t="shared" si="5"/>
        <v>Perubahan Normal</v>
      </c>
    </row>
    <row r="972" ht="18.75" customHeight="1">
      <c r="A972" s="80" t="s">
        <v>764</v>
      </c>
      <c r="B972" s="81" t="str">
        <f t="shared" si="1"/>
        <v>Kota Madiun</v>
      </c>
      <c r="C972" s="81" t="str">
        <f t="array" ref="C972">XLOOKUP(B972,Reference!$A$2:$A$152,Reference!$B$2:$B$152)</f>
        <v>Jawa Timur</v>
      </c>
      <c r="D972" s="82" t="s">
        <v>1411</v>
      </c>
      <c r="E972" s="83">
        <v>45323.0</v>
      </c>
      <c r="F972" s="84" t="str">
        <f t="array" ref="F972">XLOOKUP(G972,Reference!$F:$F,Reference!$D:$D,"null")</f>
        <v>Rekreasi dan Kendaraan</v>
      </c>
      <c r="G972" s="85" t="s">
        <v>105</v>
      </c>
      <c r="H972" s="86">
        <v>103.68</v>
      </c>
      <c r="I972" s="86">
        <v>103.65</v>
      </c>
      <c r="J972" s="87">
        <f t="shared" si="2"/>
        <v>0.02894356006</v>
      </c>
      <c r="K972" s="84" t="str">
        <f t="shared" si="3"/>
        <v>Inflasi Normal</v>
      </c>
      <c r="L972" s="84">
        <f t="shared" si="4"/>
        <v>0.03</v>
      </c>
      <c r="M972" s="88" t="str">
        <f t="shared" si="5"/>
        <v>Perubahan Normal</v>
      </c>
    </row>
    <row r="973" ht="18.75" customHeight="1">
      <c r="A973" s="80" t="s">
        <v>631</v>
      </c>
      <c r="B973" s="81" t="str">
        <f t="shared" si="1"/>
        <v>Kab Toli Toli</v>
      </c>
      <c r="C973" s="81" t="str">
        <f t="array" ref="C973">XLOOKUP(B973,Reference!$A$2:$A$152,Reference!$B$2:$B$152)</f>
        <v>Sulawesi Tengah</v>
      </c>
      <c r="D973" s="82" t="s">
        <v>1412</v>
      </c>
      <c r="E973" s="83">
        <v>45323.0</v>
      </c>
      <c r="F973" s="84" t="str">
        <f t="array" ref="F973">XLOOKUP(G973,Reference!$F:$F,Reference!$D:$D,"null")</f>
        <v>Pendidikan dan Kesehatan</v>
      </c>
      <c r="G973" s="85" t="s">
        <v>98</v>
      </c>
      <c r="H973" s="86">
        <v>96.9</v>
      </c>
      <c r="I973" s="86">
        <v>96.74</v>
      </c>
      <c r="J973" s="87">
        <f t="shared" si="2"/>
        <v>0.1653917718</v>
      </c>
      <c r="K973" s="84" t="str">
        <f t="shared" si="3"/>
        <v>Inflasi Normal</v>
      </c>
      <c r="L973" s="84">
        <f t="shared" si="4"/>
        <v>0.16</v>
      </c>
      <c r="M973" s="88" t="str">
        <f t="shared" si="5"/>
        <v>Perubahan Normal</v>
      </c>
    </row>
    <row r="974" ht="18.75" customHeight="1">
      <c r="A974" s="80" t="s">
        <v>376</v>
      </c>
      <c r="B974" s="81" t="str">
        <f t="shared" si="1"/>
        <v>Bulukumba</v>
      </c>
      <c r="C974" s="81" t="str">
        <f t="array" ref="C974">XLOOKUP(B974,Reference!$A$2:$A$152,Reference!$B$2:$B$152)</f>
        <v>Sulawesi Selatan</v>
      </c>
      <c r="D974" s="82" t="s">
        <v>1413</v>
      </c>
      <c r="E974" s="83">
        <v>45352.0</v>
      </c>
      <c r="F974" s="84" t="str">
        <f t="array" ref="F974">XLOOKUP(G974,Reference!$F:$F,Reference!$D:$D,"null")</f>
        <v>Rumah Tangga</v>
      </c>
      <c r="G974" s="85" t="s">
        <v>84</v>
      </c>
      <c r="H974" s="86">
        <v>99.26</v>
      </c>
      <c r="I974" s="86">
        <v>99.26</v>
      </c>
      <c r="J974" s="87">
        <f t="shared" si="2"/>
        <v>0</v>
      </c>
      <c r="K974" s="84" t="str">
        <f t="shared" si="3"/>
        <v>Stabil</v>
      </c>
      <c r="L974" s="84">
        <f t="shared" si="4"/>
        <v>0</v>
      </c>
      <c r="M974" s="88" t="str">
        <f t="shared" si="5"/>
        <v>Perubahan Normal</v>
      </c>
    </row>
    <row r="975" ht="18.75" customHeight="1">
      <c r="A975" s="80" t="s">
        <v>374</v>
      </c>
      <c r="B975" s="81" t="str">
        <f t="shared" si="1"/>
        <v>Kab Majalengka</v>
      </c>
      <c r="C975" s="81" t="str">
        <f t="array" ref="C975">XLOOKUP(B975,Reference!$A$2:$A$152,Reference!$B$2:$B$152)</f>
        <v>Jawa Barat</v>
      </c>
      <c r="D975" s="82" t="s">
        <v>1414</v>
      </c>
      <c r="E975" s="83">
        <v>45323.0</v>
      </c>
      <c r="F975" s="84" t="str">
        <f t="array" ref="F975">XLOOKUP(G975,Reference!$F:$F,Reference!$D:$D,"null")</f>
        <v>Rumah Tangga</v>
      </c>
      <c r="G975" s="85" t="s">
        <v>84</v>
      </c>
      <c r="H975" s="86">
        <v>101.27</v>
      </c>
      <c r="I975" s="86">
        <v>101.23</v>
      </c>
      <c r="J975" s="87">
        <f t="shared" si="2"/>
        <v>0.03951397807</v>
      </c>
      <c r="K975" s="84" t="str">
        <f t="shared" si="3"/>
        <v>Inflasi Normal</v>
      </c>
      <c r="L975" s="84">
        <f t="shared" si="4"/>
        <v>0.04</v>
      </c>
      <c r="M975" s="88" t="str">
        <f t="shared" si="5"/>
        <v>Perubahan Normal</v>
      </c>
    </row>
    <row r="976" ht="18.75" customHeight="1">
      <c r="A976" s="80" t="s">
        <v>578</v>
      </c>
      <c r="B976" s="81" t="str">
        <f t="shared" si="1"/>
        <v>Kab Belitung Timur</v>
      </c>
      <c r="C976" s="81" t="str">
        <f t="array" ref="C976">XLOOKUP(B976,Reference!$A$2:$A$152,Reference!$B$2:$B$152)</f>
        <v>Kepulauan Bangka Belitung</v>
      </c>
      <c r="D976" s="82" t="s">
        <v>1415</v>
      </c>
      <c r="E976" s="83">
        <v>45352.0</v>
      </c>
      <c r="F976" s="84" t="str">
        <f t="array" ref="F976">XLOOKUP(G976,Reference!$F:$F,Reference!$D:$D,"null")</f>
        <v>Makanan dan Pakaian </v>
      </c>
      <c r="G976" s="85" t="s">
        <v>72</v>
      </c>
      <c r="H976" s="86">
        <v>99.02</v>
      </c>
      <c r="I976" s="86">
        <v>99.02</v>
      </c>
      <c r="J976" s="87">
        <f t="shared" si="2"/>
        <v>0</v>
      </c>
      <c r="K976" s="84" t="str">
        <f t="shared" si="3"/>
        <v>Stabil</v>
      </c>
      <c r="L976" s="84">
        <f t="shared" si="4"/>
        <v>0</v>
      </c>
      <c r="M976" s="88" t="str">
        <f t="shared" si="5"/>
        <v>Perubahan Normal</v>
      </c>
    </row>
    <row r="977" ht="18.75" customHeight="1">
      <c r="A977" s="80" t="s">
        <v>331</v>
      </c>
      <c r="B977" s="81" t="str">
        <f t="shared" si="1"/>
        <v>Kota Lhokseumawe</v>
      </c>
      <c r="C977" s="81" t="str">
        <f t="array" ref="C977">XLOOKUP(B977,Reference!$A$2:$A$152,Reference!$B$2:$B$152)</f>
        <v>Aceh</v>
      </c>
      <c r="D977" s="82" t="s">
        <v>1416</v>
      </c>
      <c r="E977" s="83">
        <v>45323.0</v>
      </c>
      <c r="F977" s="84" t="str">
        <f t="array" ref="F977">XLOOKUP(G977,Reference!$F:$F,Reference!$D:$D,"null")</f>
        <v>Pendidikan dan Kesehatan</v>
      </c>
      <c r="G977" s="85" t="s">
        <v>95</v>
      </c>
      <c r="H977" s="86">
        <v>101.39</v>
      </c>
      <c r="I977" s="86">
        <v>101.39</v>
      </c>
      <c r="J977" s="87">
        <f t="shared" si="2"/>
        <v>0</v>
      </c>
      <c r="K977" s="84" t="str">
        <f t="shared" si="3"/>
        <v>Stabil</v>
      </c>
      <c r="L977" s="84">
        <f t="shared" si="4"/>
        <v>0</v>
      </c>
      <c r="M977" s="88" t="str">
        <f t="shared" si="5"/>
        <v>Perubahan Normal</v>
      </c>
    </row>
    <row r="978" ht="18.75" customHeight="1">
      <c r="A978" s="80" t="s">
        <v>1031</v>
      </c>
      <c r="B978" s="81" t="str">
        <f t="shared" si="1"/>
        <v>Kab Majene</v>
      </c>
      <c r="C978" s="81" t="str">
        <f t="array" ref="C978">XLOOKUP(B978,Reference!$A$2:$A$152,Reference!$B$2:$B$152)</f>
        <v>Sulawesi Barat</v>
      </c>
      <c r="D978" s="82" t="s">
        <v>1417</v>
      </c>
      <c r="E978" s="83">
        <v>45323.0</v>
      </c>
      <c r="F978" s="84" t="str">
        <f t="array" ref="F978">XLOOKUP(G978,Reference!$F:$F,Reference!$D:$D,"null")</f>
        <v>Makanan dan Pakaian </v>
      </c>
      <c r="G978" s="85" t="s">
        <v>72</v>
      </c>
      <c r="H978" s="86">
        <v>103.0</v>
      </c>
      <c r="I978" s="86">
        <v>103.13</v>
      </c>
      <c r="J978" s="87">
        <f t="shared" si="2"/>
        <v>-0.1260544943</v>
      </c>
      <c r="K978" s="84" t="str">
        <f t="shared" si="3"/>
        <v>Deflasi</v>
      </c>
      <c r="L978" s="84">
        <f t="shared" si="4"/>
        <v>-0.13</v>
      </c>
      <c r="M978" s="88" t="str">
        <f t="shared" si="5"/>
        <v>Perubahan Normal</v>
      </c>
    </row>
    <row r="979" ht="18.75" customHeight="1">
      <c r="A979" s="80" t="s">
        <v>362</v>
      </c>
      <c r="B979" s="81" t="str">
        <f t="shared" si="1"/>
        <v>Sumenep</v>
      </c>
      <c r="C979" s="81" t="str">
        <f t="array" ref="C979">XLOOKUP(B979,Reference!$A$2:$A$152,Reference!$B$2:$B$152)</f>
        <v>Jawa Timur</v>
      </c>
      <c r="D979" s="82" t="s">
        <v>1418</v>
      </c>
      <c r="E979" s="83">
        <v>45352.0</v>
      </c>
      <c r="F979" s="84" t="str">
        <f t="array" ref="F979">XLOOKUP(G979,Reference!$F:$F,Reference!$D:$D,"null")</f>
        <v>Pendidikan dan Kesehatan</v>
      </c>
      <c r="G979" s="85" t="s">
        <v>95</v>
      </c>
      <c r="H979" s="86">
        <v>103.54</v>
      </c>
      <c r="I979" s="86">
        <v>103.54</v>
      </c>
      <c r="J979" s="87">
        <f t="shared" si="2"/>
        <v>0</v>
      </c>
      <c r="K979" s="84" t="str">
        <f t="shared" si="3"/>
        <v>Stabil</v>
      </c>
      <c r="L979" s="84">
        <f t="shared" si="4"/>
        <v>0</v>
      </c>
      <c r="M979" s="88" t="str">
        <f t="shared" si="5"/>
        <v>Perubahan Normal</v>
      </c>
    </row>
    <row r="980" ht="18.75" customHeight="1">
      <c r="A980" s="80" t="s">
        <v>508</v>
      </c>
      <c r="B980" s="81" t="str">
        <f t="shared" si="1"/>
        <v>Kab Minahasa Selatan</v>
      </c>
      <c r="C980" s="81" t="str">
        <f t="array" ref="C980">XLOOKUP(B980,Reference!$A$2:$A$152,Reference!$B$2:$B$152)</f>
        <v>Sulawesi Utara</v>
      </c>
      <c r="D980" s="82" t="s">
        <v>1419</v>
      </c>
      <c r="E980" s="83">
        <v>45323.0</v>
      </c>
      <c r="F980" s="84" t="str">
        <f t="array" ref="F980">XLOOKUP(G980,Reference!$F:$F,Reference!$D:$D,"null")</f>
        <v>Rumah Tangga</v>
      </c>
      <c r="G980" s="85" t="s">
        <v>84</v>
      </c>
      <c r="H980" s="86">
        <v>103.79</v>
      </c>
      <c r="I980" s="86">
        <v>103.79</v>
      </c>
      <c r="J980" s="87">
        <f t="shared" si="2"/>
        <v>0</v>
      </c>
      <c r="K980" s="84" t="str">
        <f t="shared" si="3"/>
        <v>Stabil</v>
      </c>
      <c r="L980" s="84">
        <f t="shared" si="4"/>
        <v>0</v>
      </c>
      <c r="M980" s="88" t="str">
        <f t="shared" si="5"/>
        <v>Perubahan Normal</v>
      </c>
    </row>
    <row r="981" ht="18.75" customHeight="1">
      <c r="A981" s="80" t="s">
        <v>490</v>
      </c>
      <c r="B981" s="81" t="str">
        <f t="shared" si="1"/>
        <v>Kab Kerinci</v>
      </c>
      <c r="C981" s="81" t="str">
        <f t="array" ref="C981">XLOOKUP(B981,Reference!$A$2:$A$152,Reference!$B$2:$B$152)</f>
        <v>Jambi</v>
      </c>
      <c r="D981" s="82" t="s">
        <v>1420</v>
      </c>
      <c r="E981" s="83">
        <v>45352.0</v>
      </c>
      <c r="F981" s="84" t="str">
        <f t="array" ref="F981">XLOOKUP(G981,Reference!$F:$F,Reference!$D:$D,"null")</f>
        <v>Rumah Tangga</v>
      </c>
      <c r="G981" s="85" t="s">
        <v>80</v>
      </c>
      <c r="H981" s="86">
        <v>102.89</v>
      </c>
      <c r="I981" s="86">
        <v>102.38</v>
      </c>
      <c r="J981" s="87">
        <f t="shared" si="2"/>
        <v>0.4981441688</v>
      </c>
      <c r="K981" s="84" t="str">
        <f t="shared" si="3"/>
        <v>Inflasi Normal</v>
      </c>
      <c r="L981" s="84">
        <f t="shared" si="4"/>
        <v>0.51</v>
      </c>
      <c r="M981" s="88" t="str">
        <f t="shared" si="5"/>
        <v>Perubahan Normal</v>
      </c>
    </row>
    <row r="982" ht="18.75" customHeight="1">
      <c r="A982" s="80" t="s">
        <v>456</v>
      </c>
      <c r="B982" s="81" t="str">
        <f t="shared" si="1"/>
        <v>Kab Aceh Tamiang</v>
      </c>
      <c r="C982" s="81" t="str">
        <f t="array" ref="C982">XLOOKUP(B982,Reference!$A$2:$A$152,Reference!$B$2:$B$152)</f>
        <v>Aceh</v>
      </c>
      <c r="D982" s="82" t="s">
        <v>1421</v>
      </c>
      <c r="E982" s="83">
        <v>45323.0</v>
      </c>
      <c r="F982" s="84" t="str">
        <f t="array" ref="F982">XLOOKUP(G982,Reference!$F:$F,Reference!$D:$D,"null")</f>
        <v>Pendidikan dan Kesehatan</v>
      </c>
      <c r="G982" s="85" t="s">
        <v>98</v>
      </c>
      <c r="H982" s="86">
        <v>108.87</v>
      </c>
      <c r="I982" s="86">
        <v>108.87</v>
      </c>
      <c r="J982" s="87">
        <f t="shared" si="2"/>
        <v>0</v>
      </c>
      <c r="K982" s="84" t="str">
        <f t="shared" si="3"/>
        <v>Stabil</v>
      </c>
      <c r="L982" s="84">
        <f t="shared" si="4"/>
        <v>0</v>
      </c>
      <c r="M982" s="88" t="str">
        <f t="shared" si="5"/>
        <v>Perubahan Normal</v>
      </c>
    </row>
    <row r="983" ht="18.75" customHeight="1">
      <c r="A983" s="80" t="s">
        <v>360</v>
      </c>
      <c r="B983" s="81" t="str">
        <f t="shared" si="1"/>
        <v>Kab Wonosobo</v>
      </c>
      <c r="C983" s="81" t="str">
        <f t="array" ref="C983">XLOOKUP(B983,Reference!$A$2:$A$152,Reference!$B$2:$B$152)</f>
        <v>Jawa Tengah</v>
      </c>
      <c r="D983" s="82" t="s">
        <v>1422</v>
      </c>
      <c r="E983" s="83">
        <v>45352.0</v>
      </c>
      <c r="F983" s="84" t="str">
        <f t="array" ref="F983">XLOOKUP(G983,Reference!$F:$F,Reference!$D:$D,"null")</f>
        <v>Rekreasi dan Kendaraan</v>
      </c>
      <c r="G983" s="85" t="s">
        <v>102</v>
      </c>
      <c r="H983" s="86">
        <v>111.23</v>
      </c>
      <c r="I983" s="86">
        <v>111.23</v>
      </c>
      <c r="J983" s="87">
        <f t="shared" si="2"/>
        <v>0</v>
      </c>
      <c r="K983" s="84" t="str">
        <f t="shared" si="3"/>
        <v>Stabil</v>
      </c>
      <c r="L983" s="84">
        <f t="shared" si="4"/>
        <v>0</v>
      </c>
      <c r="M983" s="88" t="str">
        <f t="shared" si="5"/>
        <v>Perubahan Normal</v>
      </c>
    </row>
    <row r="984" ht="18.75" customHeight="1">
      <c r="A984" s="80" t="s">
        <v>837</v>
      </c>
      <c r="B984" s="81" t="str">
        <f t="shared" si="1"/>
        <v>Kab Luwu Timur</v>
      </c>
      <c r="C984" s="81" t="str">
        <f t="array" ref="C984">XLOOKUP(B984,Reference!$A$2:$A$152,Reference!$B$2:$B$152)</f>
        <v>Sulawesi Selatan</v>
      </c>
      <c r="D984" s="82" t="s">
        <v>1423</v>
      </c>
      <c r="E984" s="83">
        <v>45323.0</v>
      </c>
      <c r="F984" s="84" t="str">
        <f t="array" ref="F984">XLOOKUP(G984,Reference!$F:$F,Reference!$D:$D,"null")</f>
        <v>Rekreasi dan Kendaraan</v>
      </c>
      <c r="G984" s="85" t="s">
        <v>105</v>
      </c>
      <c r="H984" s="86">
        <v>103.23</v>
      </c>
      <c r="I984" s="86">
        <v>103.19</v>
      </c>
      <c r="J984" s="87">
        <f t="shared" si="2"/>
        <v>0.03876344607</v>
      </c>
      <c r="K984" s="84" t="str">
        <f t="shared" si="3"/>
        <v>Inflasi Normal</v>
      </c>
      <c r="L984" s="84">
        <f t="shared" si="4"/>
        <v>0.04</v>
      </c>
      <c r="M984" s="88" t="str">
        <f t="shared" si="5"/>
        <v>Perubahan Normal</v>
      </c>
    </row>
    <row r="985" ht="18.75" customHeight="1">
      <c r="A985" s="80" t="s">
        <v>397</v>
      </c>
      <c r="B985" s="81" t="str">
        <f t="shared" si="1"/>
        <v>Kota Pematangsiantar</v>
      </c>
      <c r="C985" s="81" t="str">
        <f t="array" ref="C985">XLOOKUP(B985,Reference!$A$2:$A$152,Reference!$B$2:$B$152)</f>
        <v>Sumatera Utara</v>
      </c>
      <c r="D985" s="82" t="s">
        <v>1424</v>
      </c>
      <c r="E985" s="83">
        <v>45323.0</v>
      </c>
      <c r="F985" s="84" t="str">
        <f t="array" ref="F985">XLOOKUP(G985,Reference!$F:$F,Reference!$D:$D,"null")</f>
        <v>Rekreasi dan Kendaraan</v>
      </c>
      <c r="G985" s="85" t="s">
        <v>105</v>
      </c>
      <c r="H985" s="86">
        <v>105.92</v>
      </c>
      <c r="I985" s="86">
        <v>105.92</v>
      </c>
      <c r="J985" s="87">
        <f t="shared" si="2"/>
        <v>0</v>
      </c>
      <c r="K985" s="84" t="str">
        <f t="shared" si="3"/>
        <v>Stabil</v>
      </c>
      <c r="L985" s="84">
        <f t="shared" si="4"/>
        <v>0</v>
      </c>
      <c r="M985" s="88" t="str">
        <f t="shared" si="5"/>
        <v>Perubahan Normal</v>
      </c>
    </row>
    <row r="986" ht="18.75" customHeight="1">
      <c r="A986" s="80" t="s">
        <v>387</v>
      </c>
      <c r="B986" s="81" t="str">
        <f t="shared" si="1"/>
        <v>Kota Semarang</v>
      </c>
      <c r="C986" s="81" t="str">
        <f t="array" ref="C986">XLOOKUP(B986,Reference!$A$2:$A$152,Reference!$B$2:$B$152)</f>
        <v>Jawa Tengah</v>
      </c>
      <c r="D986" s="82" t="s">
        <v>1425</v>
      </c>
      <c r="E986" s="83">
        <v>45352.0</v>
      </c>
      <c r="F986" s="84" t="str">
        <f t="array" ref="F986">XLOOKUP(G986,Reference!$F:$F,Reference!$D:$D,"null")</f>
        <v>Rekreasi dan Kendaraan</v>
      </c>
      <c r="G986" s="85" t="s">
        <v>102</v>
      </c>
      <c r="H986" s="86">
        <v>101.81</v>
      </c>
      <c r="I986" s="86">
        <v>101.78</v>
      </c>
      <c r="J986" s="87">
        <f t="shared" si="2"/>
        <v>0.02947533897</v>
      </c>
      <c r="K986" s="84" t="str">
        <f t="shared" si="3"/>
        <v>Inflasi Normal</v>
      </c>
      <c r="L986" s="84">
        <f t="shared" si="4"/>
        <v>0.03</v>
      </c>
      <c r="M986" s="88" t="str">
        <f t="shared" si="5"/>
        <v>Perubahan Normal</v>
      </c>
    </row>
    <row r="987" ht="18.75" customHeight="1">
      <c r="A987" s="80" t="s">
        <v>294</v>
      </c>
      <c r="B987" s="81" t="str">
        <f t="shared" si="1"/>
        <v>Kab Labuhanbatu</v>
      </c>
      <c r="C987" s="81" t="str">
        <f t="array" ref="C987">XLOOKUP(B987,Reference!$A$2:$A$152,Reference!$B$2:$B$152)</f>
        <v>Sumatera Utara</v>
      </c>
      <c r="D987" s="82" t="s">
        <v>1426</v>
      </c>
      <c r="E987" s="83">
        <v>45352.0</v>
      </c>
      <c r="F987" s="84" t="str">
        <f t="array" ref="F987">XLOOKUP(G987,Reference!$F:$F,Reference!$D:$D,"null")</f>
        <v>Rumah Tangga</v>
      </c>
      <c r="G987" s="85" t="s">
        <v>84</v>
      </c>
      <c r="H987" s="86">
        <v>103.66</v>
      </c>
      <c r="I987" s="86">
        <v>104.73</v>
      </c>
      <c r="J987" s="87">
        <f t="shared" si="2"/>
        <v>-1.021674783</v>
      </c>
      <c r="K987" s="84" t="str">
        <f t="shared" si="3"/>
        <v>Deflasi</v>
      </c>
      <c r="L987" s="84">
        <f t="shared" si="4"/>
        <v>-1.07</v>
      </c>
      <c r="M987" s="88" t="str">
        <f t="shared" si="5"/>
        <v>Perubahan Normal</v>
      </c>
    </row>
    <row r="988" ht="18.75" customHeight="1">
      <c r="A988" s="80" t="s">
        <v>584</v>
      </c>
      <c r="B988" s="81" t="str">
        <f t="shared" si="1"/>
        <v>Kota Sibolga</v>
      </c>
      <c r="C988" s="81" t="str">
        <f t="array" ref="C988">XLOOKUP(B988,Reference!$A$2:$A$152,Reference!$B$2:$B$152)</f>
        <v>Sumatera Utara</v>
      </c>
      <c r="D988" s="82" t="s">
        <v>1427</v>
      </c>
      <c r="E988" s="83">
        <v>45323.0</v>
      </c>
      <c r="F988" s="84" t="str">
        <f t="array" ref="F988">XLOOKUP(G988,Reference!$F:$F,Reference!$D:$D,"null")</f>
        <v>Rekreasi dan Kendaraan</v>
      </c>
      <c r="G988" s="85" t="s">
        <v>105</v>
      </c>
      <c r="H988" s="86">
        <v>102.52</v>
      </c>
      <c r="I988" s="86">
        <v>102.52</v>
      </c>
      <c r="J988" s="87">
        <f t="shared" si="2"/>
        <v>0</v>
      </c>
      <c r="K988" s="84" t="str">
        <f t="shared" si="3"/>
        <v>Stabil</v>
      </c>
      <c r="L988" s="84">
        <f t="shared" si="4"/>
        <v>0</v>
      </c>
      <c r="M988" s="88" t="str">
        <f t="shared" si="5"/>
        <v>Perubahan Normal</v>
      </c>
    </row>
    <row r="989" ht="18.75" customHeight="1">
      <c r="A989" s="80" t="s">
        <v>594</v>
      </c>
      <c r="B989" s="81" t="str">
        <f t="shared" si="1"/>
        <v>Kota Kendari</v>
      </c>
      <c r="C989" s="81" t="str">
        <f t="array" ref="C989">XLOOKUP(B989,Reference!$A$2:$A$152,Reference!$B$2:$B$152)</f>
        <v>Sulawesi Tenggara</v>
      </c>
      <c r="D989" s="82" t="s">
        <v>1428</v>
      </c>
      <c r="E989" s="83">
        <v>45352.0</v>
      </c>
      <c r="F989" s="84" t="str">
        <f t="array" ref="F989">XLOOKUP(G989,Reference!$F:$F,Reference!$D:$D,"null")</f>
        <v>Rumah Tangga</v>
      </c>
      <c r="G989" s="85" t="s">
        <v>80</v>
      </c>
      <c r="H989" s="86">
        <v>103.21</v>
      </c>
      <c r="I989" s="86">
        <v>103.06</v>
      </c>
      <c r="J989" s="87">
        <f t="shared" si="2"/>
        <v>0.1455462837</v>
      </c>
      <c r="K989" s="84" t="str">
        <f t="shared" si="3"/>
        <v>Inflasi Normal</v>
      </c>
      <c r="L989" s="84">
        <f t="shared" si="4"/>
        <v>0.15</v>
      </c>
      <c r="M989" s="88" t="str">
        <f t="shared" si="5"/>
        <v>Perubahan Normal</v>
      </c>
    </row>
    <row r="990" ht="18.75" customHeight="1">
      <c r="A990" s="80" t="s">
        <v>539</v>
      </c>
      <c r="B990" s="81" t="str">
        <f t="shared" si="1"/>
        <v>Kab Sorong Selatan</v>
      </c>
      <c r="C990" s="81" t="str">
        <f t="array" ref="C990">XLOOKUP(B990,Reference!$A$2:$A$152,Reference!$B$2:$B$152)</f>
        <v>Papua Barat Daya</v>
      </c>
      <c r="D990" s="82" t="s">
        <v>1429</v>
      </c>
      <c r="E990" s="83">
        <v>45323.0</v>
      </c>
      <c r="F990" s="84" t="str">
        <f t="array" ref="F990">XLOOKUP(G990,Reference!$F:$F,Reference!$D:$D,"null")</f>
        <v>Rekreasi dan Kendaraan</v>
      </c>
      <c r="G990" s="85" t="s">
        <v>102</v>
      </c>
      <c r="H990" s="86">
        <v>104.16</v>
      </c>
      <c r="I990" s="86">
        <v>104.16</v>
      </c>
      <c r="J990" s="87">
        <f t="shared" si="2"/>
        <v>0</v>
      </c>
      <c r="K990" s="84" t="str">
        <f t="shared" si="3"/>
        <v>Stabil</v>
      </c>
      <c r="L990" s="84">
        <f t="shared" si="4"/>
        <v>0</v>
      </c>
      <c r="M990" s="88" t="str">
        <f t="shared" si="5"/>
        <v>Perubahan Normal</v>
      </c>
    </row>
    <row r="991" ht="18.75" customHeight="1">
      <c r="A991" s="80" t="s">
        <v>429</v>
      </c>
      <c r="B991" s="81" t="str">
        <f t="shared" si="1"/>
        <v>Kab Nabire</v>
      </c>
      <c r="C991" s="81" t="str">
        <f t="array" ref="C991">XLOOKUP(B991,Reference!$A$2:$A$152,Reference!$B$2:$B$152)</f>
        <v>Papua</v>
      </c>
      <c r="D991" s="82" t="s">
        <v>1430</v>
      </c>
      <c r="E991" s="83">
        <v>45323.0</v>
      </c>
      <c r="F991" s="84" t="str">
        <f t="array" ref="F991">XLOOKUP(G991,Reference!$F:$F,Reference!$D:$D,"null")</f>
        <v>Pendidikan dan Kesehatan</v>
      </c>
      <c r="G991" s="85" t="s">
        <v>98</v>
      </c>
      <c r="H991" s="86">
        <v>99.93</v>
      </c>
      <c r="I991" s="86">
        <v>101.52</v>
      </c>
      <c r="J991" s="87">
        <f t="shared" si="2"/>
        <v>-1.566193853</v>
      </c>
      <c r="K991" s="84" t="str">
        <f t="shared" si="3"/>
        <v>Deflasi</v>
      </c>
      <c r="L991" s="84">
        <f t="shared" si="4"/>
        <v>-1.59</v>
      </c>
      <c r="M991" s="88" t="str">
        <f t="shared" si="5"/>
        <v>Perubahan Normal</v>
      </c>
    </row>
    <row r="992" ht="18.75" customHeight="1">
      <c r="A992" s="80" t="s">
        <v>539</v>
      </c>
      <c r="B992" s="81" t="str">
        <f t="shared" si="1"/>
        <v>Kab Sorong Selatan</v>
      </c>
      <c r="C992" s="81" t="str">
        <f t="array" ref="C992">XLOOKUP(B992,Reference!$A$2:$A$152,Reference!$B$2:$B$152)</f>
        <v>Papua Barat Daya</v>
      </c>
      <c r="D992" s="82" t="s">
        <v>1431</v>
      </c>
      <c r="E992" s="83">
        <v>45352.0</v>
      </c>
      <c r="F992" s="84" t="str">
        <f t="array" ref="F992">XLOOKUP(G992,Reference!$F:$F,Reference!$D:$D,"null")</f>
        <v>Rumah Tangga</v>
      </c>
      <c r="G992" s="85" t="s">
        <v>89</v>
      </c>
      <c r="H992" s="86">
        <v>100.23</v>
      </c>
      <c r="I992" s="86">
        <v>100.23</v>
      </c>
      <c r="J992" s="87">
        <f t="shared" si="2"/>
        <v>0</v>
      </c>
      <c r="K992" s="84" t="str">
        <f t="shared" si="3"/>
        <v>Stabil</v>
      </c>
      <c r="L992" s="84">
        <f t="shared" si="4"/>
        <v>0</v>
      </c>
      <c r="M992" s="88" t="str">
        <f t="shared" si="5"/>
        <v>Perubahan Normal</v>
      </c>
    </row>
    <row r="993" ht="18.75" customHeight="1">
      <c r="A993" s="80" t="s">
        <v>592</v>
      </c>
      <c r="B993" s="81" t="str">
        <f t="shared" si="1"/>
        <v>Kab Lampung Timur</v>
      </c>
      <c r="C993" s="81" t="str">
        <f t="array" ref="C993">XLOOKUP(B993,Reference!$A$2:$A$152,Reference!$B$2:$B$152)</f>
        <v>Lampung</v>
      </c>
      <c r="D993" s="82" t="s">
        <v>1432</v>
      </c>
      <c r="E993" s="83">
        <v>45323.0</v>
      </c>
      <c r="F993" s="84" t="str">
        <f t="array" ref="F993">XLOOKUP(G993,Reference!$F:$F,Reference!$D:$D,"null")</f>
        <v>Makanan dan Pakaian </v>
      </c>
      <c r="G993" s="89" t="s">
        <v>48</v>
      </c>
      <c r="H993" s="90">
        <v>117.67</v>
      </c>
      <c r="I993" s="90">
        <v>116.91</v>
      </c>
      <c r="J993" s="87">
        <f t="shared" si="2"/>
        <v>0.6500727055</v>
      </c>
      <c r="K993" s="84" t="str">
        <f t="shared" si="3"/>
        <v>Inflasi Tinggi</v>
      </c>
      <c r="L993" s="91">
        <f t="shared" si="4"/>
        <v>0.76</v>
      </c>
      <c r="M993" s="88" t="str">
        <f t="shared" si="5"/>
        <v>Akselerasi Persentase</v>
      </c>
    </row>
    <row r="994" ht="18.75" customHeight="1">
      <c r="A994" s="80" t="s">
        <v>458</v>
      </c>
      <c r="B994" s="81" t="str">
        <f t="shared" si="1"/>
        <v>Kota Dumai</v>
      </c>
      <c r="C994" s="81" t="str">
        <f t="array" ref="C994">XLOOKUP(B994,Reference!$A$2:$A$152,Reference!$B$2:$B$152)</f>
        <v>Riau</v>
      </c>
      <c r="D994" s="82" t="s">
        <v>1433</v>
      </c>
      <c r="E994" s="83">
        <v>45323.0</v>
      </c>
      <c r="F994" s="84" t="str">
        <f t="array" ref="F994">XLOOKUP(G994,Reference!$F:$F,Reference!$D:$D,"null")</f>
        <v>Rumah Tangga</v>
      </c>
      <c r="G994" s="85" t="s">
        <v>84</v>
      </c>
      <c r="H994" s="86">
        <v>99.85</v>
      </c>
      <c r="I994" s="86">
        <v>99.85</v>
      </c>
      <c r="J994" s="87">
        <f t="shared" si="2"/>
        <v>0</v>
      </c>
      <c r="K994" s="84" t="str">
        <f t="shared" si="3"/>
        <v>Stabil</v>
      </c>
      <c r="L994" s="84">
        <f t="shared" si="4"/>
        <v>0</v>
      </c>
      <c r="M994" s="88" t="str">
        <f t="shared" si="5"/>
        <v>Perubahan Normal</v>
      </c>
    </row>
    <row r="995" ht="18.75" customHeight="1">
      <c r="A995" s="80" t="s">
        <v>628</v>
      </c>
      <c r="B995" s="81" t="str">
        <f t="shared" si="1"/>
        <v>Watampone</v>
      </c>
      <c r="C995" s="81" t="str">
        <f t="array" ref="C995">XLOOKUP(B995,Reference!$A$2:$A$152,Reference!$B$2:$B$152)</f>
        <v>Sulawesi Selatan</v>
      </c>
      <c r="D995" s="82" t="s">
        <v>1434</v>
      </c>
      <c r="E995" s="83">
        <v>45352.0</v>
      </c>
      <c r="F995" s="84" t="str">
        <f t="array" ref="F995">XLOOKUP(G995,Reference!$F:$F,Reference!$D:$D,"null")</f>
        <v>Makanan dan Pakaian </v>
      </c>
      <c r="G995" s="85" t="s">
        <v>64</v>
      </c>
      <c r="H995" s="86">
        <v>100.37</v>
      </c>
      <c r="I995" s="86">
        <v>100.24</v>
      </c>
      <c r="J995" s="87">
        <f t="shared" si="2"/>
        <v>0.129688747</v>
      </c>
      <c r="K995" s="84" t="str">
        <f t="shared" si="3"/>
        <v>Inflasi Normal</v>
      </c>
      <c r="L995" s="84">
        <f t="shared" si="4"/>
        <v>0.13</v>
      </c>
      <c r="M995" s="88" t="str">
        <f t="shared" si="5"/>
        <v>Perubahan Normal</v>
      </c>
    </row>
    <row r="996" ht="18.75" customHeight="1">
      <c r="A996" s="80" t="s">
        <v>706</v>
      </c>
      <c r="B996" s="81" t="str">
        <f t="shared" si="1"/>
        <v>Kota Makassar</v>
      </c>
      <c r="C996" s="81" t="str">
        <f t="array" ref="C996">XLOOKUP(B996,Reference!$A$2:$A$152,Reference!$B$2:$B$152)</f>
        <v>Sulawesi Selatan</v>
      </c>
      <c r="D996" s="82" t="s">
        <v>1435</v>
      </c>
      <c r="E996" s="83">
        <v>45323.0</v>
      </c>
      <c r="F996" s="84" t="str">
        <f t="array" ref="F996">XLOOKUP(G996,Reference!$F:$F,Reference!$D:$D,"null")</f>
        <v>Makanan dan Pakaian </v>
      </c>
      <c r="G996" s="85" t="s">
        <v>64</v>
      </c>
      <c r="H996" s="86">
        <v>102.81</v>
      </c>
      <c r="I996" s="86">
        <v>102.67</v>
      </c>
      <c r="J996" s="87">
        <f t="shared" si="2"/>
        <v>0.1363592091</v>
      </c>
      <c r="K996" s="84" t="str">
        <f t="shared" si="3"/>
        <v>Inflasi Normal</v>
      </c>
      <c r="L996" s="84">
        <f t="shared" si="4"/>
        <v>0.14</v>
      </c>
      <c r="M996" s="88" t="str">
        <f t="shared" si="5"/>
        <v>Perubahan Normal</v>
      </c>
    </row>
    <row r="997" ht="18.75" customHeight="1">
      <c r="A997" s="80" t="s">
        <v>331</v>
      </c>
      <c r="B997" s="81" t="str">
        <f t="shared" si="1"/>
        <v>Kota Lhokseumawe</v>
      </c>
      <c r="C997" s="81" t="str">
        <f t="array" ref="C997">XLOOKUP(B997,Reference!$A$2:$A$152,Reference!$B$2:$B$152)</f>
        <v>Aceh</v>
      </c>
      <c r="D997" s="82" t="s">
        <v>1436</v>
      </c>
      <c r="E997" s="83">
        <v>45323.0</v>
      </c>
      <c r="F997" s="84" t="str">
        <f t="array" ref="F997">XLOOKUP(G997,Reference!$F:$F,Reference!$D:$D,"null")</f>
        <v>Pendidikan dan Kesehatan</v>
      </c>
      <c r="G997" s="85" t="s">
        <v>98</v>
      </c>
      <c r="H997" s="86">
        <v>104.06</v>
      </c>
      <c r="I997" s="86">
        <v>104.06</v>
      </c>
      <c r="J997" s="87">
        <f t="shared" si="2"/>
        <v>0</v>
      </c>
      <c r="K997" s="84" t="str">
        <f t="shared" si="3"/>
        <v>Stabil</v>
      </c>
      <c r="L997" s="84">
        <f t="shared" si="4"/>
        <v>0</v>
      </c>
      <c r="M997" s="88" t="str">
        <f t="shared" si="5"/>
        <v>Perubahan Normal</v>
      </c>
    </row>
    <row r="998" ht="18.75" customHeight="1">
      <c r="A998" s="80" t="s">
        <v>925</v>
      </c>
      <c r="B998" s="81" t="str">
        <f t="shared" si="1"/>
        <v>Kota Jakarta</v>
      </c>
      <c r="C998" s="81" t="str">
        <f t="array" ref="C998">XLOOKUP(B998,Reference!$A$2:$A$152,Reference!$B$2:$B$152)</f>
        <v>DKI Jakarta</v>
      </c>
      <c r="D998" s="82" t="s">
        <v>1437</v>
      </c>
      <c r="E998" s="83">
        <v>45352.0</v>
      </c>
      <c r="F998" s="84" t="str">
        <f t="array" ref="F998">XLOOKUP(G998,Reference!$F:$F,Reference!$D:$D,"null")</f>
        <v>Rekreasi dan Kendaraan</v>
      </c>
      <c r="G998" s="85" t="s">
        <v>102</v>
      </c>
      <c r="H998" s="86">
        <v>101.92</v>
      </c>
      <c r="I998" s="86">
        <v>102.27</v>
      </c>
      <c r="J998" s="87">
        <f t="shared" si="2"/>
        <v>-0.3422313484</v>
      </c>
      <c r="K998" s="84" t="str">
        <f t="shared" si="3"/>
        <v>Deflasi</v>
      </c>
      <c r="L998" s="84">
        <f t="shared" si="4"/>
        <v>-0.35</v>
      </c>
      <c r="M998" s="88" t="str">
        <f t="shared" si="5"/>
        <v>Perubahan Normal</v>
      </c>
    </row>
    <row r="999" ht="18.75" customHeight="1">
      <c r="A999" s="80" t="s">
        <v>478</v>
      </c>
      <c r="B999" s="81" t="str">
        <f t="shared" si="1"/>
        <v>Kab Maluku Tengah</v>
      </c>
      <c r="C999" s="81" t="str">
        <f t="array" ref="C999">XLOOKUP(B999,Reference!$A$2:$A$152,Reference!$B$2:$B$152)</f>
        <v>Maluku</v>
      </c>
      <c r="D999" s="82" t="s">
        <v>1438</v>
      </c>
      <c r="E999" s="83">
        <v>45323.0</v>
      </c>
      <c r="F999" s="84" t="str">
        <f t="array" ref="F999">XLOOKUP(G999,Reference!$F:$F,Reference!$D:$D,"null")</f>
        <v>Rumah Tangga</v>
      </c>
      <c r="G999" s="85" t="s">
        <v>84</v>
      </c>
      <c r="H999" s="86">
        <v>99.74</v>
      </c>
      <c r="I999" s="86">
        <v>100.96</v>
      </c>
      <c r="J999" s="87">
        <f t="shared" si="2"/>
        <v>-1.208399366</v>
      </c>
      <c r="K999" s="84" t="str">
        <f t="shared" si="3"/>
        <v>Deflasi</v>
      </c>
      <c r="L999" s="84">
        <f t="shared" si="4"/>
        <v>-1.22</v>
      </c>
      <c r="M999" s="88" t="str">
        <f t="shared" si="5"/>
        <v>Perubahan Normal</v>
      </c>
    </row>
    <row r="1000" ht="18.75" customHeight="1">
      <c r="A1000" s="80" t="s">
        <v>448</v>
      </c>
      <c r="B1000" s="81" t="str">
        <f t="shared" si="1"/>
        <v>Tanjung Selor</v>
      </c>
      <c r="C1000" s="81" t="str">
        <f t="array" ref="C1000">XLOOKUP(B1000,Reference!$A$2:$A$152,Reference!$B$2:$B$152)</f>
        <v>Kalimantan Utara</v>
      </c>
      <c r="D1000" s="82" t="s">
        <v>1439</v>
      </c>
      <c r="E1000" s="83">
        <v>45352.0</v>
      </c>
      <c r="F1000" s="84" t="str">
        <f t="array" ref="F1000">XLOOKUP(G1000,Reference!$F:$F,Reference!$D:$D,"null")</f>
        <v>Rumah Tangga</v>
      </c>
      <c r="G1000" s="85" t="s">
        <v>89</v>
      </c>
      <c r="H1000" s="86">
        <v>99.11</v>
      </c>
      <c r="I1000" s="86">
        <v>99.11</v>
      </c>
      <c r="J1000" s="87">
        <f t="shared" si="2"/>
        <v>0</v>
      </c>
      <c r="K1000" s="84" t="str">
        <f t="shared" si="3"/>
        <v>Stabil</v>
      </c>
      <c r="L1000" s="84">
        <f t="shared" si="4"/>
        <v>0</v>
      </c>
      <c r="M1000" s="88" t="str">
        <f t="shared" si="5"/>
        <v>Perubahan Normal</v>
      </c>
    </row>
    <row r="1001" ht="18.75" customHeight="1">
      <c r="A1001" s="80" t="s">
        <v>410</v>
      </c>
      <c r="B1001" s="81" t="str">
        <f t="shared" si="1"/>
        <v>Meulaboh</v>
      </c>
      <c r="C1001" s="81" t="str">
        <f t="array" ref="C1001">XLOOKUP(B1001,Reference!$A$2:$A$152,Reference!$B$2:$B$152)</f>
        <v>Aceh</v>
      </c>
      <c r="D1001" s="82" t="s">
        <v>1440</v>
      </c>
      <c r="E1001" s="83">
        <v>45352.0</v>
      </c>
      <c r="F1001" s="84" t="str">
        <f t="array" ref="F1001">XLOOKUP(G1001,Reference!$F:$F,Reference!$D:$D,"null")</f>
        <v>Makanan dan Pakaian </v>
      </c>
      <c r="G1001" s="85" t="s">
        <v>48</v>
      </c>
      <c r="H1001" s="86">
        <v>113.28</v>
      </c>
      <c r="I1001" s="86">
        <v>111.18</v>
      </c>
      <c r="J1001" s="87">
        <f t="shared" si="2"/>
        <v>1.888828926</v>
      </c>
      <c r="K1001" s="84" t="str">
        <f t="shared" si="3"/>
        <v>Inflasi Tinggi</v>
      </c>
      <c r="L1001" s="84">
        <f t="shared" si="4"/>
        <v>2.1</v>
      </c>
      <c r="M1001" s="88" t="str">
        <f t="shared" si="5"/>
        <v>Akselerasi Kuat</v>
      </c>
    </row>
    <row r="1002" ht="18.75" customHeight="1">
      <c r="A1002" s="80" t="s">
        <v>468</v>
      </c>
      <c r="B1002" s="81" t="str">
        <f t="shared" si="1"/>
        <v>Timika</v>
      </c>
      <c r="C1002" s="81" t="str">
        <f t="array" ref="C1002">XLOOKUP(B1002,Reference!$A$2:$A$152,Reference!$B$2:$B$152)</f>
        <v>Papua</v>
      </c>
      <c r="D1002" s="82" t="s">
        <v>1441</v>
      </c>
      <c r="E1002" s="83">
        <v>45323.0</v>
      </c>
      <c r="F1002" s="84" t="str">
        <f t="array" ref="F1002">XLOOKUP(G1002,Reference!$F:$F,Reference!$D:$D,"null")</f>
        <v>Rekreasi dan Kendaraan</v>
      </c>
      <c r="G1002" s="85" t="s">
        <v>105</v>
      </c>
      <c r="H1002" s="86">
        <v>108.84</v>
      </c>
      <c r="I1002" s="86">
        <v>108.84</v>
      </c>
      <c r="J1002" s="87">
        <f t="shared" si="2"/>
        <v>0</v>
      </c>
      <c r="K1002" s="84" t="str">
        <f t="shared" si="3"/>
        <v>Stabil</v>
      </c>
      <c r="L1002" s="84">
        <f t="shared" si="4"/>
        <v>0</v>
      </c>
      <c r="M1002" s="88" t="str">
        <f t="shared" si="5"/>
        <v>Perubahan Normal</v>
      </c>
    </row>
    <row r="1003" ht="18.75" customHeight="1">
      <c r="A1003" s="80" t="s">
        <v>490</v>
      </c>
      <c r="B1003" s="81" t="str">
        <f t="shared" si="1"/>
        <v>Kab Kerinci</v>
      </c>
      <c r="C1003" s="81" t="str">
        <f t="array" ref="C1003">XLOOKUP(B1003,Reference!$A$2:$A$152,Reference!$B$2:$B$152)</f>
        <v>Jambi</v>
      </c>
      <c r="D1003" s="82" t="s">
        <v>1442</v>
      </c>
      <c r="E1003" s="83">
        <v>45352.0</v>
      </c>
      <c r="F1003" s="84" t="str">
        <f t="array" ref="F1003">XLOOKUP(G1003,Reference!$F:$F,Reference!$D:$D,"null")</f>
        <v>Rekreasi dan Kendaraan</v>
      </c>
      <c r="G1003" s="85" t="s">
        <v>102</v>
      </c>
      <c r="H1003" s="86">
        <v>98.8</v>
      </c>
      <c r="I1003" s="86">
        <v>98.8</v>
      </c>
      <c r="J1003" s="87">
        <f t="shared" si="2"/>
        <v>0</v>
      </c>
      <c r="K1003" s="84" t="str">
        <f t="shared" si="3"/>
        <v>Stabil</v>
      </c>
      <c r="L1003" s="84">
        <f t="shared" si="4"/>
        <v>0</v>
      </c>
      <c r="M1003" s="88" t="str">
        <f t="shared" si="5"/>
        <v>Perubahan Normal</v>
      </c>
    </row>
    <row r="1004" ht="18.75" customHeight="1">
      <c r="A1004" s="80" t="s">
        <v>517</v>
      </c>
      <c r="B1004" s="81" t="str">
        <f t="shared" si="1"/>
        <v>Kota Kupang</v>
      </c>
      <c r="C1004" s="81" t="str">
        <f t="array" ref="C1004">XLOOKUP(B1004,Reference!$A$2:$A$152,Reference!$B$2:$B$152)</f>
        <v>Nusa Tenggara Timur (NTT)</v>
      </c>
      <c r="D1004" s="82" t="s">
        <v>1443</v>
      </c>
      <c r="E1004" s="83">
        <v>45352.0</v>
      </c>
      <c r="F1004" s="84" t="str">
        <f t="array" ref="F1004">XLOOKUP(G1004,Reference!$F:$F,Reference!$D:$D,"null")</f>
        <v>Makanan dan Pakaian </v>
      </c>
      <c r="G1004" s="85" t="s">
        <v>64</v>
      </c>
      <c r="H1004" s="86">
        <v>100.42</v>
      </c>
      <c r="I1004" s="86">
        <v>100.4</v>
      </c>
      <c r="J1004" s="87">
        <f t="shared" si="2"/>
        <v>0.01992031873</v>
      </c>
      <c r="K1004" s="84" t="str">
        <f t="shared" si="3"/>
        <v>Inflasi Normal</v>
      </c>
      <c r="L1004" s="84">
        <f t="shared" si="4"/>
        <v>0.02</v>
      </c>
      <c r="M1004" s="88" t="str">
        <f t="shared" si="5"/>
        <v>Perubahan Normal</v>
      </c>
    </row>
    <row r="1005" ht="18.75" customHeight="1">
      <c r="A1005" s="80" t="s">
        <v>353</v>
      </c>
      <c r="B1005" s="81" t="str">
        <f t="shared" si="1"/>
        <v>Kota Bau Bau</v>
      </c>
      <c r="C1005" s="81" t="str">
        <f t="array" ref="C1005">XLOOKUP(B1005,Reference!$A$2:$A$152,Reference!$B$2:$B$152)</f>
        <v>Sulawesi Tenggara</v>
      </c>
      <c r="D1005" s="82" t="s">
        <v>1444</v>
      </c>
      <c r="E1005" s="83">
        <v>45323.0</v>
      </c>
      <c r="F1005" s="84" t="str">
        <f t="array" ref="F1005">XLOOKUP(G1005,Reference!$F:$F,Reference!$D:$D,"null")</f>
        <v>Pendidikan dan Kesehatan</v>
      </c>
      <c r="G1005" s="85" t="s">
        <v>95</v>
      </c>
      <c r="H1005" s="86">
        <v>101.42</v>
      </c>
      <c r="I1005" s="86">
        <v>101.42</v>
      </c>
      <c r="J1005" s="87">
        <f t="shared" si="2"/>
        <v>0</v>
      </c>
      <c r="K1005" s="84" t="str">
        <f t="shared" si="3"/>
        <v>Stabil</v>
      </c>
      <c r="L1005" s="84">
        <f t="shared" si="4"/>
        <v>0</v>
      </c>
      <c r="M1005" s="88" t="str">
        <f t="shared" si="5"/>
        <v>Perubahan Normal</v>
      </c>
    </row>
    <row r="1006" ht="18.75" customHeight="1">
      <c r="A1006" s="80" t="s">
        <v>384</v>
      </c>
      <c r="B1006" s="81" t="str">
        <f t="shared" si="1"/>
        <v>Kab Lebak</v>
      </c>
      <c r="C1006" s="81" t="str">
        <f t="array" ref="C1006">XLOOKUP(B1006,Reference!$A$2:$A$152,Reference!$B$2:$B$152)</f>
        <v>Banten</v>
      </c>
      <c r="D1006" s="82" t="s">
        <v>1445</v>
      </c>
      <c r="E1006" s="83">
        <v>45323.0</v>
      </c>
      <c r="F1006" s="84" t="str">
        <f t="array" ref="F1006">XLOOKUP(G1006,Reference!$F:$F,Reference!$D:$D,"null")</f>
        <v>Rumah Tangga</v>
      </c>
      <c r="G1006" s="85" t="s">
        <v>80</v>
      </c>
      <c r="H1006" s="86">
        <v>100.88</v>
      </c>
      <c r="I1006" s="86">
        <v>100.88</v>
      </c>
      <c r="J1006" s="87">
        <f t="shared" si="2"/>
        <v>0</v>
      </c>
      <c r="K1006" s="84" t="str">
        <f t="shared" si="3"/>
        <v>Stabil</v>
      </c>
      <c r="L1006" s="84">
        <f t="shared" si="4"/>
        <v>0</v>
      </c>
      <c r="M1006" s="88" t="str">
        <f t="shared" si="5"/>
        <v>Perubahan Normal</v>
      </c>
    </row>
    <row r="1007" ht="18.75" customHeight="1">
      <c r="A1007" s="80" t="s">
        <v>410</v>
      </c>
      <c r="B1007" s="81" t="str">
        <f t="shared" si="1"/>
        <v>Meulaboh</v>
      </c>
      <c r="C1007" s="81" t="str">
        <f t="array" ref="C1007">XLOOKUP(B1007,Reference!$A$2:$A$152,Reference!$B$2:$B$152)</f>
        <v>Aceh</v>
      </c>
      <c r="D1007" s="82" t="s">
        <v>1446</v>
      </c>
      <c r="E1007" s="83">
        <v>45323.0</v>
      </c>
      <c r="F1007" s="84" t="str">
        <f t="array" ref="F1007">XLOOKUP(G1007,Reference!$F:$F,Reference!$D:$D,"null")</f>
        <v>Pendidikan dan Kesehatan</v>
      </c>
      <c r="G1007" s="85" t="s">
        <v>95</v>
      </c>
      <c r="H1007" s="86">
        <v>102.96</v>
      </c>
      <c r="I1007" s="86">
        <v>102.96</v>
      </c>
      <c r="J1007" s="87">
        <f t="shared" si="2"/>
        <v>0</v>
      </c>
      <c r="K1007" s="84" t="str">
        <f t="shared" si="3"/>
        <v>Stabil</v>
      </c>
      <c r="L1007" s="84">
        <f t="shared" si="4"/>
        <v>0</v>
      </c>
      <c r="M1007" s="88" t="str">
        <f t="shared" si="5"/>
        <v>Perubahan Normal</v>
      </c>
    </row>
    <row r="1008" ht="18.75" customHeight="1">
      <c r="A1008" s="80" t="s">
        <v>296</v>
      </c>
      <c r="B1008" s="81" t="str">
        <f t="shared" si="1"/>
        <v>Kota Bogor</v>
      </c>
      <c r="C1008" s="81" t="str">
        <f t="array" ref="C1008">XLOOKUP(B1008,Reference!$A$2:$A$152,Reference!$B$2:$B$152)</f>
        <v>Jawa Barat</v>
      </c>
      <c r="D1008" s="82" t="s">
        <v>1447</v>
      </c>
      <c r="E1008" s="83">
        <v>45323.0</v>
      </c>
      <c r="F1008" s="84" t="str">
        <f t="array" ref="F1008">XLOOKUP(G1008,Reference!$F:$F,Reference!$D:$D,"null")</f>
        <v>Makanan dan Pakaian </v>
      </c>
      <c r="G1008" s="85" t="s">
        <v>72</v>
      </c>
      <c r="H1008" s="86">
        <v>107.97</v>
      </c>
      <c r="I1008" s="86">
        <v>108.09</v>
      </c>
      <c r="J1008" s="87">
        <f t="shared" si="2"/>
        <v>-0.1110185956</v>
      </c>
      <c r="K1008" s="84" t="str">
        <f t="shared" si="3"/>
        <v>Deflasi</v>
      </c>
      <c r="L1008" s="84">
        <f t="shared" si="4"/>
        <v>-0.12</v>
      </c>
      <c r="M1008" s="88" t="str">
        <f t="shared" si="5"/>
        <v>Perubahan Normal</v>
      </c>
    </row>
    <row r="1009" ht="18.75" customHeight="1">
      <c r="A1009" s="80" t="s">
        <v>302</v>
      </c>
      <c r="B1009" s="81" t="str">
        <f t="shared" si="1"/>
        <v>Kota Lubuk Linggau</v>
      </c>
      <c r="C1009" s="81" t="str">
        <f t="array" ref="C1009">XLOOKUP(B1009,Reference!$A$2:$A$152,Reference!$B$2:$B$152)</f>
        <v>Sumatera Selatan</v>
      </c>
      <c r="D1009" s="82" t="s">
        <v>1448</v>
      </c>
      <c r="E1009" s="83">
        <v>45323.0</v>
      </c>
      <c r="F1009" s="84" t="str">
        <f t="array" ref="F1009">XLOOKUP(G1009,Reference!$F:$F,Reference!$D:$D,"null")</f>
        <v>Makanan dan Pakaian </v>
      </c>
      <c r="G1009" s="85" t="s">
        <v>72</v>
      </c>
      <c r="H1009" s="86">
        <v>100.49</v>
      </c>
      <c r="I1009" s="86">
        <v>100.49</v>
      </c>
      <c r="J1009" s="87">
        <f t="shared" si="2"/>
        <v>0</v>
      </c>
      <c r="K1009" s="84" t="str">
        <f t="shared" si="3"/>
        <v>Stabil</v>
      </c>
      <c r="L1009" s="84">
        <f t="shared" si="4"/>
        <v>0</v>
      </c>
      <c r="M1009" s="88" t="str">
        <f t="shared" si="5"/>
        <v>Perubahan Normal</v>
      </c>
    </row>
    <row r="1010" ht="18.75" customHeight="1">
      <c r="A1010" s="80" t="s">
        <v>468</v>
      </c>
      <c r="B1010" s="81" t="str">
        <f t="shared" si="1"/>
        <v>Timika</v>
      </c>
      <c r="C1010" s="81" t="str">
        <f t="array" ref="C1010">XLOOKUP(B1010,Reference!$A$2:$A$152,Reference!$B$2:$B$152)</f>
        <v>Papua</v>
      </c>
      <c r="D1010" s="82" t="s">
        <v>1449</v>
      </c>
      <c r="E1010" s="83">
        <v>45352.0</v>
      </c>
      <c r="F1010" s="84" t="str">
        <f t="array" ref="F1010">XLOOKUP(G1010,Reference!$F:$F,Reference!$D:$D,"null")</f>
        <v>Rumah Tangga</v>
      </c>
      <c r="G1010" s="85" t="s">
        <v>89</v>
      </c>
      <c r="H1010" s="86">
        <v>106.03</v>
      </c>
      <c r="I1010" s="86">
        <v>106.24</v>
      </c>
      <c r="J1010" s="87">
        <f t="shared" si="2"/>
        <v>-0.1976656627</v>
      </c>
      <c r="K1010" s="84" t="str">
        <f t="shared" si="3"/>
        <v>Deflasi</v>
      </c>
      <c r="L1010" s="84">
        <f t="shared" si="4"/>
        <v>-0.21</v>
      </c>
      <c r="M1010" s="88" t="str">
        <f t="shared" si="5"/>
        <v>Perubahan Normal</v>
      </c>
    </row>
    <row r="1011" ht="18.75" customHeight="1">
      <c r="A1011" s="80" t="s">
        <v>600</v>
      </c>
      <c r="B1011" s="81" t="str">
        <f t="shared" si="1"/>
        <v>Kota Banda Aceh</v>
      </c>
      <c r="C1011" s="81" t="str">
        <f t="array" ref="C1011">XLOOKUP(B1011,Reference!$A$2:$A$152,Reference!$B$2:$B$152)</f>
        <v>Aceh</v>
      </c>
      <c r="D1011" s="82" t="s">
        <v>1450</v>
      </c>
      <c r="E1011" s="83">
        <v>45323.0</v>
      </c>
      <c r="F1011" s="84" t="str">
        <f t="array" ref="F1011">XLOOKUP(G1011,Reference!$F:$F,Reference!$D:$D,"null")</f>
        <v>Makanan dan Pakaian </v>
      </c>
      <c r="G1011" s="85" t="s">
        <v>48</v>
      </c>
      <c r="H1011" s="86">
        <v>110.0</v>
      </c>
      <c r="I1011" s="86">
        <v>107.89</v>
      </c>
      <c r="J1011" s="87">
        <f t="shared" si="2"/>
        <v>1.955695616</v>
      </c>
      <c r="K1011" s="84" t="str">
        <f t="shared" si="3"/>
        <v>Inflasi Tinggi</v>
      </c>
      <c r="L1011" s="84">
        <f t="shared" si="4"/>
        <v>2.11</v>
      </c>
      <c r="M1011" s="88" t="str">
        <f t="shared" si="5"/>
        <v>Akselerasi Kuat</v>
      </c>
    </row>
    <row r="1012" ht="18.75" customHeight="1">
      <c r="A1012" s="80" t="s">
        <v>438</v>
      </c>
      <c r="B1012" s="81" t="str">
        <f t="shared" si="1"/>
        <v>Kab Muara Enim</v>
      </c>
      <c r="C1012" s="81" t="str">
        <f t="array" ref="C1012">XLOOKUP(B1012,Reference!$A$2:$A$152,Reference!$B$2:$B$152)</f>
        <v>Sumatera Selatan</v>
      </c>
      <c r="D1012" s="82" t="s">
        <v>1451</v>
      </c>
      <c r="E1012" s="83">
        <v>45323.0</v>
      </c>
      <c r="F1012" s="84" t="str">
        <f t="array" ref="F1012">XLOOKUP(G1012,Reference!$F:$F,Reference!$D:$D,"null")</f>
        <v>Makanan dan Pakaian </v>
      </c>
      <c r="G1012" s="85" t="s">
        <v>48</v>
      </c>
      <c r="H1012" s="86">
        <v>109.35</v>
      </c>
      <c r="I1012" s="86">
        <v>111.64</v>
      </c>
      <c r="J1012" s="87">
        <f t="shared" si="2"/>
        <v>-2.051236116</v>
      </c>
      <c r="K1012" s="84" t="str">
        <f t="shared" si="3"/>
        <v>Deflasi</v>
      </c>
      <c r="L1012" s="84">
        <f t="shared" si="4"/>
        <v>-2.29</v>
      </c>
      <c r="M1012" s="88" t="str">
        <f t="shared" si="5"/>
        <v>Perubahan Normal</v>
      </c>
    </row>
    <row r="1013" ht="18.75" customHeight="1">
      <c r="A1013" s="80" t="s">
        <v>298</v>
      </c>
      <c r="B1013" s="81" t="str">
        <f t="shared" si="1"/>
        <v>Kota Bekasi</v>
      </c>
      <c r="C1013" s="81" t="str">
        <f t="array" ref="C1013">XLOOKUP(B1013,Reference!$A$2:$A$152,Reference!$B$2:$B$152)</f>
        <v>Jawa Barat</v>
      </c>
      <c r="D1013" s="82" t="s">
        <v>1452</v>
      </c>
      <c r="E1013" s="83">
        <v>45352.0</v>
      </c>
      <c r="F1013" s="84" t="str">
        <f t="array" ref="F1013">XLOOKUP(G1013,Reference!$F:$F,Reference!$D:$D,"null")</f>
        <v>Rekreasi dan Kendaraan</v>
      </c>
      <c r="G1013" s="85" t="s">
        <v>105</v>
      </c>
      <c r="H1013" s="86">
        <v>102.96</v>
      </c>
      <c r="I1013" s="86">
        <v>102.96</v>
      </c>
      <c r="J1013" s="87">
        <f t="shared" si="2"/>
        <v>0</v>
      </c>
      <c r="K1013" s="84" t="str">
        <f t="shared" si="3"/>
        <v>Stabil</v>
      </c>
      <c r="L1013" s="84">
        <f t="shared" si="4"/>
        <v>0</v>
      </c>
      <c r="M1013" s="88" t="str">
        <f t="shared" si="5"/>
        <v>Perubahan Normal</v>
      </c>
    </row>
    <row r="1014" ht="18.75" customHeight="1">
      <c r="A1014" s="80" t="s">
        <v>594</v>
      </c>
      <c r="B1014" s="81" t="str">
        <f t="shared" si="1"/>
        <v>Kota Kendari</v>
      </c>
      <c r="C1014" s="81" t="str">
        <f t="array" ref="C1014">XLOOKUP(B1014,Reference!$A$2:$A$152,Reference!$B$2:$B$152)</f>
        <v>Sulawesi Tenggara</v>
      </c>
      <c r="D1014" s="82" t="s">
        <v>1453</v>
      </c>
      <c r="E1014" s="83">
        <v>45352.0</v>
      </c>
      <c r="F1014" s="84" t="str">
        <f t="array" ref="F1014">XLOOKUP(G1014,Reference!$F:$F,Reference!$D:$D,"null")</f>
        <v>Makanan dan Pakaian </v>
      </c>
      <c r="G1014" s="85" t="s">
        <v>48</v>
      </c>
      <c r="H1014" s="86">
        <v>107.34</v>
      </c>
      <c r="I1014" s="86">
        <v>103.5</v>
      </c>
      <c r="J1014" s="87">
        <f t="shared" si="2"/>
        <v>3.710144928</v>
      </c>
      <c r="K1014" s="84" t="str">
        <f t="shared" si="3"/>
        <v>Inflasi Tinggi</v>
      </c>
      <c r="L1014" s="84">
        <f t="shared" si="4"/>
        <v>3.84</v>
      </c>
      <c r="M1014" s="88" t="str">
        <f t="shared" si="5"/>
        <v>Akselerasi Kuat</v>
      </c>
    </row>
    <row r="1015" ht="18.75" customHeight="1">
      <c r="A1015" s="80" t="s">
        <v>399</v>
      </c>
      <c r="B1015" s="81" t="str">
        <f t="shared" si="1"/>
        <v>Sampit</v>
      </c>
      <c r="C1015" s="81" t="str">
        <f t="array" ref="C1015">XLOOKUP(B1015,Reference!$A$2:$A$152,Reference!$B$2:$B$152)</f>
        <v>Kalimantan Tengah</v>
      </c>
      <c r="D1015" s="82" t="s">
        <v>1454</v>
      </c>
      <c r="E1015" s="83">
        <v>45323.0</v>
      </c>
      <c r="F1015" s="84" t="str">
        <f t="array" ref="F1015">XLOOKUP(G1015,Reference!$F:$F,Reference!$D:$D,"null")</f>
        <v>Rumah Tangga</v>
      </c>
      <c r="G1015" s="85" t="s">
        <v>89</v>
      </c>
      <c r="H1015" s="86">
        <v>100.0</v>
      </c>
      <c r="I1015" s="86">
        <v>100.0</v>
      </c>
      <c r="J1015" s="87">
        <f t="shared" si="2"/>
        <v>0</v>
      </c>
      <c r="K1015" s="84" t="str">
        <f t="shared" si="3"/>
        <v>Stabil</v>
      </c>
      <c r="L1015" s="84">
        <f t="shared" si="4"/>
        <v>0</v>
      </c>
      <c r="M1015" s="88" t="str">
        <f t="shared" si="5"/>
        <v>Perubahan Normal</v>
      </c>
    </row>
    <row r="1016" ht="18.75" customHeight="1">
      <c r="A1016" s="80" t="s">
        <v>412</v>
      </c>
      <c r="B1016" s="81" t="str">
        <f t="shared" si="1"/>
        <v>Cilacap</v>
      </c>
      <c r="C1016" s="81" t="str">
        <f t="array" ref="C1016">XLOOKUP(B1016,Reference!$A$2:$A$152,Reference!$B$2:$B$152)</f>
        <v>Jawa Tengah</v>
      </c>
      <c r="D1016" s="82" t="s">
        <v>1455</v>
      </c>
      <c r="E1016" s="83">
        <v>45352.0</v>
      </c>
      <c r="F1016" s="84" t="str">
        <f t="array" ref="F1016">XLOOKUP(G1016,Reference!$F:$F,Reference!$D:$D,"null")</f>
        <v>Makanan dan Pakaian </v>
      </c>
      <c r="G1016" s="85" t="s">
        <v>48</v>
      </c>
      <c r="H1016" s="86">
        <v>111.46</v>
      </c>
      <c r="I1016" s="86">
        <v>109.0</v>
      </c>
      <c r="J1016" s="87">
        <f t="shared" si="2"/>
        <v>2.256880734</v>
      </c>
      <c r="K1016" s="84" t="str">
        <f t="shared" si="3"/>
        <v>Inflasi Tinggi</v>
      </c>
      <c r="L1016" s="84">
        <f t="shared" si="4"/>
        <v>2.46</v>
      </c>
      <c r="M1016" s="88" t="str">
        <f t="shared" si="5"/>
        <v>Akselerasi Kuat</v>
      </c>
    </row>
    <row r="1017" ht="18.75" customHeight="1">
      <c r="A1017" s="80" t="s">
        <v>532</v>
      </c>
      <c r="B1017" s="81" t="str">
        <f t="shared" si="1"/>
        <v>Kota Palembang</v>
      </c>
      <c r="C1017" s="81" t="str">
        <f t="array" ref="C1017">XLOOKUP(B1017,Reference!$A$2:$A$152,Reference!$B$2:$B$152)</f>
        <v>Sumatera Selatan</v>
      </c>
      <c r="D1017" s="82" t="s">
        <v>1456</v>
      </c>
      <c r="E1017" s="83">
        <v>45323.0</v>
      </c>
      <c r="F1017" s="84" t="str">
        <f t="array" ref="F1017">XLOOKUP(G1017,Reference!$F:$F,Reference!$D:$D,"null")</f>
        <v>Rumah Tangga</v>
      </c>
      <c r="G1017" s="85" t="s">
        <v>89</v>
      </c>
      <c r="H1017" s="86">
        <v>103.93</v>
      </c>
      <c r="I1017" s="86">
        <v>103.93</v>
      </c>
      <c r="J1017" s="87">
        <f t="shared" si="2"/>
        <v>0</v>
      </c>
      <c r="K1017" s="84" t="str">
        <f t="shared" si="3"/>
        <v>Stabil</v>
      </c>
      <c r="L1017" s="84">
        <f t="shared" si="4"/>
        <v>0</v>
      </c>
      <c r="M1017" s="88" t="str">
        <f t="shared" si="5"/>
        <v>Perubahan Normal</v>
      </c>
    </row>
    <row r="1018" ht="18.75" customHeight="1">
      <c r="A1018" s="80" t="s">
        <v>634</v>
      </c>
      <c r="B1018" s="81" t="str">
        <f t="shared" si="1"/>
        <v>Kota Depok</v>
      </c>
      <c r="C1018" s="81" t="str">
        <f t="array" ref="C1018">XLOOKUP(B1018,Reference!$A$2:$A$152,Reference!$B$2:$B$152)</f>
        <v>Jawa Barat</v>
      </c>
      <c r="D1018" s="82" t="s">
        <v>1457</v>
      </c>
      <c r="E1018" s="83">
        <v>45323.0</v>
      </c>
      <c r="F1018" s="84" t="str">
        <f t="array" ref="F1018">XLOOKUP(G1018,Reference!$F:$F,Reference!$D:$D,"null")</f>
        <v>Rumah Tangga</v>
      </c>
      <c r="G1018" s="85" t="s">
        <v>80</v>
      </c>
      <c r="H1018" s="86">
        <v>104.89</v>
      </c>
      <c r="I1018" s="86">
        <v>104.89</v>
      </c>
      <c r="J1018" s="87">
        <f t="shared" si="2"/>
        <v>0</v>
      </c>
      <c r="K1018" s="84" t="str">
        <f t="shared" si="3"/>
        <v>Stabil</v>
      </c>
      <c r="L1018" s="84">
        <f t="shared" si="4"/>
        <v>0</v>
      </c>
      <c r="M1018" s="88" t="str">
        <f t="shared" si="5"/>
        <v>Perubahan Normal</v>
      </c>
    </row>
    <row r="1019" ht="18.75" customHeight="1">
      <c r="A1019" s="80" t="s">
        <v>387</v>
      </c>
      <c r="B1019" s="81" t="str">
        <f t="shared" si="1"/>
        <v>Kota Semarang</v>
      </c>
      <c r="C1019" s="81" t="str">
        <f t="array" ref="C1019">XLOOKUP(B1019,Reference!$A$2:$A$152,Reference!$B$2:$B$152)</f>
        <v>Jawa Tengah</v>
      </c>
      <c r="D1019" s="82" t="s">
        <v>1458</v>
      </c>
      <c r="E1019" s="83">
        <v>45352.0</v>
      </c>
      <c r="F1019" s="84" t="str">
        <f t="array" ref="F1019">XLOOKUP(G1019,Reference!$F:$F,Reference!$D:$D,"null")</f>
        <v>Rumah Tangga</v>
      </c>
      <c r="G1019" s="89" t="s">
        <v>89</v>
      </c>
      <c r="H1019" s="90">
        <v>105.15</v>
      </c>
      <c r="I1019" s="90">
        <v>105.15</v>
      </c>
      <c r="J1019" s="87">
        <f t="shared" si="2"/>
        <v>0</v>
      </c>
      <c r="K1019" s="84" t="str">
        <f t="shared" si="3"/>
        <v>Stabil</v>
      </c>
      <c r="L1019" s="91">
        <f t="shared" si="4"/>
        <v>0</v>
      </c>
      <c r="M1019" s="88" t="str">
        <f t="shared" si="5"/>
        <v>Perubahan Normal</v>
      </c>
    </row>
    <row r="1020" ht="18.75" customHeight="1">
      <c r="A1020" s="80" t="s">
        <v>592</v>
      </c>
      <c r="B1020" s="81" t="str">
        <f t="shared" si="1"/>
        <v>Kab Lampung Timur</v>
      </c>
      <c r="C1020" s="81" t="str">
        <f t="array" ref="C1020">XLOOKUP(B1020,Reference!$A$2:$A$152,Reference!$B$2:$B$152)</f>
        <v>Lampung</v>
      </c>
      <c r="D1020" s="82" t="s">
        <v>1459</v>
      </c>
      <c r="E1020" s="83">
        <v>45323.0</v>
      </c>
      <c r="F1020" s="84" t="str">
        <f t="array" ref="F1020">XLOOKUP(G1020,Reference!$F:$F,Reference!$D:$D,"null")</f>
        <v>Makanan dan Pakaian </v>
      </c>
      <c r="G1020" s="89" t="s">
        <v>72</v>
      </c>
      <c r="H1020" s="90">
        <v>114.99</v>
      </c>
      <c r="I1020" s="90">
        <v>114.99</v>
      </c>
      <c r="J1020" s="87">
        <f t="shared" si="2"/>
        <v>0</v>
      </c>
      <c r="K1020" s="84" t="str">
        <f t="shared" si="3"/>
        <v>Stabil</v>
      </c>
      <c r="L1020" s="91">
        <f t="shared" si="4"/>
        <v>0</v>
      </c>
      <c r="M1020" s="88" t="str">
        <f t="shared" si="5"/>
        <v>Perubahan Normal</v>
      </c>
    </row>
    <row r="1021" ht="18.75" customHeight="1">
      <c r="A1021" s="80" t="s">
        <v>384</v>
      </c>
      <c r="B1021" s="81" t="str">
        <f t="shared" si="1"/>
        <v>Kab Lebak</v>
      </c>
      <c r="C1021" s="81" t="str">
        <f t="array" ref="C1021">XLOOKUP(B1021,Reference!$A$2:$A$152,Reference!$B$2:$B$152)</f>
        <v>Banten</v>
      </c>
      <c r="D1021" s="82" t="s">
        <v>1460</v>
      </c>
      <c r="E1021" s="83">
        <v>45323.0</v>
      </c>
      <c r="F1021" s="84" t="str">
        <f t="array" ref="F1021">XLOOKUP(G1021,Reference!$F:$F,Reference!$D:$D,"null")</f>
        <v>Pendidikan dan Kesehatan</v>
      </c>
      <c r="G1021" s="85" t="s">
        <v>95</v>
      </c>
      <c r="H1021" s="86">
        <v>100.0</v>
      </c>
      <c r="I1021" s="86">
        <v>100.0</v>
      </c>
      <c r="J1021" s="87">
        <f t="shared" si="2"/>
        <v>0</v>
      </c>
      <c r="K1021" s="84" t="str">
        <f t="shared" si="3"/>
        <v>Stabil</v>
      </c>
      <c r="L1021" s="84">
        <f t="shared" si="4"/>
        <v>0</v>
      </c>
      <c r="M1021" s="88" t="str">
        <f t="shared" si="5"/>
        <v>Perubahan Normal</v>
      </c>
    </row>
    <row r="1022" ht="18.75" customHeight="1">
      <c r="A1022" s="80" t="s">
        <v>806</v>
      </c>
      <c r="B1022" s="81" t="str">
        <f t="shared" si="1"/>
        <v>Kab Subang</v>
      </c>
      <c r="C1022" s="81" t="str">
        <f t="array" ref="C1022">XLOOKUP(B1022,Reference!$A$2:$A$152,Reference!$B$2:$B$152)</f>
        <v>Jawa Barat</v>
      </c>
      <c r="D1022" s="82" t="s">
        <v>1461</v>
      </c>
      <c r="E1022" s="83">
        <v>45323.0</v>
      </c>
      <c r="F1022" s="84" t="str">
        <f t="array" ref="F1022">XLOOKUP(G1022,Reference!$F:$F,Reference!$D:$D,"null")</f>
        <v>Makanan dan Pakaian </v>
      </c>
      <c r="G1022" s="85" t="s">
        <v>72</v>
      </c>
      <c r="H1022" s="86">
        <v>110.11</v>
      </c>
      <c r="I1022" s="86">
        <v>111.98</v>
      </c>
      <c r="J1022" s="87">
        <f t="shared" si="2"/>
        <v>-1.669941061</v>
      </c>
      <c r="K1022" s="84" t="str">
        <f t="shared" si="3"/>
        <v>Deflasi</v>
      </c>
      <c r="L1022" s="84">
        <f t="shared" si="4"/>
        <v>-1.87</v>
      </c>
      <c r="M1022" s="88" t="str">
        <f t="shared" si="5"/>
        <v>Perubahan Normal</v>
      </c>
    </row>
    <row r="1023" ht="18.75" customHeight="1">
      <c r="A1023" s="80" t="s">
        <v>454</v>
      </c>
      <c r="B1023" s="81" t="str">
        <f t="shared" si="1"/>
        <v>Kab Ketapang</v>
      </c>
      <c r="C1023" s="81" t="str">
        <f t="array" ref="C1023">XLOOKUP(B1023,Reference!$A$2:$A$152,Reference!$B$2:$B$152)</f>
        <v>Kalimantan Barat</v>
      </c>
      <c r="D1023" s="82" t="s">
        <v>1462</v>
      </c>
      <c r="E1023" s="83">
        <v>45323.0</v>
      </c>
      <c r="F1023" s="84" t="str">
        <f t="array" ref="F1023">XLOOKUP(G1023,Reference!$F:$F,Reference!$D:$D,"null")</f>
        <v>Pendidikan dan Kesehatan</v>
      </c>
      <c r="G1023" s="89" t="s">
        <v>98</v>
      </c>
      <c r="H1023" s="90">
        <v>106.83</v>
      </c>
      <c r="I1023" s="90">
        <v>106.83</v>
      </c>
      <c r="J1023" s="87">
        <f t="shared" si="2"/>
        <v>0</v>
      </c>
      <c r="K1023" s="84" t="str">
        <f t="shared" si="3"/>
        <v>Stabil</v>
      </c>
      <c r="L1023" s="91">
        <f t="shared" si="4"/>
        <v>0</v>
      </c>
      <c r="M1023" s="88" t="str">
        <f t="shared" si="5"/>
        <v>Perubahan Normal</v>
      </c>
    </row>
    <row r="1024" ht="18.75" customHeight="1">
      <c r="A1024" s="80" t="s">
        <v>298</v>
      </c>
      <c r="B1024" s="81" t="str">
        <f t="shared" si="1"/>
        <v>Kota Bekasi</v>
      </c>
      <c r="C1024" s="81" t="str">
        <f t="array" ref="C1024">XLOOKUP(B1024,Reference!$A$2:$A$152,Reference!$B$2:$B$152)</f>
        <v>Jawa Barat</v>
      </c>
      <c r="D1024" s="82" t="s">
        <v>1463</v>
      </c>
      <c r="E1024" s="83">
        <v>45323.0</v>
      </c>
      <c r="F1024" s="84" t="str">
        <f t="array" ref="F1024">XLOOKUP(G1024,Reference!$F:$F,Reference!$D:$D,"null")</f>
        <v>Pendidikan dan Kesehatan</v>
      </c>
      <c r="G1024" s="85" t="s">
        <v>95</v>
      </c>
      <c r="H1024" s="86">
        <v>105.22</v>
      </c>
      <c r="I1024" s="86">
        <v>105.22</v>
      </c>
      <c r="J1024" s="87">
        <f t="shared" si="2"/>
        <v>0</v>
      </c>
      <c r="K1024" s="84" t="str">
        <f t="shared" si="3"/>
        <v>Stabil</v>
      </c>
      <c r="L1024" s="84">
        <f t="shared" si="4"/>
        <v>0</v>
      </c>
      <c r="M1024" s="88" t="str">
        <f t="shared" si="5"/>
        <v>Perubahan Normal</v>
      </c>
    </row>
    <row r="1025" ht="18.75" customHeight="1">
      <c r="A1025" s="80" t="s">
        <v>905</v>
      </c>
      <c r="B1025" s="81" t="str">
        <f t="shared" si="1"/>
        <v>Kota Ambon</v>
      </c>
      <c r="C1025" s="81" t="str">
        <f t="array" ref="C1025">XLOOKUP(B1025,Reference!$A$2:$A$152,Reference!$B$2:$B$152)</f>
        <v>Maluku</v>
      </c>
      <c r="D1025" s="82" t="s">
        <v>1464</v>
      </c>
      <c r="E1025" s="83">
        <v>45323.0</v>
      </c>
      <c r="F1025" s="84" t="str">
        <f t="array" ref="F1025">XLOOKUP(G1025,Reference!$F:$F,Reference!$D:$D,"null")</f>
        <v>Makanan dan Pakaian </v>
      </c>
      <c r="G1025" s="85" t="s">
        <v>72</v>
      </c>
      <c r="H1025" s="86">
        <v>100.19</v>
      </c>
      <c r="I1025" s="86">
        <v>100.19</v>
      </c>
      <c r="J1025" s="87">
        <f t="shared" si="2"/>
        <v>0</v>
      </c>
      <c r="K1025" s="84" t="str">
        <f t="shared" si="3"/>
        <v>Stabil</v>
      </c>
      <c r="L1025" s="84">
        <f t="shared" si="4"/>
        <v>0</v>
      </c>
      <c r="M1025" s="88" t="str">
        <f t="shared" si="5"/>
        <v>Perubahan Normal</v>
      </c>
    </row>
    <row r="1026" ht="18.75" customHeight="1">
      <c r="A1026" s="80" t="s">
        <v>419</v>
      </c>
      <c r="B1026" s="81" t="str">
        <f t="shared" si="1"/>
        <v>Kota Singkawang</v>
      </c>
      <c r="C1026" s="81" t="str">
        <f t="array" ref="C1026">XLOOKUP(B1026,Reference!$A$2:$A$152,Reference!$B$2:$B$152)</f>
        <v>Kalimantan Barat</v>
      </c>
      <c r="D1026" s="82" t="s">
        <v>1465</v>
      </c>
      <c r="E1026" s="83">
        <v>45323.0</v>
      </c>
      <c r="F1026" s="84" t="str">
        <f t="array" ref="F1026">XLOOKUP(G1026,Reference!$F:$F,Reference!$D:$D,"null")</f>
        <v>Rumah Tangga</v>
      </c>
      <c r="G1026" s="85" t="s">
        <v>84</v>
      </c>
      <c r="H1026" s="86">
        <v>101.47</v>
      </c>
      <c r="I1026" s="86">
        <v>101.47</v>
      </c>
      <c r="J1026" s="87">
        <f t="shared" si="2"/>
        <v>0</v>
      </c>
      <c r="K1026" s="84" t="str">
        <f t="shared" si="3"/>
        <v>Stabil</v>
      </c>
      <c r="L1026" s="84">
        <f t="shared" si="4"/>
        <v>0</v>
      </c>
      <c r="M1026" s="88" t="str">
        <f t="shared" si="5"/>
        <v>Perubahan Normal</v>
      </c>
    </row>
    <row r="1027" ht="18.75" customHeight="1">
      <c r="A1027" s="80" t="s">
        <v>417</v>
      </c>
      <c r="B1027" s="81" t="str">
        <f t="shared" si="1"/>
        <v>Kotabaru</v>
      </c>
      <c r="C1027" s="81" t="str">
        <f t="array" ref="C1027">XLOOKUP(B1027,Reference!$A$2:$A$152,Reference!$B$2:$B$152)</f>
        <v>Kalimantan Selatan</v>
      </c>
      <c r="D1027" s="82" t="s">
        <v>1466</v>
      </c>
      <c r="E1027" s="83">
        <v>45323.0</v>
      </c>
      <c r="F1027" s="84" t="str">
        <f t="array" ref="F1027">XLOOKUP(G1027,Reference!$F:$F,Reference!$D:$D,"null")</f>
        <v>Makanan dan Pakaian </v>
      </c>
      <c r="G1027" s="89" t="s">
        <v>56</v>
      </c>
      <c r="H1027" s="90">
        <v>105.31</v>
      </c>
      <c r="I1027" s="90">
        <v>105.31</v>
      </c>
      <c r="J1027" s="87">
        <f t="shared" si="2"/>
        <v>0</v>
      </c>
      <c r="K1027" s="84" t="str">
        <f t="shared" si="3"/>
        <v>Stabil</v>
      </c>
      <c r="L1027" s="91">
        <f t="shared" si="4"/>
        <v>0</v>
      </c>
      <c r="M1027" s="88" t="str">
        <f t="shared" si="5"/>
        <v>Perubahan Normal</v>
      </c>
    </row>
    <row r="1028" ht="18.75" customHeight="1">
      <c r="A1028" s="80" t="s">
        <v>592</v>
      </c>
      <c r="B1028" s="81" t="str">
        <f t="shared" si="1"/>
        <v>Kab Lampung Timur</v>
      </c>
      <c r="C1028" s="81" t="str">
        <f t="array" ref="C1028">XLOOKUP(B1028,Reference!$A$2:$A$152,Reference!$B$2:$B$152)</f>
        <v>Lampung</v>
      </c>
      <c r="D1028" s="82" t="s">
        <v>1467</v>
      </c>
      <c r="E1028" s="83">
        <v>45352.0</v>
      </c>
      <c r="F1028" s="84" t="str">
        <f t="array" ref="F1028">XLOOKUP(G1028,Reference!$F:$F,Reference!$D:$D,"null")</f>
        <v>Pendidikan dan Kesehatan</v>
      </c>
      <c r="G1028" s="85" t="s">
        <v>95</v>
      </c>
      <c r="H1028" s="86">
        <v>100.0</v>
      </c>
      <c r="I1028" s="86">
        <v>100.0</v>
      </c>
      <c r="J1028" s="87">
        <f t="shared" si="2"/>
        <v>0</v>
      </c>
      <c r="K1028" s="84" t="str">
        <f t="shared" si="3"/>
        <v>Stabil</v>
      </c>
      <c r="L1028" s="84">
        <f t="shared" si="4"/>
        <v>0</v>
      </c>
      <c r="M1028" s="88" t="str">
        <f t="shared" si="5"/>
        <v>Perubahan Normal</v>
      </c>
    </row>
    <row r="1029" ht="18.75" customHeight="1">
      <c r="A1029" s="80" t="s">
        <v>600</v>
      </c>
      <c r="B1029" s="81" t="str">
        <f t="shared" si="1"/>
        <v>Kota Banda Aceh</v>
      </c>
      <c r="C1029" s="81" t="str">
        <f t="array" ref="C1029">XLOOKUP(B1029,Reference!$A$2:$A$152,Reference!$B$2:$B$152)</f>
        <v>Aceh</v>
      </c>
      <c r="D1029" s="82" t="s">
        <v>1468</v>
      </c>
      <c r="E1029" s="83">
        <v>45352.0</v>
      </c>
      <c r="F1029" s="84" t="str">
        <f t="array" ref="F1029">XLOOKUP(G1029,Reference!$F:$F,Reference!$D:$D,"null")</f>
        <v>Rumah Tangga</v>
      </c>
      <c r="G1029" s="85" t="s">
        <v>84</v>
      </c>
      <c r="H1029" s="86">
        <v>101.54</v>
      </c>
      <c r="I1029" s="86">
        <v>101.54</v>
      </c>
      <c r="J1029" s="87">
        <f t="shared" si="2"/>
        <v>0</v>
      </c>
      <c r="K1029" s="84" t="str">
        <f t="shared" si="3"/>
        <v>Stabil</v>
      </c>
      <c r="L1029" s="84">
        <f t="shared" si="4"/>
        <v>0</v>
      </c>
      <c r="M1029" s="88" t="str">
        <f t="shared" si="5"/>
        <v>Perubahan Normal</v>
      </c>
    </row>
    <row r="1030" ht="18.75" customHeight="1">
      <c r="A1030" s="80" t="s">
        <v>427</v>
      </c>
      <c r="B1030" s="81" t="str">
        <f t="shared" si="1"/>
        <v>Kota Malang</v>
      </c>
      <c r="C1030" s="81" t="str">
        <f t="array" ref="C1030">XLOOKUP(B1030,Reference!$A$2:$A$152,Reference!$B$2:$B$152)</f>
        <v>Jawa Timur</v>
      </c>
      <c r="D1030" s="82" t="s">
        <v>1469</v>
      </c>
      <c r="E1030" s="83">
        <v>45323.0</v>
      </c>
      <c r="F1030" s="84" t="str">
        <f t="array" ref="F1030">XLOOKUP(G1030,Reference!$F:$F,Reference!$D:$D,"null")</f>
        <v>Rekreasi dan Kendaraan</v>
      </c>
      <c r="G1030" s="85" t="s">
        <v>102</v>
      </c>
      <c r="H1030" s="86">
        <v>101.65</v>
      </c>
      <c r="I1030" s="86">
        <v>101.48</v>
      </c>
      <c r="J1030" s="87">
        <f t="shared" si="2"/>
        <v>0.1675206937</v>
      </c>
      <c r="K1030" s="84" t="str">
        <f t="shared" si="3"/>
        <v>Inflasi Normal</v>
      </c>
      <c r="L1030" s="84">
        <f t="shared" si="4"/>
        <v>0.17</v>
      </c>
      <c r="M1030" s="88" t="str">
        <f t="shared" si="5"/>
        <v>Perubahan Normal</v>
      </c>
    </row>
    <row r="1031" ht="18.75" customHeight="1">
      <c r="A1031" s="80" t="s">
        <v>492</v>
      </c>
      <c r="B1031" s="81" t="str">
        <f t="shared" si="1"/>
        <v>Kota Cilegon</v>
      </c>
      <c r="C1031" s="81" t="str">
        <f t="array" ref="C1031">XLOOKUP(B1031,Reference!$A$2:$A$152,Reference!$B$2:$B$152)</f>
        <v>Banten</v>
      </c>
      <c r="D1031" s="82" t="s">
        <v>1470</v>
      </c>
      <c r="E1031" s="83">
        <v>45352.0</v>
      </c>
      <c r="F1031" s="84" t="str">
        <f t="array" ref="F1031">XLOOKUP(G1031,Reference!$F:$F,Reference!$D:$D,"null")</f>
        <v>Makanan dan Pakaian </v>
      </c>
      <c r="G1031" s="85" t="s">
        <v>64</v>
      </c>
      <c r="H1031" s="86">
        <v>104.6</v>
      </c>
      <c r="I1031" s="86">
        <v>102.45</v>
      </c>
      <c r="J1031" s="87">
        <f t="shared" si="2"/>
        <v>2.098584675</v>
      </c>
      <c r="K1031" s="84" t="str">
        <f t="shared" si="3"/>
        <v>Inflasi Tinggi</v>
      </c>
      <c r="L1031" s="84">
        <f t="shared" si="4"/>
        <v>2.15</v>
      </c>
      <c r="M1031" s="88" t="str">
        <f t="shared" si="5"/>
        <v>Akselerasi Kuat</v>
      </c>
    </row>
    <row r="1032" ht="18.75" customHeight="1">
      <c r="A1032" s="80" t="s">
        <v>316</v>
      </c>
      <c r="B1032" s="81" t="str">
        <f t="shared" si="1"/>
        <v>Singaraja</v>
      </c>
      <c r="C1032" s="81" t="str">
        <f t="array" ref="C1032">XLOOKUP(B1032,Reference!$A$2:$A$152,Reference!$B$2:$B$152)</f>
        <v>Bali</v>
      </c>
      <c r="D1032" s="82" t="s">
        <v>1471</v>
      </c>
      <c r="E1032" s="83">
        <v>45323.0</v>
      </c>
      <c r="F1032" s="84" t="str">
        <f t="array" ref="F1032">XLOOKUP(G1032,Reference!$F:$F,Reference!$D:$D,"null")</f>
        <v>Rumah Tangga</v>
      </c>
      <c r="G1032" s="85" t="s">
        <v>80</v>
      </c>
      <c r="H1032" s="86">
        <v>101.89</v>
      </c>
      <c r="I1032" s="86">
        <v>101.89</v>
      </c>
      <c r="J1032" s="87">
        <f t="shared" si="2"/>
        <v>0</v>
      </c>
      <c r="K1032" s="84" t="str">
        <f t="shared" si="3"/>
        <v>Stabil</v>
      </c>
      <c r="L1032" s="84">
        <f t="shared" si="4"/>
        <v>0</v>
      </c>
      <c r="M1032" s="88" t="str">
        <f t="shared" si="5"/>
        <v>Perubahan Normal</v>
      </c>
    </row>
    <row r="1033" ht="18.75" customHeight="1">
      <c r="A1033" s="80" t="s">
        <v>576</v>
      </c>
      <c r="B1033" s="81" t="str">
        <f t="shared" si="1"/>
        <v>Kab Tabanan</v>
      </c>
      <c r="C1033" s="81" t="str">
        <f t="array" ref="C1033">XLOOKUP(B1033,Reference!$A$2:$A$152,Reference!$B$2:$B$152)</f>
        <v>Bali</v>
      </c>
      <c r="D1033" s="82" t="s">
        <v>1472</v>
      </c>
      <c r="E1033" s="83">
        <v>45352.0</v>
      </c>
      <c r="F1033" s="84" t="str">
        <f t="array" ref="F1033">XLOOKUP(G1033,Reference!$F:$F,Reference!$D:$D,"null")</f>
        <v>Makanan dan Pakaian </v>
      </c>
      <c r="G1033" s="85" t="s">
        <v>64</v>
      </c>
      <c r="H1033" s="86">
        <v>117.38</v>
      </c>
      <c r="I1033" s="86">
        <v>117.38</v>
      </c>
      <c r="J1033" s="87">
        <f t="shared" si="2"/>
        <v>0</v>
      </c>
      <c r="K1033" s="84" t="str">
        <f t="shared" si="3"/>
        <v>Stabil</v>
      </c>
      <c r="L1033" s="84">
        <f t="shared" si="4"/>
        <v>0</v>
      </c>
      <c r="M1033" s="88" t="str">
        <f t="shared" si="5"/>
        <v>Perubahan Normal</v>
      </c>
    </row>
    <row r="1034" ht="18.75" customHeight="1">
      <c r="A1034" s="80" t="s">
        <v>654</v>
      </c>
      <c r="B1034" s="81" t="str">
        <f t="shared" si="1"/>
        <v>Kab Aceh Tengah</v>
      </c>
      <c r="C1034" s="81" t="str">
        <f t="array" ref="C1034">XLOOKUP(B1034,Reference!$A$2:$A$152,Reference!$B$2:$B$152)</f>
        <v>Aceh</v>
      </c>
      <c r="D1034" s="82" t="s">
        <v>1473</v>
      </c>
      <c r="E1034" s="83">
        <v>45352.0</v>
      </c>
      <c r="F1034" s="84" t="str">
        <f t="array" ref="F1034">XLOOKUP(G1034,Reference!$F:$F,Reference!$D:$D,"null")</f>
        <v>Makanan dan Pakaian </v>
      </c>
      <c r="G1034" s="85" t="s">
        <v>72</v>
      </c>
      <c r="H1034" s="86">
        <v>104.2</v>
      </c>
      <c r="I1034" s="86">
        <v>103.43</v>
      </c>
      <c r="J1034" s="87">
        <f t="shared" si="2"/>
        <v>0.7444648555</v>
      </c>
      <c r="K1034" s="84" t="str">
        <f t="shared" si="3"/>
        <v>Inflasi Tinggi</v>
      </c>
      <c r="L1034" s="84">
        <f t="shared" si="4"/>
        <v>0.77</v>
      </c>
      <c r="M1034" s="88" t="str">
        <f t="shared" si="5"/>
        <v>Akselerasi Persentase</v>
      </c>
    </row>
    <row r="1035" ht="18.75" customHeight="1">
      <c r="A1035" s="80" t="s">
        <v>397</v>
      </c>
      <c r="B1035" s="81" t="str">
        <f t="shared" si="1"/>
        <v>Kota Pematangsiantar</v>
      </c>
      <c r="C1035" s="81" t="str">
        <f t="array" ref="C1035">XLOOKUP(B1035,Reference!$A$2:$A$152,Reference!$B$2:$B$152)</f>
        <v>Sumatera Utara</v>
      </c>
      <c r="D1035" s="82" t="s">
        <v>1474</v>
      </c>
      <c r="E1035" s="83">
        <v>45352.0</v>
      </c>
      <c r="F1035" s="84" t="str">
        <f t="array" ref="F1035">XLOOKUP(G1035,Reference!$F:$F,Reference!$D:$D,"null")</f>
        <v>Rekreasi dan Kendaraan</v>
      </c>
      <c r="G1035" s="85" t="s">
        <v>102</v>
      </c>
      <c r="H1035" s="86">
        <v>98.25</v>
      </c>
      <c r="I1035" s="86">
        <v>98.01</v>
      </c>
      <c r="J1035" s="87">
        <f t="shared" si="2"/>
        <v>0.2448729721</v>
      </c>
      <c r="K1035" s="84" t="str">
        <f t="shared" si="3"/>
        <v>Inflasi Normal</v>
      </c>
      <c r="L1035" s="84">
        <f t="shared" si="4"/>
        <v>0.24</v>
      </c>
      <c r="M1035" s="88" t="str">
        <f t="shared" si="5"/>
        <v>Perubahan Normal</v>
      </c>
    </row>
    <row r="1036" ht="18.75" customHeight="1">
      <c r="A1036" s="80" t="s">
        <v>456</v>
      </c>
      <c r="B1036" s="81" t="str">
        <f t="shared" si="1"/>
        <v>Kab Aceh Tamiang</v>
      </c>
      <c r="C1036" s="81" t="str">
        <f t="array" ref="C1036">XLOOKUP(B1036,Reference!$A$2:$A$152,Reference!$B$2:$B$152)</f>
        <v>Aceh</v>
      </c>
      <c r="D1036" s="82" t="s">
        <v>1475</v>
      </c>
      <c r="E1036" s="83">
        <v>45352.0</v>
      </c>
      <c r="F1036" s="84" t="str">
        <f t="array" ref="F1036">XLOOKUP(G1036,Reference!$F:$F,Reference!$D:$D,"null")</f>
        <v>Pendidikan dan Kesehatan</v>
      </c>
      <c r="G1036" s="85" t="s">
        <v>95</v>
      </c>
      <c r="H1036" s="86">
        <v>102.36</v>
      </c>
      <c r="I1036" s="86">
        <v>102.36</v>
      </c>
      <c r="J1036" s="87">
        <f t="shared" si="2"/>
        <v>0</v>
      </c>
      <c r="K1036" s="84" t="str">
        <f t="shared" si="3"/>
        <v>Stabil</v>
      </c>
      <c r="L1036" s="84">
        <f t="shared" si="4"/>
        <v>0</v>
      </c>
      <c r="M1036" s="88" t="str">
        <f t="shared" si="5"/>
        <v>Perubahan Normal</v>
      </c>
    </row>
    <row r="1037" ht="18.75" customHeight="1">
      <c r="A1037" s="80" t="s">
        <v>656</v>
      </c>
      <c r="B1037" s="81" t="str">
        <f t="shared" si="1"/>
        <v>Kota Palopo</v>
      </c>
      <c r="C1037" s="81" t="str">
        <f t="array" ref="C1037">XLOOKUP(B1037,Reference!$A$2:$A$152,Reference!$B$2:$B$152)</f>
        <v>Sulawesi Selatan</v>
      </c>
      <c r="D1037" s="82" t="s">
        <v>1476</v>
      </c>
      <c r="E1037" s="83">
        <v>45323.0</v>
      </c>
      <c r="F1037" s="84" t="str">
        <f t="array" ref="F1037">XLOOKUP(G1037,Reference!$F:$F,Reference!$D:$D,"null")</f>
        <v>Rumah Tangga</v>
      </c>
      <c r="G1037" s="85" t="s">
        <v>80</v>
      </c>
      <c r="H1037" s="86">
        <v>100.74</v>
      </c>
      <c r="I1037" s="86">
        <v>100.74</v>
      </c>
      <c r="J1037" s="87">
        <f t="shared" si="2"/>
        <v>0</v>
      </c>
      <c r="K1037" s="84" t="str">
        <f t="shared" si="3"/>
        <v>Stabil</v>
      </c>
      <c r="L1037" s="84">
        <f t="shared" si="4"/>
        <v>0</v>
      </c>
      <c r="M1037" s="88" t="str">
        <f t="shared" si="5"/>
        <v>Perubahan Normal</v>
      </c>
    </row>
    <row r="1038" ht="18.75" customHeight="1">
      <c r="A1038" s="80" t="s">
        <v>296</v>
      </c>
      <c r="B1038" s="81" t="str">
        <f t="shared" si="1"/>
        <v>Kota Bogor</v>
      </c>
      <c r="C1038" s="81" t="str">
        <f t="array" ref="C1038">XLOOKUP(B1038,Reference!$A$2:$A$152,Reference!$B$2:$B$152)</f>
        <v>Jawa Barat</v>
      </c>
      <c r="D1038" s="82" t="s">
        <v>1477</v>
      </c>
      <c r="E1038" s="83">
        <v>45323.0</v>
      </c>
      <c r="F1038" s="84" t="str">
        <f t="array" ref="F1038">XLOOKUP(G1038,Reference!$F:$F,Reference!$D:$D,"null")</f>
        <v>Pendidikan dan Kesehatan</v>
      </c>
      <c r="G1038" s="85" t="s">
        <v>98</v>
      </c>
      <c r="H1038" s="86">
        <v>105.38</v>
      </c>
      <c r="I1038" s="86">
        <v>105.0</v>
      </c>
      <c r="J1038" s="87">
        <f t="shared" si="2"/>
        <v>0.3619047619</v>
      </c>
      <c r="K1038" s="84" t="str">
        <f t="shared" si="3"/>
        <v>Inflasi Normal</v>
      </c>
      <c r="L1038" s="84">
        <f t="shared" si="4"/>
        <v>0.38</v>
      </c>
      <c r="M1038" s="88" t="str">
        <f t="shared" si="5"/>
        <v>Perubahan Normal</v>
      </c>
    </row>
    <row r="1039" ht="18.75" customHeight="1">
      <c r="A1039" s="80" t="s">
        <v>806</v>
      </c>
      <c r="B1039" s="81" t="str">
        <f t="shared" si="1"/>
        <v>Kab Subang</v>
      </c>
      <c r="C1039" s="81" t="str">
        <f t="array" ref="C1039">XLOOKUP(B1039,Reference!$A$2:$A$152,Reference!$B$2:$B$152)</f>
        <v>Jawa Barat</v>
      </c>
      <c r="D1039" s="82" t="s">
        <v>1478</v>
      </c>
      <c r="E1039" s="83">
        <v>45323.0</v>
      </c>
      <c r="F1039" s="84" t="str">
        <f t="array" ref="F1039">XLOOKUP(G1039,Reference!$F:$F,Reference!$D:$D,"null")</f>
        <v>Rumah Tangga</v>
      </c>
      <c r="G1039" s="85" t="s">
        <v>89</v>
      </c>
      <c r="H1039" s="86">
        <v>102.49</v>
      </c>
      <c r="I1039" s="86">
        <v>102.49</v>
      </c>
      <c r="J1039" s="87">
        <f t="shared" si="2"/>
        <v>0</v>
      </c>
      <c r="K1039" s="84" t="str">
        <f t="shared" si="3"/>
        <v>Stabil</v>
      </c>
      <c r="L1039" s="84">
        <f t="shared" si="4"/>
        <v>0</v>
      </c>
      <c r="M1039" s="88" t="str">
        <f t="shared" si="5"/>
        <v>Perubahan Normal</v>
      </c>
    </row>
    <row r="1040" ht="18.75" customHeight="1">
      <c r="A1040" s="80" t="s">
        <v>706</v>
      </c>
      <c r="B1040" s="81" t="str">
        <f t="shared" si="1"/>
        <v>Kota Makassar</v>
      </c>
      <c r="C1040" s="81" t="str">
        <f t="array" ref="C1040">XLOOKUP(B1040,Reference!$A$2:$A$152,Reference!$B$2:$B$152)</f>
        <v>Sulawesi Selatan</v>
      </c>
      <c r="D1040" s="82" t="s">
        <v>1479</v>
      </c>
      <c r="E1040" s="83">
        <v>45323.0</v>
      </c>
      <c r="F1040" s="84" t="str">
        <f t="array" ref="F1040">XLOOKUP(G1040,Reference!$F:$F,Reference!$D:$D,"null")</f>
        <v>Rekreasi dan Kendaraan</v>
      </c>
      <c r="G1040" s="89" t="s">
        <v>105</v>
      </c>
      <c r="H1040" s="90">
        <v>101.17</v>
      </c>
      <c r="I1040" s="90">
        <v>100.84</v>
      </c>
      <c r="J1040" s="87">
        <f t="shared" si="2"/>
        <v>0.3272510908</v>
      </c>
      <c r="K1040" s="84" t="str">
        <f t="shared" si="3"/>
        <v>Inflasi Normal</v>
      </c>
      <c r="L1040" s="91">
        <f t="shared" si="4"/>
        <v>0.33</v>
      </c>
      <c r="M1040" s="88" t="str">
        <f t="shared" si="5"/>
        <v>Perubahan Normal</v>
      </c>
    </row>
    <row r="1041" ht="18.75" customHeight="1">
      <c r="A1041" s="80" t="s">
        <v>335</v>
      </c>
      <c r="B1041" s="81" t="str">
        <f t="shared" si="1"/>
        <v>Kab Wonogiri</v>
      </c>
      <c r="C1041" s="81" t="str">
        <f t="array" ref="C1041">XLOOKUP(B1041,Reference!$A$2:$A$152,Reference!$B$2:$B$152)</f>
        <v>Jawa Tengah</v>
      </c>
      <c r="D1041" s="82" t="s">
        <v>1480</v>
      </c>
      <c r="E1041" s="83">
        <v>45352.0</v>
      </c>
      <c r="F1041" s="84" t="str">
        <f t="array" ref="F1041">XLOOKUP(G1041,Reference!$F:$F,Reference!$D:$D,"null")</f>
        <v>Rekreasi dan Kendaraan</v>
      </c>
      <c r="G1041" s="89" t="s">
        <v>102</v>
      </c>
      <c r="H1041" s="90">
        <v>101.72</v>
      </c>
      <c r="I1041" s="90">
        <v>101.05</v>
      </c>
      <c r="J1041" s="87">
        <f t="shared" si="2"/>
        <v>0.6630381</v>
      </c>
      <c r="K1041" s="84" t="str">
        <f t="shared" si="3"/>
        <v>Inflasi Tinggi</v>
      </c>
      <c r="L1041" s="91">
        <f t="shared" si="4"/>
        <v>0.67</v>
      </c>
      <c r="M1041" s="88" t="str">
        <f t="shared" si="5"/>
        <v>Akselerasi Persentase</v>
      </c>
    </row>
    <row r="1042" ht="18.75" customHeight="1">
      <c r="A1042" s="80" t="s">
        <v>505</v>
      </c>
      <c r="B1042" s="81" t="str">
        <f t="shared" si="1"/>
        <v>Kota Denpasar</v>
      </c>
      <c r="C1042" s="81" t="str">
        <f t="array" ref="C1042">XLOOKUP(B1042,Reference!$A$2:$A$152,Reference!$B$2:$B$152)</f>
        <v>Bali</v>
      </c>
      <c r="D1042" s="82" t="s">
        <v>1481</v>
      </c>
      <c r="E1042" s="83">
        <v>45323.0</v>
      </c>
      <c r="F1042" s="84" t="str">
        <f t="array" ref="F1042">XLOOKUP(G1042,Reference!$F:$F,Reference!$D:$D,"null")</f>
        <v>Makanan dan Pakaian </v>
      </c>
      <c r="G1042" s="85" t="s">
        <v>48</v>
      </c>
      <c r="H1042" s="86">
        <v>109.96</v>
      </c>
      <c r="I1042" s="86">
        <v>107.35</v>
      </c>
      <c r="J1042" s="87">
        <f t="shared" si="2"/>
        <v>2.431299488</v>
      </c>
      <c r="K1042" s="84" t="str">
        <f t="shared" si="3"/>
        <v>Inflasi Tinggi</v>
      </c>
      <c r="L1042" s="84">
        <f t="shared" si="4"/>
        <v>2.61</v>
      </c>
      <c r="M1042" s="88" t="str">
        <f t="shared" si="5"/>
        <v>Akselerasi Kuat</v>
      </c>
    </row>
    <row r="1043" ht="18.75" customHeight="1">
      <c r="A1043" s="80" t="s">
        <v>578</v>
      </c>
      <c r="B1043" s="81" t="str">
        <f t="shared" si="1"/>
        <v>Kab Belitung Timur</v>
      </c>
      <c r="C1043" s="81" t="str">
        <f t="array" ref="C1043">XLOOKUP(B1043,Reference!$A$2:$A$152,Reference!$B$2:$B$152)</f>
        <v>Kepulauan Bangka Belitung</v>
      </c>
      <c r="D1043" s="82" t="s">
        <v>1482</v>
      </c>
      <c r="E1043" s="83">
        <v>45352.0</v>
      </c>
      <c r="F1043" s="84" t="str">
        <f t="array" ref="F1043">XLOOKUP(G1043,Reference!$F:$F,Reference!$D:$D,"null")</f>
        <v>Pendidikan dan Kesehatan</v>
      </c>
      <c r="G1043" s="85" t="s">
        <v>95</v>
      </c>
      <c r="H1043" s="86">
        <v>101.05</v>
      </c>
      <c r="I1043" s="86">
        <v>101.05</v>
      </c>
      <c r="J1043" s="87">
        <f t="shared" si="2"/>
        <v>0</v>
      </c>
      <c r="K1043" s="84" t="str">
        <f t="shared" si="3"/>
        <v>Stabil</v>
      </c>
      <c r="L1043" s="84">
        <f t="shared" si="4"/>
        <v>0</v>
      </c>
      <c r="M1043" s="88" t="str">
        <f t="shared" si="5"/>
        <v>Perubahan Normal</v>
      </c>
    </row>
    <row r="1044" ht="18.75" customHeight="1">
      <c r="A1044" s="80" t="s">
        <v>584</v>
      </c>
      <c r="B1044" s="81" t="str">
        <f t="shared" si="1"/>
        <v>Kota Sibolga</v>
      </c>
      <c r="C1044" s="81" t="str">
        <f t="array" ref="C1044">XLOOKUP(B1044,Reference!$A$2:$A$152,Reference!$B$2:$B$152)</f>
        <v>Sumatera Utara</v>
      </c>
      <c r="D1044" s="82" t="s">
        <v>1483</v>
      </c>
      <c r="E1044" s="83">
        <v>45352.0</v>
      </c>
      <c r="F1044" s="84" t="str">
        <f t="array" ref="F1044">XLOOKUP(G1044,Reference!$F:$F,Reference!$D:$D,"null")</f>
        <v>Rumah Tangga</v>
      </c>
      <c r="G1044" s="85" t="s">
        <v>89</v>
      </c>
      <c r="H1044" s="86">
        <v>102.74</v>
      </c>
      <c r="I1044" s="86">
        <v>102.74</v>
      </c>
      <c r="J1044" s="87">
        <f t="shared" si="2"/>
        <v>0</v>
      </c>
      <c r="K1044" s="84" t="str">
        <f t="shared" si="3"/>
        <v>Stabil</v>
      </c>
      <c r="L1044" s="84">
        <f t="shared" si="4"/>
        <v>0</v>
      </c>
      <c r="M1044" s="88" t="str">
        <f t="shared" si="5"/>
        <v>Perubahan Normal</v>
      </c>
    </row>
    <row r="1045" ht="18.75" customHeight="1">
      <c r="A1045" s="80" t="s">
        <v>841</v>
      </c>
      <c r="B1045" s="81" t="str">
        <f t="shared" si="1"/>
        <v>Kab Morowali</v>
      </c>
      <c r="C1045" s="81" t="str">
        <f t="array" ref="C1045">XLOOKUP(B1045,Reference!$A$2:$A$152,Reference!$B$2:$B$152)</f>
        <v>Sulawesi Tengah</v>
      </c>
      <c r="D1045" s="82" t="s">
        <v>1484</v>
      </c>
      <c r="E1045" s="83">
        <v>45323.0</v>
      </c>
      <c r="F1045" s="84" t="str">
        <f t="array" ref="F1045">XLOOKUP(G1045,Reference!$F:$F,Reference!$D:$D,"null")</f>
        <v>Makanan dan Pakaian </v>
      </c>
      <c r="G1045" s="85" t="s">
        <v>56</v>
      </c>
      <c r="H1045" s="86">
        <v>100.98</v>
      </c>
      <c r="I1045" s="86">
        <v>100.98</v>
      </c>
      <c r="J1045" s="87">
        <f t="shared" si="2"/>
        <v>0</v>
      </c>
      <c r="K1045" s="84" t="str">
        <f t="shared" si="3"/>
        <v>Stabil</v>
      </c>
      <c r="L1045" s="84">
        <f t="shared" si="4"/>
        <v>0</v>
      </c>
      <c r="M1045" s="88" t="str">
        <f t="shared" si="5"/>
        <v>Perubahan Normal</v>
      </c>
    </row>
    <row r="1046" ht="18.75" customHeight="1">
      <c r="A1046" s="80" t="s">
        <v>524</v>
      </c>
      <c r="B1046" s="81" t="str">
        <f t="shared" si="1"/>
        <v>Kudus</v>
      </c>
      <c r="C1046" s="81" t="str">
        <f t="array" ref="C1046">XLOOKUP(B1046,Reference!$A$2:$A$152,Reference!$B$2:$B$152)</f>
        <v>Jawa Tengah</v>
      </c>
      <c r="D1046" s="82" t="s">
        <v>1485</v>
      </c>
      <c r="E1046" s="83">
        <v>45352.0</v>
      </c>
      <c r="F1046" s="84" t="str">
        <f t="array" ref="F1046">XLOOKUP(G1046,Reference!$F:$F,Reference!$D:$D,"null")</f>
        <v>Pendidikan dan Kesehatan</v>
      </c>
      <c r="G1046" s="85" t="s">
        <v>98</v>
      </c>
      <c r="H1046" s="86">
        <v>105.17</v>
      </c>
      <c r="I1046" s="86">
        <v>105.06</v>
      </c>
      <c r="J1046" s="87">
        <f t="shared" si="2"/>
        <v>0.104702075</v>
      </c>
      <c r="K1046" s="84" t="str">
        <f t="shared" si="3"/>
        <v>Inflasi Normal</v>
      </c>
      <c r="L1046" s="84">
        <f t="shared" si="4"/>
        <v>0.11</v>
      </c>
      <c r="M1046" s="88" t="str">
        <f t="shared" si="5"/>
        <v>Perubahan Normal</v>
      </c>
    </row>
    <row r="1047" ht="18.75" customHeight="1">
      <c r="A1047" s="80" t="s">
        <v>335</v>
      </c>
      <c r="B1047" s="81" t="str">
        <f t="shared" si="1"/>
        <v>Kab Wonogiri</v>
      </c>
      <c r="C1047" s="81" t="str">
        <f t="array" ref="C1047">XLOOKUP(B1047,Reference!$A$2:$A$152,Reference!$B$2:$B$152)</f>
        <v>Jawa Tengah</v>
      </c>
      <c r="D1047" s="82" t="s">
        <v>1486</v>
      </c>
      <c r="E1047" s="83">
        <v>45352.0</v>
      </c>
      <c r="F1047" s="84" t="str">
        <f t="array" ref="F1047">XLOOKUP(G1047,Reference!$F:$F,Reference!$D:$D,"null")</f>
        <v>Rekreasi dan Kendaraan</v>
      </c>
      <c r="G1047" s="85" t="s">
        <v>105</v>
      </c>
      <c r="H1047" s="86">
        <v>103.39</v>
      </c>
      <c r="I1047" s="86">
        <v>103.39</v>
      </c>
      <c r="J1047" s="87">
        <f t="shared" si="2"/>
        <v>0</v>
      </c>
      <c r="K1047" s="84" t="str">
        <f t="shared" si="3"/>
        <v>Stabil</v>
      </c>
      <c r="L1047" s="84">
        <f t="shared" si="4"/>
        <v>0</v>
      </c>
      <c r="M1047" s="88" t="str">
        <f t="shared" si="5"/>
        <v>Perubahan Normal</v>
      </c>
    </row>
    <row r="1048" ht="18.75" customHeight="1">
      <c r="A1048" s="80" t="s">
        <v>355</v>
      </c>
      <c r="B1048" s="81" t="str">
        <f t="shared" si="1"/>
        <v>Kota Gorontalo</v>
      </c>
      <c r="C1048" s="81" t="str">
        <f t="array" ref="C1048">XLOOKUP(B1048,Reference!$A$2:$A$152,Reference!$B$2:$B$152)</f>
        <v>Gorontalo</v>
      </c>
      <c r="D1048" s="82" t="s">
        <v>1487</v>
      </c>
      <c r="E1048" s="83">
        <v>45323.0</v>
      </c>
      <c r="F1048" s="84" t="str">
        <f t="array" ref="F1048">XLOOKUP(G1048,Reference!$F:$F,Reference!$D:$D,"null")</f>
        <v>Pendidikan dan Kesehatan</v>
      </c>
      <c r="G1048" s="85" t="s">
        <v>95</v>
      </c>
      <c r="H1048" s="86">
        <v>102.35</v>
      </c>
      <c r="I1048" s="86">
        <v>102.35</v>
      </c>
      <c r="J1048" s="87">
        <f t="shared" si="2"/>
        <v>0</v>
      </c>
      <c r="K1048" s="84" t="str">
        <f t="shared" si="3"/>
        <v>Stabil</v>
      </c>
      <c r="L1048" s="84">
        <f t="shared" si="4"/>
        <v>0</v>
      </c>
      <c r="M1048" s="88" t="str">
        <f t="shared" si="5"/>
        <v>Perubahan Normal</v>
      </c>
    </row>
    <row r="1049" ht="18.75" customHeight="1">
      <c r="A1049" s="80" t="s">
        <v>478</v>
      </c>
      <c r="B1049" s="81" t="str">
        <f t="shared" si="1"/>
        <v>Kab Maluku Tengah</v>
      </c>
      <c r="C1049" s="81" t="str">
        <f t="array" ref="C1049">XLOOKUP(B1049,Reference!$A$2:$A$152,Reference!$B$2:$B$152)</f>
        <v>Maluku</v>
      </c>
      <c r="D1049" s="82" t="s">
        <v>1488</v>
      </c>
      <c r="E1049" s="83">
        <v>45323.0</v>
      </c>
      <c r="F1049" s="84" t="str">
        <f t="array" ref="F1049">XLOOKUP(G1049,Reference!$F:$F,Reference!$D:$D,"null")</f>
        <v>Makanan dan Pakaian </v>
      </c>
      <c r="G1049" s="85" t="s">
        <v>48</v>
      </c>
      <c r="H1049" s="86">
        <v>101.55</v>
      </c>
      <c r="I1049" s="86">
        <v>108.92</v>
      </c>
      <c r="J1049" s="87">
        <f t="shared" si="2"/>
        <v>-6.76643408</v>
      </c>
      <c r="K1049" s="84" t="str">
        <f t="shared" si="3"/>
        <v>Deflasi</v>
      </c>
      <c r="L1049" s="84">
        <f t="shared" si="4"/>
        <v>-7.37</v>
      </c>
      <c r="M1049" s="88" t="str">
        <f t="shared" si="5"/>
        <v>Perubahan Normal</v>
      </c>
    </row>
    <row r="1050" ht="18.75" customHeight="1">
      <c r="A1050" s="80" t="s">
        <v>658</v>
      </c>
      <c r="B1050" s="81" t="str">
        <f t="shared" si="1"/>
        <v>Kota Mataram</v>
      </c>
      <c r="C1050" s="81" t="str">
        <f t="array" ref="C1050">XLOOKUP(B1050,Reference!$A$2:$A$152,Reference!$B$2:$B$152)</f>
        <v>Nusa Tenggara Barat (NTB)</v>
      </c>
      <c r="D1050" s="82" t="s">
        <v>1489</v>
      </c>
      <c r="E1050" s="83">
        <v>45323.0</v>
      </c>
      <c r="F1050" s="84" t="str">
        <f t="array" ref="F1050">XLOOKUP(G1050,Reference!$F:$F,Reference!$D:$D,"null")</f>
        <v>Rumah Tangga</v>
      </c>
      <c r="G1050" s="85" t="s">
        <v>80</v>
      </c>
      <c r="H1050" s="86">
        <v>102.09</v>
      </c>
      <c r="I1050" s="86">
        <v>102.09</v>
      </c>
      <c r="J1050" s="87">
        <f t="shared" si="2"/>
        <v>0</v>
      </c>
      <c r="K1050" s="84" t="str">
        <f t="shared" si="3"/>
        <v>Stabil</v>
      </c>
      <c r="L1050" s="84">
        <f t="shared" si="4"/>
        <v>0</v>
      </c>
      <c r="M1050" s="88" t="str">
        <f t="shared" si="5"/>
        <v>Perubahan Normal</v>
      </c>
    </row>
    <row r="1051" ht="18.75" customHeight="1">
      <c r="A1051" s="80" t="s">
        <v>372</v>
      </c>
      <c r="B1051" s="81" t="str">
        <f t="shared" si="1"/>
        <v>Kota Tanjung Pinang</v>
      </c>
      <c r="C1051" s="81" t="str">
        <f t="array" ref="C1051">XLOOKUP(B1051,Reference!$A$2:$A$152,Reference!$B$2:$B$152)</f>
        <v>Kepulauan Riau</v>
      </c>
      <c r="D1051" s="82" t="s">
        <v>1490</v>
      </c>
      <c r="E1051" s="83">
        <v>45352.0</v>
      </c>
      <c r="F1051" s="84" t="str">
        <f t="array" ref="F1051">XLOOKUP(G1051,Reference!$F:$F,Reference!$D:$D,"null")</f>
        <v>Rekreasi dan Kendaraan</v>
      </c>
      <c r="G1051" s="89" t="s">
        <v>105</v>
      </c>
      <c r="H1051" s="90">
        <v>105.36</v>
      </c>
      <c r="I1051" s="90">
        <v>105.27</v>
      </c>
      <c r="J1051" s="87">
        <f t="shared" si="2"/>
        <v>0.08549444286</v>
      </c>
      <c r="K1051" s="84" t="str">
        <f t="shared" si="3"/>
        <v>Inflasi Normal</v>
      </c>
      <c r="L1051" s="91">
        <f t="shared" si="4"/>
        <v>0.09</v>
      </c>
      <c r="M1051" s="88" t="str">
        <f t="shared" si="5"/>
        <v>Perubahan Normal</v>
      </c>
    </row>
    <row r="1052" ht="18.75" customHeight="1">
      <c r="A1052" s="80" t="s">
        <v>370</v>
      </c>
      <c r="B1052" s="81" t="str">
        <f t="shared" si="1"/>
        <v>Jember</v>
      </c>
      <c r="C1052" s="81" t="str">
        <f t="array" ref="C1052">XLOOKUP(B1052,Reference!$A$2:$A$152,Reference!$B$2:$B$152)</f>
        <v>Jawa Timur</v>
      </c>
      <c r="D1052" s="82" t="s">
        <v>1491</v>
      </c>
      <c r="E1052" s="83">
        <v>45352.0</v>
      </c>
      <c r="F1052" s="84" t="str">
        <f t="array" ref="F1052">XLOOKUP(G1052,Reference!$F:$F,Reference!$D:$D,"null")</f>
        <v>Makanan dan Pakaian </v>
      </c>
      <c r="G1052" s="85" t="s">
        <v>64</v>
      </c>
      <c r="H1052" s="86">
        <v>103.5</v>
      </c>
      <c r="I1052" s="86">
        <v>102.99</v>
      </c>
      <c r="J1052" s="87">
        <f t="shared" si="2"/>
        <v>0.4951937081</v>
      </c>
      <c r="K1052" s="84" t="str">
        <f t="shared" si="3"/>
        <v>Inflasi Normal</v>
      </c>
      <c r="L1052" s="84">
        <f t="shared" si="4"/>
        <v>0.51</v>
      </c>
      <c r="M1052" s="88" t="str">
        <f t="shared" si="5"/>
        <v>Perubahan Normal</v>
      </c>
    </row>
    <row r="1053" ht="18.75" customHeight="1">
      <c r="A1053" s="80" t="s">
        <v>512</v>
      </c>
      <c r="B1053" s="81" t="str">
        <f t="shared" si="1"/>
        <v>Kota Palu</v>
      </c>
      <c r="C1053" s="81" t="str">
        <f t="array" ref="C1053">XLOOKUP(B1053,Reference!$A$2:$A$152,Reference!$B$2:$B$152)</f>
        <v>Sulawesi Tengah</v>
      </c>
      <c r="D1053" s="82" t="s">
        <v>1492</v>
      </c>
      <c r="E1053" s="83">
        <v>45352.0</v>
      </c>
      <c r="F1053" s="84" t="str">
        <f t="array" ref="F1053">XLOOKUP(G1053,Reference!$F:$F,Reference!$D:$D,"null")</f>
        <v>Rumah Tangga</v>
      </c>
      <c r="G1053" s="85" t="s">
        <v>84</v>
      </c>
      <c r="H1053" s="86">
        <v>100.24</v>
      </c>
      <c r="I1053" s="86">
        <v>100.24</v>
      </c>
      <c r="J1053" s="87">
        <f t="shared" si="2"/>
        <v>0</v>
      </c>
      <c r="K1053" s="84" t="str">
        <f t="shared" si="3"/>
        <v>Stabil</v>
      </c>
      <c r="L1053" s="84">
        <f t="shared" si="4"/>
        <v>0</v>
      </c>
      <c r="M1053" s="88" t="str">
        <f t="shared" si="5"/>
        <v>Perubahan Normal</v>
      </c>
    </row>
    <row r="1054" ht="18.75" customHeight="1">
      <c r="A1054" s="80" t="s">
        <v>762</v>
      </c>
      <c r="B1054" s="81" t="str">
        <f t="shared" si="1"/>
        <v>Kota Pangkal Pinang</v>
      </c>
      <c r="C1054" s="81" t="str">
        <f t="array" ref="C1054">XLOOKUP(B1054,Reference!$A$2:$A$152,Reference!$B$2:$B$152)</f>
        <v>Kepulauan Bangka Belitung</v>
      </c>
      <c r="D1054" s="82" t="s">
        <v>1493</v>
      </c>
      <c r="E1054" s="83">
        <v>45352.0</v>
      </c>
      <c r="F1054" s="84" t="str">
        <f t="array" ref="F1054">XLOOKUP(G1054,Reference!$F:$F,Reference!$D:$D,"null")</f>
        <v>Makanan dan Pakaian </v>
      </c>
      <c r="G1054" s="85" t="s">
        <v>72</v>
      </c>
      <c r="H1054" s="86">
        <v>100.94</v>
      </c>
      <c r="I1054" s="86">
        <v>100.94</v>
      </c>
      <c r="J1054" s="87">
        <f t="shared" si="2"/>
        <v>0</v>
      </c>
      <c r="K1054" s="84" t="str">
        <f t="shared" si="3"/>
        <v>Stabil</v>
      </c>
      <c r="L1054" s="84">
        <f t="shared" si="4"/>
        <v>0</v>
      </c>
      <c r="M1054" s="88" t="str">
        <f t="shared" si="5"/>
        <v>Perubahan Normal</v>
      </c>
    </row>
    <row r="1055" ht="18.75" customHeight="1">
      <c r="A1055" s="80" t="s">
        <v>466</v>
      </c>
      <c r="B1055" s="81" t="str">
        <f t="shared" si="1"/>
        <v>Kota Surabaya</v>
      </c>
      <c r="C1055" s="81" t="str">
        <f t="array" ref="C1055">XLOOKUP(B1055,Reference!$A$2:$A$152,Reference!$B$2:$B$152)</f>
        <v>Jawa Timur</v>
      </c>
      <c r="D1055" s="82" t="s">
        <v>1494</v>
      </c>
      <c r="E1055" s="83">
        <v>45323.0</v>
      </c>
      <c r="F1055" s="84" t="str">
        <f t="array" ref="F1055">XLOOKUP(G1055,Reference!$F:$F,Reference!$D:$D,"null")</f>
        <v>Makanan dan Pakaian </v>
      </c>
      <c r="G1055" s="85" t="s">
        <v>64</v>
      </c>
      <c r="H1055" s="86">
        <v>104.66</v>
      </c>
      <c r="I1055" s="86">
        <v>104.39</v>
      </c>
      <c r="J1055" s="87">
        <f t="shared" si="2"/>
        <v>0.2586454641</v>
      </c>
      <c r="K1055" s="84" t="str">
        <f t="shared" si="3"/>
        <v>Inflasi Normal</v>
      </c>
      <c r="L1055" s="84">
        <f t="shared" si="4"/>
        <v>0.27</v>
      </c>
      <c r="M1055" s="88" t="str">
        <f t="shared" si="5"/>
        <v>Perubahan Normal</v>
      </c>
    </row>
    <row r="1056" ht="18.75" customHeight="1">
      <c r="A1056" s="80" t="s">
        <v>524</v>
      </c>
      <c r="B1056" s="81" t="str">
        <f t="shared" si="1"/>
        <v>Kudus</v>
      </c>
      <c r="C1056" s="81" t="str">
        <f t="array" ref="C1056">XLOOKUP(B1056,Reference!$A$2:$A$152,Reference!$B$2:$B$152)</f>
        <v>Jawa Tengah</v>
      </c>
      <c r="D1056" s="82" t="s">
        <v>1495</v>
      </c>
      <c r="E1056" s="83">
        <v>45352.0</v>
      </c>
      <c r="F1056" s="84" t="str">
        <f t="array" ref="F1056">XLOOKUP(G1056,Reference!$F:$F,Reference!$D:$D,"null")</f>
        <v>Makanan dan Pakaian </v>
      </c>
      <c r="G1056" s="85" t="s">
        <v>48</v>
      </c>
      <c r="H1056" s="86">
        <v>113.45</v>
      </c>
      <c r="I1056" s="86">
        <v>111.87</v>
      </c>
      <c r="J1056" s="87">
        <f t="shared" si="2"/>
        <v>1.412353625</v>
      </c>
      <c r="K1056" s="84" t="str">
        <f t="shared" si="3"/>
        <v>Inflasi Tinggi</v>
      </c>
      <c r="L1056" s="84">
        <f t="shared" si="4"/>
        <v>1.58</v>
      </c>
      <c r="M1056" s="88" t="str">
        <f t="shared" si="5"/>
        <v>Akselerasi Persentase</v>
      </c>
    </row>
    <row r="1057" ht="18.75" customHeight="1">
      <c r="A1057" s="80" t="s">
        <v>367</v>
      </c>
      <c r="B1057" s="81" t="str">
        <f t="shared" si="1"/>
        <v>Kota Jambi</v>
      </c>
      <c r="C1057" s="81" t="str">
        <f t="array" ref="C1057">XLOOKUP(B1057,Reference!$A$2:$A$152,Reference!$B$2:$B$152)</f>
        <v>Jambi</v>
      </c>
      <c r="D1057" s="82" t="s">
        <v>1496</v>
      </c>
      <c r="E1057" s="83">
        <v>45323.0</v>
      </c>
      <c r="F1057" s="84" t="str">
        <f t="array" ref="F1057">XLOOKUP(G1057,Reference!$F:$F,Reference!$D:$D,"null")</f>
        <v>Makanan dan Pakaian </v>
      </c>
      <c r="G1057" s="85" t="s">
        <v>56</v>
      </c>
      <c r="H1057" s="86">
        <v>111.38</v>
      </c>
      <c r="I1057" s="86">
        <v>111.38</v>
      </c>
      <c r="J1057" s="87">
        <f t="shared" si="2"/>
        <v>0</v>
      </c>
      <c r="K1057" s="84" t="str">
        <f t="shared" si="3"/>
        <v>Stabil</v>
      </c>
      <c r="L1057" s="84">
        <f t="shared" si="4"/>
        <v>0</v>
      </c>
      <c r="M1057" s="88" t="str">
        <f t="shared" si="5"/>
        <v>Perubahan Normal</v>
      </c>
    </row>
    <row r="1058" ht="18.75" customHeight="1">
      <c r="A1058" s="80" t="s">
        <v>302</v>
      </c>
      <c r="B1058" s="81" t="str">
        <f t="shared" si="1"/>
        <v>Kota Lubuk Linggau</v>
      </c>
      <c r="C1058" s="81" t="str">
        <f t="array" ref="C1058">XLOOKUP(B1058,Reference!$A$2:$A$152,Reference!$B$2:$B$152)</f>
        <v>Sumatera Selatan</v>
      </c>
      <c r="D1058" s="82" t="s">
        <v>1497</v>
      </c>
      <c r="E1058" s="83">
        <v>45352.0</v>
      </c>
      <c r="F1058" s="84" t="str">
        <f t="array" ref="F1058">XLOOKUP(G1058,Reference!$F:$F,Reference!$D:$D,"null")</f>
        <v>Rumah Tangga</v>
      </c>
      <c r="G1058" s="85" t="s">
        <v>84</v>
      </c>
      <c r="H1058" s="86">
        <v>101.4</v>
      </c>
      <c r="I1058" s="86">
        <v>101.27</v>
      </c>
      <c r="J1058" s="87">
        <f t="shared" si="2"/>
        <v>0.1283697047</v>
      </c>
      <c r="K1058" s="84" t="str">
        <f t="shared" si="3"/>
        <v>Inflasi Normal</v>
      </c>
      <c r="L1058" s="84">
        <f t="shared" si="4"/>
        <v>0.13</v>
      </c>
      <c r="M1058" s="88" t="str">
        <f t="shared" si="5"/>
        <v>Perubahan Normal</v>
      </c>
    </row>
    <row r="1059" ht="18.75" customHeight="1">
      <c r="A1059" s="80" t="s">
        <v>680</v>
      </c>
      <c r="B1059" s="81" t="str">
        <f t="shared" si="1"/>
        <v>Kota Pekanbaru</v>
      </c>
      <c r="C1059" s="81" t="str">
        <f t="array" ref="C1059">XLOOKUP(B1059,Reference!$A$2:$A$152,Reference!$B$2:$B$152)</f>
        <v>Riau</v>
      </c>
      <c r="D1059" s="82" t="s">
        <v>1498</v>
      </c>
      <c r="E1059" s="83">
        <v>45323.0</v>
      </c>
      <c r="F1059" s="84" t="str">
        <f t="array" ref="F1059">XLOOKUP(G1059,Reference!$F:$F,Reference!$D:$D,"null")</f>
        <v>Makanan dan Pakaian </v>
      </c>
      <c r="G1059" s="85" t="s">
        <v>56</v>
      </c>
      <c r="H1059" s="86">
        <v>103.74</v>
      </c>
      <c r="I1059" s="86">
        <v>103.76</v>
      </c>
      <c r="J1059" s="87">
        <f t="shared" si="2"/>
        <v>-0.01927525058</v>
      </c>
      <c r="K1059" s="84" t="str">
        <f t="shared" si="3"/>
        <v>Deflasi</v>
      </c>
      <c r="L1059" s="84">
        <f t="shared" si="4"/>
        <v>-0.02</v>
      </c>
      <c r="M1059" s="88" t="str">
        <f t="shared" si="5"/>
        <v>Perubahan Normal</v>
      </c>
    </row>
    <row r="1060" ht="18.75" customHeight="1">
      <c r="A1060" s="80" t="s">
        <v>399</v>
      </c>
      <c r="B1060" s="81" t="str">
        <f t="shared" si="1"/>
        <v>Sampit</v>
      </c>
      <c r="C1060" s="81" t="str">
        <f t="array" ref="C1060">XLOOKUP(B1060,Reference!$A$2:$A$152,Reference!$B$2:$B$152)</f>
        <v>Kalimantan Tengah</v>
      </c>
      <c r="D1060" s="82" t="s">
        <v>1499</v>
      </c>
      <c r="E1060" s="83">
        <v>45323.0</v>
      </c>
      <c r="F1060" s="84" t="str">
        <f t="array" ref="F1060">XLOOKUP(G1060,Reference!$F:$F,Reference!$D:$D,"null")</f>
        <v>Rumah Tangga</v>
      </c>
      <c r="G1060" s="85" t="s">
        <v>80</v>
      </c>
      <c r="H1060" s="86">
        <v>102.86</v>
      </c>
      <c r="I1060" s="86">
        <v>102.86</v>
      </c>
      <c r="J1060" s="87">
        <f t="shared" si="2"/>
        <v>0</v>
      </c>
      <c r="K1060" s="84" t="str">
        <f t="shared" si="3"/>
        <v>Stabil</v>
      </c>
      <c r="L1060" s="84">
        <f t="shared" si="4"/>
        <v>0</v>
      </c>
      <c r="M1060" s="88" t="str">
        <f t="shared" si="5"/>
        <v>Perubahan Normal</v>
      </c>
    </row>
    <row r="1061" ht="18.75" customHeight="1">
      <c r="A1061" s="80" t="s">
        <v>542</v>
      </c>
      <c r="B1061" s="81" t="str">
        <f t="shared" si="1"/>
        <v>Kab Karo</v>
      </c>
      <c r="C1061" s="81" t="str">
        <f t="array" ref="C1061">XLOOKUP(B1061,Reference!$A$2:$A$152,Reference!$B$2:$B$152)</f>
        <v>Sumatera Utara</v>
      </c>
      <c r="D1061" s="82" t="s">
        <v>1500</v>
      </c>
      <c r="E1061" s="83">
        <v>45323.0</v>
      </c>
      <c r="F1061" s="84" t="str">
        <f t="array" ref="F1061">XLOOKUP(G1061,Reference!$F:$F,Reference!$D:$D,"null")</f>
        <v>Rumah Tangga</v>
      </c>
      <c r="G1061" s="85" t="s">
        <v>80</v>
      </c>
      <c r="H1061" s="86">
        <v>108.05</v>
      </c>
      <c r="I1061" s="86">
        <v>108.05</v>
      </c>
      <c r="J1061" s="87">
        <f t="shared" si="2"/>
        <v>0</v>
      </c>
      <c r="K1061" s="84" t="str">
        <f t="shared" si="3"/>
        <v>Stabil</v>
      </c>
      <c r="L1061" s="84">
        <f t="shared" si="4"/>
        <v>0</v>
      </c>
      <c r="M1061" s="88" t="str">
        <f t="shared" si="5"/>
        <v>Perubahan Normal</v>
      </c>
    </row>
    <row r="1062" ht="18.75" customHeight="1">
      <c r="A1062" s="80" t="s">
        <v>302</v>
      </c>
      <c r="B1062" s="81" t="str">
        <f t="shared" si="1"/>
        <v>Kota Lubuk Linggau</v>
      </c>
      <c r="C1062" s="81" t="str">
        <f t="array" ref="C1062">XLOOKUP(B1062,Reference!$A$2:$A$152,Reference!$B$2:$B$152)</f>
        <v>Sumatera Selatan</v>
      </c>
      <c r="D1062" s="82" t="s">
        <v>1501</v>
      </c>
      <c r="E1062" s="83">
        <v>45323.0</v>
      </c>
      <c r="F1062" s="84" t="str">
        <f t="array" ref="F1062">XLOOKUP(G1062,Reference!$F:$F,Reference!$D:$D,"null")</f>
        <v>Rumah Tangga</v>
      </c>
      <c r="G1062" s="85" t="s">
        <v>80</v>
      </c>
      <c r="H1062" s="86">
        <v>100.39</v>
      </c>
      <c r="I1062" s="86">
        <v>100.39</v>
      </c>
      <c r="J1062" s="87">
        <f t="shared" si="2"/>
        <v>0</v>
      </c>
      <c r="K1062" s="84" t="str">
        <f t="shared" si="3"/>
        <v>Stabil</v>
      </c>
      <c r="L1062" s="84">
        <f t="shared" si="4"/>
        <v>0</v>
      </c>
      <c r="M1062" s="88" t="str">
        <f t="shared" si="5"/>
        <v>Perubahan Normal</v>
      </c>
    </row>
    <row r="1063" ht="18.75" customHeight="1">
      <c r="A1063" s="80" t="s">
        <v>296</v>
      </c>
      <c r="B1063" s="81" t="str">
        <f t="shared" si="1"/>
        <v>Kota Bogor</v>
      </c>
      <c r="C1063" s="81" t="str">
        <f t="array" ref="C1063">XLOOKUP(B1063,Reference!$A$2:$A$152,Reference!$B$2:$B$152)</f>
        <v>Jawa Barat</v>
      </c>
      <c r="D1063" s="82" t="s">
        <v>1502</v>
      </c>
      <c r="E1063" s="83">
        <v>45352.0</v>
      </c>
      <c r="F1063" s="84" t="str">
        <f t="array" ref="F1063">XLOOKUP(G1063,Reference!$F:$F,Reference!$D:$D,"null")</f>
        <v>Makanan dan Pakaian </v>
      </c>
      <c r="G1063" s="85" t="s">
        <v>64</v>
      </c>
      <c r="H1063" s="86">
        <v>109.12</v>
      </c>
      <c r="I1063" s="86">
        <v>109.29</v>
      </c>
      <c r="J1063" s="87">
        <f t="shared" si="2"/>
        <v>-0.1555494556</v>
      </c>
      <c r="K1063" s="84" t="str">
        <f t="shared" si="3"/>
        <v>Deflasi</v>
      </c>
      <c r="L1063" s="84">
        <f t="shared" si="4"/>
        <v>-0.17</v>
      </c>
      <c r="M1063" s="88" t="str">
        <f t="shared" si="5"/>
        <v>Perubahan Normal</v>
      </c>
    </row>
    <row r="1064" ht="18.75" customHeight="1">
      <c r="A1064" s="80" t="s">
        <v>905</v>
      </c>
      <c r="B1064" s="81" t="str">
        <f t="shared" si="1"/>
        <v>Kota Ambon</v>
      </c>
      <c r="C1064" s="81" t="str">
        <f t="array" ref="C1064">XLOOKUP(B1064,Reference!$A$2:$A$152,Reference!$B$2:$B$152)</f>
        <v>Maluku</v>
      </c>
      <c r="D1064" s="82" t="s">
        <v>1503</v>
      </c>
      <c r="E1064" s="83">
        <v>45323.0</v>
      </c>
      <c r="F1064" s="84" t="str">
        <f t="array" ref="F1064">XLOOKUP(G1064,Reference!$F:$F,Reference!$D:$D,"null")</f>
        <v>Makanan dan Pakaian </v>
      </c>
      <c r="G1064" s="85" t="s">
        <v>48</v>
      </c>
      <c r="H1064" s="86">
        <v>105.3</v>
      </c>
      <c r="I1064" s="86">
        <v>106.02</v>
      </c>
      <c r="J1064" s="87">
        <f t="shared" si="2"/>
        <v>-0.6791171477</v>
      </c>
      <c r="K1064" s="84" t="str">
        <f t="shared" si="3"/>
        <v>Deflasi</v>
      </c>
      <c r="L1064" s="84">
        <f t="shared" si="4"/>
        <v>-0.72</v>
      </c>
      <c r="M1064" s="88" t="str">
        <f t="shared" si="5"/>
        <v>Perubahan Normal</v>
      </c>
    </row>
    <row r="1065" ht="18.75" customHeight="1">
      <c r="A1065" s="80" t="s">
        <v>322</v>
      </c>
      <c r="B1065" s="81" t="str">
        <f t="shared" si="1"/>
        <v>Purwokerto</v>
      </c>
      <c r="C1065" s="81" t="str">
        <f t="array" ref="C1065">XLOOKUP(B1065,Reference!$A$2:$A$152,Reference!$B$2:$B$152)</f>
        <v>Jawa Tengah</v>
      </c>
      <c r="D1065" s="82" t="s">
        <v>1504</v>
      </c>
      <c r="E1065" s="83">
        <v>45323.0</v>
      </c>
      <c r="F1065" s="84" t="str">
        <f t="array" ref="F1065">XLOOKUP(G1065,Reference!$F:$F,Reference!$D:$D,"null")</f>
        <v>Rumah Tangga</v>
      </c>
      <c r="G1065" s="85" t="s">
        <v>89</v>
      </c>
      <c r="H1065" s="86">
        <v>102.18</v>
      </c>
      <c r="I1065" s="86">
        <v>101.69</v>
      </c>
      <c r="J1065" s="87">
        <f t="shared" si="2"/>
        <v>0.4818566231</v>
      </c>
      <c r="K1065" s="84" t="str">
        <f t="shared" si="3"/>
        <v>Inflasi Normal</v>
      </c>
      <c r="L1065" s="84">
        <f t="shared" si="4"/>
        <v>0.49</v>
      </c>
      <c r="M1065" s="88" t="str">
        <f t="shared" si="5"/>
        <v>Perubahan Normal</v>
      </c>
    </row>
    <row r="1066" ht="18.75" customHeight="1">
      <c r="A1066" s="80" t="s">
        <v>515</v>
      </c>
      <c r="B1066" s="81" t="str">
        <f t="shared" si="1"/>
        <v>Kab Gresik</v>
      </c>
      <c r="C1066" s="81" t="str">
        <f t="array" ref="C1066">XLOOKUP(B1066,Reference!$A$2:$A$152,Reference!$B$2:$B$152)</f>
        <v>Jawa Timur</v>
      </c>
      <c r="D1066" s="82" t="s">
        <v>1505</v>
      </c>
      <c r="E1066" s="83">
        <v>45323.0</v>
      </c>
      <c r="F1066" s="84" t="str">
        <f t="array" ref="F1066">XLOOKUP(G1066,Reference!$F:$F,Reference!$D:$D,"null")</f>
        <v>Makanan dan Pakaian </v>
      </c>
      <c r="G1066" s="85" t="s">
        <v>72</v>
      </c>
      <c r="H1066" s="86">
        <v>88.61</v>
      </c>
      <c r="I1066" s="86">
        <v>89.28</v>
      </c>
      <c r="J1066" s="87">
        <f t="shared" si="2"/>
        <v>-0.7504480287</v>
      </c>
      <c r="K1066" s="84" t="str">
        <f t="shared" si="3"/>
        <v>Deflasi</v>
      </c>
      <c r="L1066" s="84">
        <f t="shared" si="4"/>
        <v>-0.67</v>
      </c>
      <c r="M1066" s="88" t="str">
        <f t="shared" si="5"/>
        <v>Perubahan Normal</v>
      </c>
    </row>
    <row r="1067" ht="18.75" customHeight="1">
      <c r="A1067" s="80" t="s">
        <v>438</v>
      </c>
      <c r="B1067" s="81" t="str">
        <f t="shared" si="1"/>
        <v>Kab Muara Enim</v>
      </c>
      <c r="C1067" s="81" t="str">
        <f t="array" ref="C1067">XLOOKUP(B1067,Reference!$A$2:$A$152,Reference!$B$2:$B$152)</f>
        <v>Sumatera Selatan</v>
      </c>
      <c r="D1067" s="82" t="s">
        <v>1506</v>
      </c>
      <c r="E1067" s="83">
        <v>45323.0</v>
      </c>
      <c r="F1067" s="84" t="str">
        <f t="array" ref="F1067">XLOOKUP(G1067,Reference!$F:$F,Reference!$D:$D,"null")</f>
        <v>Pendidikan dan Kesehatan</v>
      </c>
      <c r="G1067" s="85" t="s">
        <v>95</v>
      </c>
      <c r="H1067" s="86">
        <v>100.0</v>
      </c>
      <c r="I1067" s="86">
        <v>100.0</v>
      </c>
      <c r="J1067" s="87">
        <f t="shared" si="2"/>
        <v>0</v>
      </c>
      <c r="K1067" s="84" t="str">
        <f t="shared" si="3"/>
        <v>Stabil</v>
      </c>
      <c r="L1067" s="84">
        <f t="shared" si="4"/>
        <v>0</v>
      </c>
      <c r="M1067" s="88" t="str">
        <f t="shared" si="5"/>
        <v>Perubahan Normal</v>
      </c>
    </row>
    <row r="1068" ht="18.75" customHeight="1">
      <c r="A1068" s="80" t="s">
        <v>573</v>
      </c>
      <c r="B1068" s="81" t="str">
        <f t="shared" si="1"/>
        <v>Kota Palangkaraya</v>
      </c>
      <c r="C1068" s="81" t="str">
        <f t="array" ref="C1068">XLOOKUP(B1068,Reference!$A$2:$A$152,Reference!$B$2:$B$152)</f>
        <v>Kalimantan Tengah</v>
      </c>
      <c r="D1068" s="82" t="s">
        <v>1507</v>
      </c>
      <c r="E1068" s="83">
        <v>45352.0</v>
      </c>
      <c r="F1068" s="84" t="str">
        <f t="array" ref="F1068">XLOOKUP(G1068,Reference!$F:$F,Reference!$D:$D,"null")</f>
        <v>Makanan dan Pakaian </v>
      </c>
      <c r="G1068" s="85" t="s">
        <v>56</v>
      </c>
      <c r="H1068" s="86">
        <v>104.46</v>
      </c>
      <c r="I1068" s="86">
        <v>104.34</v>
      </c>
      <c r="J1068" s="87">
        <f t="shared" si="2"/>
        <v>0.1150086256</v>
      </c>
      <c r="K1068" s="84" t="str">
        <f t="shared" si="3"/>
        <v>Inflasi Normal</v>
      </c>
      <c r="L1068" s="84">
        <f t="shared" si="4"/>
        <v>0.12</v>
      </c>
      <c r="M1068" s="88" t="str">
        <f t="shared" si="5"/>
        <v>Perubahan Normal</v>
      </c>
    </row>
    <row r="1069" ht="18.75" customHeight="1">
      <c r="A1069" s="80" t="s">
        <v>362</v>
      </c>
      <c r="B1069" s="81" t="str">
        <f t="shared" si="1"/>
        <v>Sumenep</v>
      </c>
      <c r="C1069" s="81" t="str">
        <f t="array" ref="C1069">XLOOKUP(B1069,Reference!$A$2:$A$152,Reference!$B$2:$B$152)</f>
        <v>Jawa Timur</v>
      </c>
      <c r="D1069" s="82" t="s">
        <v>1508</v>
      </c>
      <c r="E1069" s="83">
        <v>45323.0</v>
      </c>
      <c r="F1069" s="84" t="str">
        <f t="array" ref="F1069">XLOOKUP(G1069,Reference!$F:$F,Reference!$D:$D,"null")</f>
        <v>Rekreasi dan Kendaraan</v>
      </c>
      <c r="G1069" s="85" t="s">
        <v>105</v>
      </c>
      <c r="H1069" s="86">
        <v>102.83</v>
      </c>
      <c r="I1069" s="86">
        <v>102.83</v>
      </c>
      <c r="J1069" s="87">
        <f t="shared" si="2"/>
        <v>0</v>
      </c>
      <c r="K1069" s="84" t="str">
        <f t="shared" si="3"/>
        <v>Stabil</v>
      </c>
      <c r="L1069" s="84">
        <f t="shared" si="4"/>
        <v>0</v>
      </c>
      <c r="M1069" s="88" t="str">
        <f t="shared" si="5"/>
        <v>Perubahan Normal</v>
      </c>
    </row>
    <row r="1070" ht="18.75" customHeight="1">
      <c r="A1070" s="80" t="s">
        <v>532</v>
      </c>
      <c r="B1070" s="81" t="str">
        <f t="shared" si="1"/>
        <v>Kota Palembang</v>
      </c>
      <c r="C1070" s="81" t="str">
        <f t="array" ref="C1070">XLOOKUP(B1070,Reference!$A$2:$A$152,Reference!$B$2:$B$152)</f>
        <v>Sumatera Selatan</v>
      </c>
      <c r="D1070" s="82" t="s">
        <v>1509</v>
      </c>
      <c r="E1070" s="83">
        <v>45323.0</v>
      </c>
      <c r="F1070" s="84" t="str">
        <f t="array" ref="F1070">XLOOKUP(G1070,Reference!$F:$F,Reference!$D:$D,"null")</f>
        <v>Rumah Tangga</v>
      </c>
      <c r="G1070" s="85" t="s">
        <v>80</v>
      </c>
      <c r="H1070" s="86">
        <v>100.97</v>
      </c>
      <c r="I1070" s="86">
        <v>100.97</v>
      </c>
      <c r="J1070" s="87">
        <f t="shared" si="2"/>
        <v>0</v>
      </c>
      <c r="K1070" s="84" t="str">
        <f t="shared" si="3"/>
        <v>Stabil</v>
      </c>
      <c r="L1070" s="84">
        <f t="shared" si="4"/>
        <v>0</v>
      </c>
      <c r="M1070" s="88" t="str">
        <f t="shared" si="5"/>
        <v>Perubahan Normal</v>
      </c>
    </row>
    <row r="1071" ht="18.75" customHeight="1">
      <c r="A1071" s="80" t="s">
        <v>445</v>
      </c>
      <c r="B1071" s="81" t="str">
        <f t="shared" si="1"/>
        <v>Kab Bangka Barat</v>
      </c>
      <c r="C1071" s="81" t="str">
        <f t="array" ref="C1071">XLOOKUP(B1071,Reference!$A$2:$A$152,Reference!$B$2:$B$152)</f>
        <v>Kepulauan Bangka Belitung</v>
      </c>
      <c r="D1071" s="82" t="s">
        <v>1510</v>
      </c>
      <c r="E1071" s="83">
        <v>45323.0</v>
      </c>
      <c r="F1071" s="84" t="str">
        <f t="array" ref="F1071">XLOOKUP(G1071,Reference!$F:$F,Reference!$D:$D,"null")</f>
        <v>Rumah Tangga</v>
      </c>
      <c r="G1071" s="85" t="s">
        <v>84</v>
      </c>
      <c r="H1071" s="86">
        <v>101.69</v>
      </c>
      <c r="I1071" s="86">
        <v>101.68</v>
      </c>
      <c r="J1071" s="87">
        <f t="shared" si="2"/>
        <v>0.009834775767</v>
      </c>
      <c r="K1071" s="84" t="str">
        <f t="shared" si="3"/>
        <v>Inflasi Normal</v>
      </c>
      <c r="L1071" s="84">
        <f t="shared" si="4"/>
        <v>0.01</v>
      </c>
      <c r="M1071" s="88" t="str">
        <f t="shared" si="5"/>
        <v>Perubahan Normal</v>
      </c>
    </row>
    <row r="1072" ht="18.75" customHeight="1">
      <c r="A1072" s="80" t="s">
        <v>374</v>
      </c>
      <c r="B1072" s="81" t="str">
        <f t="shared" si="1"/>
        <v>Kab Majalengka</v>
      </c>
      <c r="C1072" s="81" t="str">
        <f t="array" ref="C1072">XLOOKUP(B1072,Reference!$A$2:$A$152,Reference!$B$2:$B$152)</f>
        <v>Jawa Barat</v>
      </c>
      <c r="D1072" s="82" t="s">
        <v>1511</v>
      </c>
      <c r="E1072" s="83">
        <v>45352.0</v>
      </c>
      <c r="F1072" s="84" t="str">
        <f t="array" ref="F1072">XLOOKUP(G1072,Reference!$F:$F,Reference!$D:$D,"null")</f>
        <v>Rekreasi dan Kendaraan</v>
      </c>
      <c r="G1072" s="85" t="s">
        <v>105</v>
      </c>
      <c r="H1072" s="86">
        <v>106.75</v>
      </c>
      <c r="I1072" s="86">
        <v>106.39</v>
      </c>
      <c r="J1072" s="87">
        <f t="shared" si="2"/>
        <v>0.3383776671</v>
      </c>
      <c r="K1072" s="84" t="str">
        <f t="shared" si="3"/>
        <v>Inflasi Normal</v>
      </c>
      <c r="L1072" s="84">
        <f t="shared" si="4"/>
        <v>0.36</v>
      </c>
      <c r="M1072" s="88" t="str">
        <f t="shared" si="5"/>
        <v>Perubahan Normal</v>
      </c>
    </row>
    <row r="1073" ht="18.75" customHeight="1">
      <c r="A1073" s="80" t="s">
        <v>699</v>
      </c>
      <c r="B1073" s="81" t="str">
        <f t="shared" si="1"/>
        <v>Mamuju</v>
      </c>
      <c r="C1073" s="81" t="str">
        <f t="array" ref="C1073">XLOOKUP(B1073,Reference!$A$2:$A$152,Reference!$B$2:$B$152)</f>
        <v>Sulawesi Barat</v>
      </c>
      <c r="D1073" s="82" t="s">
        <v>1512</v>
      </c>
      <c r="E1073" s="83">
        <v>45352.0</v>
      </c>
      <c r="F1073" s="84" t="str">
        <f t="array" ref="F1073">XLOOKUP(G1073,Reference!$F:$F,Reference!$D:$D,"null")</f>
        <v>Rumah Tangga</v>
      </c>
      <c r="G1073" s="85" t="s">
        <v>84</v>
      </c>
      <c r="H1073" s="86">
        <v>100.16</v>
      </c>
      <c r="I1073" s="86">
        <v>100.17</v>
      </c>
      <c r="J1073" s="87">
        <f t="shared" si="2"/>
        <v>-0.009983028851</v>
      </c>
      <c r="K1073" s="84" t="str">
        <f t="shared" si="3"/>
        <v>Deflasi</v>
      </c>
      <c r="L1073" s="84">
        <f t="shared" si="4"/>
        <v>-0.01</v>
      </c>
      <c r="M1073" s="88" t="str">
        <f t="shared" si="5"/>
        <v>Perubahan Normal</v>
      </c>
    </row>
    <row r="1074" ht="18.75" customHeight="1">
      <c r="A1074" s="80" t="s">
        <v>497</v>
      </c>
      <c r="B1074" s="81" t="str">
        <f t="shared" si="1"/>
        <v>Tanjung Pandan</v>
      </c>
      <c r="C1074" s="81" t="str">
        <f t="array" ref="C1074">XLOOKUP(B1074,Reference!$A$2:$A$152,Reference!$B$2:$B$152)</f>
        <v>Kepulauan Bangka Belitung</v>
      </c>
      <c r="D1074" s="82" t="s">
        <v>1513</v>
      </c>
      <c r="E1074" s="83">
        <v>45323.0</v>
      </c>
      <c r="F1074" s="84" t="str">
        <f t="array" ref="F1074">XLOOKUP(G1074,Reference!$F:$F,Reference!$D:$D,"null")</f>
        <v>Makanan dan Pakaian </v>
      </c>
      <c r="G1074" s="85" t="s">
        <v>72</v>
      </c>
      <c r="H1074" s="86">
        <v>102.63</v>
      </c>
      <c r="I1074" s="86">
        <v>102.63</v>
      </c>
      <c r="J1074" s="87">
        <f t="shared" si="2"/>
        <v>0</v>
      </c>
      <c r="K1074" s="84" t="str">
        <f t="shared" si="3"/>
        <v>Stabil</v>
      </c>
      <c r="L1074" s="84">
        <f t="shared" si="4"/>
        <v>0</v>
      </c>
      <c r="M1074" s="88" t="str">
        <f t="shared" si="5"/>
        <v>Perubahan Normal</v>
      </c>
    </row>
    <row r="1075" ht="18.75" customHeight="1">
      <c r="A1075" s="80" t="s">
        <v>362</v>
      </c>
      <c r="B1075" s="81" t="str">
        <f t="shared" si="1"/>
        <v>Sumenep</v>
      </c>
      <c r="C1075" s="81" t="str">
        <f t="array" ref="C1075">XLOOKUP(B1075,Reference!$A$2:$A$152,Reference!$B$2:$B$152)</f>
        <v>Jawa Timur</v>
      </c>
      <c r="D1075" s="82" t="s">
        <v>1514</v>
      </c>
      <c r="E1075" s="83">
        <v>45323.0</v>
      </c>
      <c r="F1075" s="84" t="str">
        <f t="array" ref="F1075">XLOOKUP(G1075,Reference!$F:$F,Reference!$D:$D,"null")</f>
        <v>Makanan dan Pakaian </v>
      </c>
      <c r="G1075" s="85" t="s">
        <v>72</v>
      </c>
      <c r="H1075" s="86">
        <v>108.31</v>
      </c>
      <c r="I1075" s="86">
        <v>108.15</v>
      </c>
      <c r="J1075" s="87">
        <f t="shared" si="2"/>
        <v>0.1479426722</v>
      </c>
      <c r="K1075" s="84" t="str">
        <f t="shared" si="3"/>
        <v>Inflasi Normal</v>
      </c>
      <c r="L1075" s="84">
        <f t="shared" si="4"/>
        <v>0.16</v>
      </c>
      <c r="M1075" s="88" t="str">
        <f t="shared" si="5"/>
        <v>Perubahan Normal</v>
      </c>
    </row>
    <row r="1076" ht="18.75" customHeight="1">
      <c r="A1076" s="80" t="s">
        <v>414</v>
      </c>
      <c r="B1076" s="81" t="str">
        <f t="shared" si="1"/>
        <v>Kota Bandung</v>
      </c>
      <c r="C1076" s="81" t="str">
        <f t="array" ref="C1076">XLOOKUP(B1076,Reference!$A$2:$A$152,Reference!$B$2:$B$152)</f>
        <v>Jawa Barat</v>
      </c>
      <c r="D1076" s="82" t="s">
        <v>1515</v>
      </c>
      <c r="E1076" s="83">
        <v>45323.0</v>
      </c>
      <c r="F1076" s="84" t="str">
        <f t="array" ref="F1076">XLOOKUP(G1076,Reference!$F:$F,Reference!$D:$D,"null")</f>
        <v>Makanan dan Pakaian </v>
      </c>
      <c r="G1076" s="85" t="s">
        <v>48</v>
      </c>
      <c r="H1076" s="86">
        <v>109.15</v>
      </c>
      <c r="I1076" s="86">
        <v>107.65</v>
      </c>
      <c r="J1076" s="87">
        <f t="shared" si="2"/>
        <v>1.393404552</v>
      </c>
      <c r="K1076" s="84" t="str">
        <f t="shared" si="3"/>
        <v>Inflasi Tinggi</v>
      </c>
      <c r="L1076" s="84">
        <f t="shared" si="4"/>
        <v>1.5</v>
      </c>
      <c r="M1076" s="88" t="str">
        <f t="shared" si="5"/>
        <v>Akselerasi Persentase</v>
      </c>
    </row>
    <row r="1077" ht="18.75" customHeight="1">
      <c r="A1077" s="80" t="s">
        <v>408</v>
      </c>
      <c r="B1077" s="81" t="str">
        <f t="shared" si="1"/>
        <v>Manokwari</v>
      </c>
      <c r="C1077" s="81" t="str">
        <f t="array" ref="C1077">XLOOKUP(B1077,Reference!$A$2:$A$152,Reference!$B$2:$B$152)</f>
        <v>Papua Barat Daya</v>
      </c>
      <c r="D1077" s="82" t="s">
        <v>1516</v>
      </c>
      <c r="E1077" s="83">
        <v>45352.0</v>
      </c>
      <c r="F1077" s="84" t="str">
        <f t="array" ref="F1077">XLOOKUP(G1077,Reference!$F:$F,Reference!$D:$D,"null")</f>
        <v>Rumah Tangga</v>
      </c>
      <c r="G1077" s="89" t="s">
        <v>89</v>
      </c>
      <c r="H1077" s="90">
        <v>102.28</v>
      </c>
      <c r="I1077" s="90">
        <v>102.28</v>
      </c>
      <c r="J1077" s="87">
        <f t="shared" si="2"/>
        <v>0</v>
      </c>
      <c r="K1077" s="84" t="str">
        <f t="shared" si="3"/>
        <v>Stabil</v>
      </c>
      <c r="L1077" s="91">
        <f t="shared" si="4"/>
        <v>0</v>
      </c>
      <c r="M1077" s="88" t="str">
        <f t="shared" si="5"/>
        <v>Perubahan Normal</v>
      </c>
    </row>
    <row r="1078" ht="18.75" customHeight="1">
      <c r="A1078" s="80" t="s">
        <v>349</v>
      </c>
      <c r="B1078" s="81" t="str">
        <f t="shared" si="1"/>
        <v>Kota Banjarmasin</v>
      </c>
      <c r="C1078" s="81" t="str">
        <f t="array" ref="C1078">XLOOKUP(B1078,Reference!$A$2:$A$152,Reference!$B$2:$B$152)</f>
        <v>Kalimantan Selatan</v>
      </c>
      <c r="D1078" s="82" t="s">
        <v>1517</v>
      </c>
      <c r="E1078" s="83">
        <v>45352.0</v>
      </c>
      <c r="F1078" s="84" t="str">
        <f t="array" ref="F1078">XLOOKUP(G1078,Reference!$F:$F,Reference!$D:$D,"null")</f>
        <v>Rekreasi dan Kendaraan</v>
      </c>
      <c r="G1078" s="85" t="s">
        <v>105</v>
      </c>
      <c r="H1078" s="86">
        <v>107.31</v>
      </c>
      <c r="I1078" s="86">
        <v>107.55</v>
      </c>
      <c r="J1078" s="87">
        <f t="shared" si="2"/>
        <v>-0.2231520223</v>
      </c>
      <c r="K1078" s="84" t="str">
        <f t="shared" si="3"/>
        <v>Deflasi</v>
      </c>
      <c r="L1078" s="84">
        <f t="shared" si="4"/>
        <v>-0.24</v>
      </c>
      <c r="M1078" s="88" t="str">
        <f t="shared" si="5"/>
        <v>Perubahan Normal</v>
      </c>
    </row>
    <row r="1079" ht="18.75" customHeight="1">
      <c r="A1079" s="80" t="s">
        <v>600</v>
      </c>
      <c r="B1079" s="81" t="str">
        <f t="shared" si="1"/>
        <v>Kota Banda Aceh</v>
      </c>
      <c r="C1079" s="81" t="str">
        <f t="array" ref="C1079">XLOOKUP(B1079,Reference!$A$2:$A$152,Reference!$B$2:$B$152)</f>
        <v>Aceh</v>
      </c>
      <c r="D1079" s="82" t="s">
        <v>1518</v>
      </c>
      <c r="E1079" s="83">
        <v>45352.0</v>
      </c>
      <c r="F1079" s="84" t="str">
        <f t="array" ref="F1079">XLOOKUP(G1079,Reference!$F:$F,Reference!$D:$D,"null")</f>
        <v>Makanan dan Pakaian </v>
      </c>
      <c r="G1079" s="85" t="s">
        <v>56</v>
      </c>
      <c r="H1079" s="86">
        <v>101.27</v>
      </c>
      <c r="I1079" s="86">
        <v>101.36</v>
      </c>
      <c r="J1079" s="87">
        <f t="shared" si="2"/>
        <v>-0.08879242305</v>
      </c>
      <c r="K1079" s="84" t="str">
        <f t="shared" si="3"/>
        <v>Deflasi</v>
      </c>
      <c r="L1079" s="84">
        <f t="shared" si="4"/>
        <v>-0.09</v>
      </c>
      <c r="M1079" s="88" t="str">
        <f t="shared" si="5"/>
        <v>Perubahan Normal</v>
      </c>
    </row>
    <row r="1080" ht="18.75" customHeight="1">
      <c r="A1080" s="80" t="s">
        <v>502</v>
      </c>
      <c r="B1080" s="81" t="str">
        <f t="shared" si="1"/>
        <v>Muara Bungo</v>
      </c>
      <c r="C1080" s="81" t="str">
        <f t="array" ref="C1080">XLOOKUP(B1080,Reference!$A$2:$A$152,Reference!$B$2:$B$152)</f>
        <v>Jambi</v>
      </c>
      <c r="D1080" s="82" t="s">
        <v>1519</v>
      </c>
      <c r="E1080" s="83">
        <v>45323.0</v>
      </c>
      <c r="F1080" s="84" t="str">
        <f t="array" ref="F1080">XLOOKUP(G1080,Reference!$F:$F,Reference!$D:$D,"null")</f>
        <v>Rumah Tangga</v>
      </c>
      <c r="G1080" s="85" t="s">
        <v>89</v>
      </c>
      <c r="H1080" s="86">
        <v>103.8</v>
      </c>
      <c r="I1080" s="86">
        <v>103.8</v>
      </c>
      <c r="J1080" s="87">
        <f t="shared" si="2"/>
        <v>0</v>
      </c>
      <c r="K1080" s="84" t="str">
        <f t="shared" si="3"/>
        <v>Stabil</v>
      </c>
      <c r="L1080" s="84">
        <f t="shared" si="4"/>
        <v>0</v>
      </c>
      <c r="M1080" s="88" t="str">
        <f t="shared" si="5"/>
        <v>Perubahan Normal</v>
      </c>
    </row>
    <row r="1081" ht="18.75" customHeight="1">
      <c r="A1081" s="80" t="s">
        <v>535</v>
      </c>
      <c r="B1081" s="81" t="str">
        <f t="shared" si="1"/>
        <v>Kota Tarakan</v>
      </c>
      <c r="C1081" s="81" t="str">
        <f t="array" ref="C1081">XLOOKUP(B1081,Reference!$A$2:$A$152,Reference!$B$2:$B$152)</f>
        <v>Kalimantan Utara</v>
      </c>
      <c r="D1081" s="82" t="s">
        <v>1520</v>
      </c>
      <c r="E1081" s="83">
        <v>45352.0</v>
      </c>
      <c r="F1081" s="84" t="str">
        <f t="array" ref="F1081">XLOOKUP(G1081,Reference!$F:$F,Reference!$D:$D,"null")</f>
        <v>Makanan dan Pakaian </v>
      </c>
      <c r="G1081" s="85" t="s">
        <v>48</v>
      </c>
      <c r="H1081" s="86">
        <v>106.59</v>
      </c>
      <c r="I1081" s="86">
        <v>105.96</v>
      </c>
      <c r="J1081" s="87">
        <f t="shared" si="2"/>
        <v>0.5945639864</v>
      </c>
      <c r="K1081" s="84" t="str">
        <f t="shared" si="3"/>
        <v>Inflasi Tinggi</v>
      </c>
      <c r="L1081" s="84">
        <f t="shared" si="4"/>
        <v>0.63</v>
      </c>
      <c r="M1081" s="88" t="str">
        <f t="shared" si="5"/>
        <v>Akselerasi Persentase</v>
      </c>
    </row>
    <row r="1082" ht="18.75" customHeight="1">
      <c r="A1082" s="80" t="s">
        <v>387</v>
      </c>
      <c r="B1082" s="81" t="str">
        <f t="shared" si="1"/>
        <v>Kota Semarang</v>
      </c>
      <c r="C1082" s="81" t="str">
        <f t="array" ref="C1082">XLOOKUP(B1082,Reference!$A$2:$A$152,Reference!$B$2:$B$152)</f>
        <v>Jawa Tengah</v>
      </c>
      <c r="D1082" s="82" t="s">
        <v>1521</v>
      </c>
      <c r="E1082" s="83">
        <v>45323.0</v>
      </c>
      <c r="F1082" s="84" t="str">
        <f t="array" ref="F1082">XLOOKUP(G1082,Reference!$F:$F,Reference!$D:$D,"null")</f>
        <v>Pendidikan dan Kesehatan</v>
      </c>
      <c r="G1082" s="89" t="s">
        <v>95</v>
      </c>
      <c r="H1082" s="90">
        <v>101.28</v>
      </c>
      <c r="I1082" s="90">
        <v>101.28</v>
      </c>
      <c r="J1082" s="87">
        <f t="shared" si="2"/>
        <v>0</v>
      </c>
      <c r="K1082" s="84" t="str">
        <f t="shared" si="3"/>
        <v>Stabil</v>
      </c>
      <c r="L1082" s="91">
        <f t="shared" si="4"/>
        <v>0</v>
      </c>
      <c r="M1082" s="88" t="str">
        <f t="shared" si="5"/>
        <v>Perubahan Normal</v>
      </c>
    </row>
    <row r="1083" ht="18.75" customHeight="1">
      <c r="A1083" s="80" t="s">
        <v>316</v>
      </c>
      <c r="B1083" s="81" t="str">
        <f t="shared" si="1"/>
        <v>Singaraja</v>
      </c>
      <c r="C1083" s="81" t="str">
        <f t="array" ref="C1083">XLOOKUP(B1083,Reference!$A$2:$A$152,Reference!$B$2:$B$152)</f>
        <v>Bali</v>
      </c>
      <c r="D1083" s="82" t="s">
        <v>1522</v>
      </c>
      <c r="E1083" s="83">
        <v>45323.0</v>
      </c>
      <c r="F1083" s="84" t="str">
        <f t="array" ref="F1083">XLOOKUP(G1083,Reference!$F:$F,Reference!$D:$D,"null")</f>
        <v>Makanan dan Pakaian </v>
      </c>
      <c r="G1083" s="85" t="s">
        <v>72</v>
      </c>
      <c r="H1083" s="86">
        <v>100.48</v>
      </c>
      <c r="I1083" s="86">
        <v>100.48</v>
      </c>
      <c r="J1083" s="87">
        <f t="shared" si="2"/>
        <v>0</v>
      </c>
      <c r="K1083" s="84" t="str">
        <f t="shared" si="3"/>
        <v>Stabil</v>
      </c>
      <c r="L1083" s="84">
        <f t="shared" si="4"/>
        <v>0</v>
      </c>
      <c r="M1083" s="88" t="str">
        <f t="shared" si="5"/>
        <v>Perubahan Normal</v>
      </c>
    </row>
    <row r="1084" ht="18.75" customHeight="1">
      <c r="A1084" s="80" t="s">
        <v>376</v>
      </c>
      <c r="B1084" s="81" t="str">
        <f t="shared" si="1"/>
        <v>Bulukumba</v>
      </c>
      <c r="C1084" s="81" t="str">
        <f t="array" ref="C1084">XLOOKUP(B1084,Reference!$A$2:$A$152,Reference!$B$2:$B$152)</f>
        <v>Sulawesi Selatan</v>
      </c>
      <c r="D1084" s="82" t="s">
        <v>1523</v>
      </c>
      <c r="E1084" s="83">
        <v>45352.0</v>
      </c>
      <c r="F1084" s="84" t="str">
        <f t="array" ref="F1084">XLOOKUP(G1084,Reference!$F:$F,Reference!$D:$D,"null")</f>
        <v>Rekreasi dan Kendaraan</v>
      </c>
      <c r="G1084" s="85" t="s">
        <v>102</v>
      </c>
      <c r="H1084" s="86">
        <v>102.88</v>
      </c>
      <c r="I1084" s="86">
        <v>102.88</v>
      </c>
      <c r="J1084" s="87">
        <f t="shared" si="2"/>
        <v>0</v>
      </c>
      <c r="K1084" s="84" t="str">
        <f t="shared" si="3"/>
        <v>Stabil</v>
      </c>
      <c r="L1084" s="84">
        <f t="shared" si="4"/>
        <v>0</v>
      </c>
      <c r="M1084" s="88" t="str">
        <f t="shared" si="5"/>
        <v>Perubahan Normal</v>
      </c>
    </row>
    <row r="1085" ht="18.75" customHeight="1">
      <c r="A1085" s="80" t="s">
        <v>393</v>
      </c>
      <c r="B1085" s="81" t="str">
        <f t="shared" si="1"/>
        <v>Kab Sumbawa</v>
      </c>
      <c r="C1085" s="81" t="str">
        <f t="array" ref="C1085">XLOOKUP(B1085,Reference!$A$2:$A$152,Reference!$B$2:$B$152)</f>
        <v>Nusa Tenggara Barat (NTB)</v>
      </c>
      <c r="D1085" s="82" t="s">
        <v>1524</v>
      </c>
      <c r="E1085" s="83">
        <v>45352.0</v>
      </c>
      <c r="F1085" s="84" t="str">
        <f t="array" ref="F1085">XLOOKUP(G1085,Reference!$F:$F,Reference!$D:$D,"null")</f>
        <v>Pendidikan dan Kesehatan</v>
      </c>
      <c r="G1085" s="85" t="s">
        <v>95</v>
      </c>
      <c r="H1085" s="86">
        <v>101.33</v>
      </c>
      <c r="I1085" s="86">
        <v>101.33</v>
      </c>
      <c r="J1085" s="87">
        <f t="shared" si="2"/>
        <v>0</v>
      </c>
      <c r="K1085" s="84" t="str">
        <f t="shared" si="3"/>
        <v>Stabil</v>
      </c>
      <c r="L1085" s="84">
        <f t="shared" si="4"/>
        <v>0</v>
      </c>
      <c r="M1085" s="88" t="str">
        <f t="shared" si="5"/>
        <v>Perubahan Normal</v>
      </c>
    </row>
    <row r="1086" ht="18.75" customHeight="1">
      <c r="A1086" s="80" t="s">
        <v>581</v>
      </c>
      <c r="B1086" s="81" t="str">
        <f t="shared" si="1"/>
        <v>Kab Dharmasraya</v>
      </c>
      <c r="C1086" s="81" t="str">
        <f t="array" ref="C1086">XLOOKUP(B1086,Reference!$A$2:$A$152,Reference!$B$2:$B$152)</f>
        <v>Sumatera Barat</v>
      </c>
      <c r="D1086" s="82" t="s">
        <v>1525</v>
      </c>
      <c r="E1086" s="83">
        <v>45352.0</v>
      </c>
      <c r="F1086" s="84" t="str">
        <f t="array" ref="F1086">XLOOKUP(G1086,Reference!$F:$F,Reference!$D:$D,"null")</f>
        <v>Rumah Tangga</v>
      </c>
      <c r="G1086" s="85" t="s">
        <v>84</v>
      </c>
      <c r="H1086" s="86">
        <v>100.79</v>
      </c>
      <c r="I1086" s="86">
        <v>100.79</v>
      </c>
      <c r="J1086" s="87">
        <f t="shared" si="2"/>
        <v>0</v>
      </c>
      <c r="K1086" s="84" t="str">
        <f t="shared" si="3"/>
        <v>Stabil</v>
      </c>
      <c r="L1086" s="84">
        <f t="shared" si="4"/>
        <v>0</v>
      </c>
      <c r="M1086" s="88" t="str">
        <f t="shared" si="5"/>
        <v>Perubahan Normal</v>
      </c>
    </row>
    <row r="1087" ht="18.75" customHeight="1">
      <c r="A1087" s="80" t="s">
        <v>581</v>
      </c>
      <c r="B1087" s="81" t="str">
        <f t="shared" si="1"/>
        <v>Kab Dharmasraya</v>
      </c>
      <c r="C1087" s="81" t="str">
        <f t="array" ref="C1087">XLOOKUP(B1087,Reference!$A$2:$A$152,Reference!$B$2:$B$152)</f>
        <v>Sumatera Barat</v>
      </c>
      <c r="D1087" s="82" t="s">
        <v>1526</v>
      </c>
      <c r="E1087" s="83">
        <v>45323.0</v>
      </c>
      <c r="F1087" s="84" t="str">
        <f t="array" ref="F1087">XLOOKUP(G1087,Reference!$F:$F,Reference!$D:$D,"null")</f>
        <v>Rumah Tangga</v>
      </c>
      <c r="G1087" s="85" t="s">
        <v>89</v>
      </c>
      <c r="H1087" s="86">
        <v>110.28</v>
      </c>
      <c r="I1087" s="86">
        <v>110.28</v>
      </c>
      <c r="J1087" s="87">
        <f t="shared" si="2"/>
        <v>0</v>
      </c>
      <c r="K1087" s="84" t="str">
        <f t="shared" si="3"/>
        <v>Stabil</v>
      </c>
      <c r="L1087" s="84">
        <f t="shared" si="4"/>
        <v>0</v>
      </c>
      <c r="M1087" s="88" t="str">
        <f t="shared" si="5"/>
        <v>Perubahan Normal</v>
      </c>
    </row>
    <row r="1088" ht="18.75" customHeight="1">
      <c r="A1088" s="80" t="s">
        <v>740</v>
      </c>
      <c r="B1088" s="81" t="str">
        <f t="shared" si="1"/>
        <v>Kota Gunungsitoli</v>
      </c>
      <c r="C1088" s="81" t="str">
        <f t="array" ref="C1088">XLOOKUP(B1088,Reference!$A$2:$A$152,Reference!$B$2:$B$152)</f>
        <v>Sumatera Utara</v>
      </c>
      <c r="D1088" s="82" t="s">
        <v>1527</v>
      </c>
      <c r="E1088" s="83">
        <v>45352.0</v>
      </c>
      <c r="F1088" s="84" t="str">
        <f t="array" ref="F1088">XLOOKUP(G1088,Reference!$F:$F,Reference!$D:$D,"null")</f>
        <v>Rekreasi dan Kendaraan</v>
      </c>
      <c r="G1088" s="85" t="s">
        <v>102</v>
      </c>
      <c r="H1088" s="86">
        <v>109.27</v>
      </c>
      <c r="I1088" s="86">
        <v>109.27</v>
      </c>
      <c r="J1088" s="87">
        <f t="shared" si="2"/>
        <v>0</v>
      </c>
      <c r="K1088" s="84" t="str">
        <f t="shared" si="3"/>
        <v>Stabil</v>
      </c>
      <c r="L1088" s="84">
        <f t="shared" si="4"/>
        <v>0</v>
      </c>
      <c r="M1088" s="88" t="str">
        <f t="shared" si="5"/>
        <v>Perubahan Normal</v>
      </c>
    </row>
    <row r="1089" ht="18.75" customHeight="1">
      <c r="A1089" s="80" t="s">
        <v>524</v>
      </c>
      <c r="B1089" s="81" t="str">
        <f t="shared" si="1"/>
        <v>Kudus</v>
      </c>
      <c r="C1089" s="81" t="str">
        <f t="array" ref="C1089">XLOOKUP(B1089,Reference!$A$2:$A$152,Reference!$B$2:$B$152)</f>
        <v>Jawa Tengah</v>
      </c>
      <c r="D1089" s="82" t="s">
        <v>1528</v>
      </c>
      <c r="E1089" s="83">
        <v>45323.0</v>
      </c>
      <c r="F1089" s="84" t="str">
        <f t="array" ref="F1089">XLOOKUP(G1089,Reference!$F:$F,Reference!$D:$D,"null")</f>
        <v>Makanan dan Pakaian </v>
      </c>
      <c r="G1089" s="85" t="s">
        <v>64</v>
      </c>
      <c r="H1089" s="86">
        <v>103.58</v>
      </c>
      <c r="I1089" s="86">
        <v>103.58</v>
      </c>
      <c r="J1089" s="87">
        <f t="shared" si="2"/>
        <v>0</v>
      </c>
      <c r="K1089" s="84" t="str">
        <f t="shared" si="3"/>
        <v>Stabil</v>
      </c>
      <c r="L1089" s="84">
        <f t="shared" si="4"/>
        <v>0</v>
      </c>
      <c r="M1089" s="88" t="str">
        <f t="shared" si="5"/>
        <v>Perubahan Normal</v>
      </c>
    </row>
    <row r="1090" ht="18.75" customHeight="1">
      <c r="A1090" s="80" t="s">
        <v>837</v>
      </c>
      <c r="B1090" s="81" t="str">
        <f t="shared" si="1"/>
        <v>Kab Luwu Timur</v>
      </c>
      <c r="C1090" s="81" t="str">
        <f t="array" ref="C1090">XLOOKUP(B1090,Reference!$A$2:$A$152,Reference!$B$2:$B$152)</f>
        <v>Sulawesi Selatan</v>
      </c>
      <c r="D1090" s="82" t="s">
        <v>1529</v>
      </c>
      <c r="E1090" s="83">
        <v>45352.0</v>
      </c>
      <c r="F1090" s="84" t="str">
        <f t="array" ref="F1090">XLOOKUP(G1090,Reference!$F:$F,Reference!$D:$D,"null")</f>
        <v>Rekreasi dan Kendaraan</v>
      </c>
      <c r="G1090" s="89" t="s">
        <v>105</v>
      </c>
      <c r="H1090" s="90">
        <v>103.23</v>
      </c>
      <c r="I1090" s="90">
        <v>103.23</v>
      </c>
      <c r="J1090" s="87">
        <f t="shared" si="2"/>
        <v>0</v>
      </c>
      <c r="K1090" s="84" t="str">
        <f t="shared" si="3"/>
        <v>Stabil</v>
      </c>
      <c r="L1090" s="91">
        <f t="shared" si="4"/>
        <v>0</v>
      </c>
      <c r="M1090" s="88" t="str">
        <f t="shared" si="5"/>
        <v>Perubahan Normal</v>
      </c>
    </row>
    <row r="1091" ht="18.75" customHeight="1">
      <c r="A1091" s="80" t="s">
        <v>492</v>
      </c>
      <c r="B1091" s="81" t="str">
        <f t="shared" si="1"/>
        <v>Kota Cilegon</v>
      </c>
      <c r="C1091" s="81" t="str">
        <f t="array" ref="C1091">XLOOKUP(B1091,Reference!$A$2:$A$152,Reference!$B$2:$B$152)</f>
        <v>Banten</v>
      </c>
      <c r="D1091" s="82" t="s">
        <v>1530</v>
      </c>
      <c r="E1091" s="83">
        <v>45323.0</v>
      </c>
      <c r="F1091" s="84" t="str">
        <f t="array" ref="F1091">XLOOKUP(G1091,Reference!$F:$F,Reference!$D:$D,"null")</f>
        <v>Pendidikan dan Kesehatan</v>
      </c>
      <c r="G1091" s="85" t="s">
        <v>98</v>
      </c>
      <c r="H1091" s="86">
        <v>106.25</v>
      </c>
      <c r="I1091" s="86">
        <v>104.9</v>
      </c>
      <c r="J1091" s="87">
        <f t="shared" si="2"/>
        <v>1.286939943</v>
      </c>
      <c r="K1091" s="84" t="str">
        <f t="shared" si="3"/>
        <v>Inflasi Tinggi</v>
      </c>
      <c r="L1091" s="84">
        <f t="shared" si="4"/>
        <v>1.35</v>
      </c>
      <c r="M1091" s="88" t="str">
        <f t="shared" si="5"/>
        <v>Akselerasi Persentase</v>
      </c>
    </row>
    <row r="1092" ht="18.75" customHeight="1">
      <c r="A1092" s="80" t="s">
        <v>425</v>
      </c>
      <c r="B1092" s="81" t="str">
        <f t="shared" si="1"/>
        <v>Kab Gorontalo</v>
      </c>
      <c r="C1092" s="81" t="str">
        <f t="array" ref="C1092">XLOOKUP(B1092,Reference!$A$2:$A$152,Reference!$B$2:$B$152)</f>
        <v>Gorontalo</v>
      </c>
      <c r="D1092" s="82" t="s">
        <v>1531</v>
      </c>
      <c r="E1092" s="83">
        <v>45323.0</v>
      </c>
      <c r="F1092" s="84" t="str">
        <f t="array" ref="F1092">XLOOKUP(G1092,Reference!$F:$F,Reference!$D:$D,"null")</f>
        <v>Rekreasi dan Kendaraan</v>
      </c>
      <c r="G1092" s="85" t="s">
        <v>102</v>
      </c>
      <c r="H1092" s="86">
        <v>101.33</v>
      </c>
      <c r="I1092" s="86">
        <v>101.33</v>
      </c>
      <c r="J1092" s="87">
        <f t="shared" si="2"/>
        <v>0</v>
      </c>
      <c r="K1092" s="84" t="str">
        <f t="shared" si="3"/>
        <v>Stabil</v>
      </c>
      <c r="L1092" s="84">
        <f t="shared" si="4"/>
        <v>0</v>
      </c>
      <c r="M1092" s="88" t="str">
        <f t="shared" si="5"/>
        <v>Perubahan Normal</v>
      </c>
    </row>
    <row r="1093" ht="18.75" customHeight="1">
      <c r="A1093" s="80" t="s">
        <v>294</v>
      </c>
      <c r="B1093" s="81" t="str">
        <f t="shared" si="1"/>
        <v>Kab Labuhanbatu</v>
      </c>
      <c r="C1093" s="81" t="str">
        <f t="array" ref="C1093">XLOOKUP(B1093,Reference!$A$2:$A$152,Reference!$B$2:$B$152)</f>
        <v>Sumatera Utara</v>
      </c>
      <c r="D1093" s="82" t="s">
        <v>1532</v>
      </c>
      <c r="E1093" s="83">
        <v>45323.0</v>
      </c>
      <c r="F1093" s="84" t="str">
        <f t="array" ref="F1093">XLOOKUP(G1093,Reference!$F:$F,Reference!$D:$D,"null")</f>
        <v>Rekreasi dan Kendaraan</v>
      </c>
      <c r="G1093" s="85" t="s">
        <v>105</v>
      </c>
      <c r="H1093" s="86">
        <v>105.35</v>
      </c>
      <c r="I1093" s="86">
        <v>105.41</v>
      </c>
      <c r="J1093" s="87">
        <f t="shared" si="2"/>
        <v>-0.05692059577</v>
      </c>
      <c r="K1093" s="84" t="str">
        <f t="shared" si="3"/>
        <v>Deflasi</v>
      </c>
      <c r="L1093" s="84">
        <f t="shared" si="4"/>
        <v>-0.06</v>
      </c>
      <c r="M1093" s="88" t="str">
        <f t="shared" si="5"/>
        <v>Perubahan Normal</v>
      </c>
    </row>
    <row r="1094" ht="18.75" customHeight="1">
      <c r="A1094" s="80" t="s">
        <v>378</v>
      </c>
      <c r="B1094" s="81" t="str">
        <f t="shared" si="1"/>
        <v>Kab Berau</v>
      </c>
      <c r="C1094" s="81" t="str">
        <f t="array" ref="C1094">XLOOKUP(B1094,Reference!$A$2:$A$152,Reference!$B$2:$B$152)</f>
        <v>Kalimantan Timur</v>
      </c>
      <c r="D1094" s="82" t="s">
        <v>1533</v>
      </c>
      <c r="E1094" s="83">
        <v>45323.0</v>
      </c>
      <c r="F1094" s="84" t="str">
        <f t="array" ref="F1094">XLOOKUP(G1094,Reference!$F:$F,Reference!$D:$D,"null")</f>
        <v>Makanan dan Pakaian </v>
      </c>
      <c r="G1094" s="85" t="s">
        <v>56</v>
      </c>
      <c r="H1094" s="86">
        <v>103.96</v>
      </c>
      <c r="I1094" s="86">
        <v>103.94</v>
      </c>
      <c r="J1094" s="87">
        <f t="shared" si="2"/>
        <v>0.01924187031</v>
      </c>
      <c r="K1094" s="84" t="str">
        <f t="shared" si="3"/>
        <v>Inflasi Normal</v>
      </c>
      <c r="L1094" s="84">
        <f t="shared" si="4"/>
        <v>0.02</v>
      </c>
      <c r="M1094" s="88" t="str">
        <f t="shared" si="5"/>
        <v>Perubahan Normal</v>
      </c>
    </row>
    <row r="1095" ht="18.75" customHeight="1">
      <c r="A1095" s="80" t="s">
        <v>734</v>
      </c>
      <c r="B1095" s="81" t="str">
        <f t="shared" si="1"/>
        <v>Kota Tegal</v>
      </c>
      <c r="C1095" s="81" t="str">
        <f t="array" ref="C1095">XLOOKUP(B1095,Reference!$A$2:$A$152,Reference!$B$2:$B$152)</f>
        <v>Jawa Tengah</v>
      </c>
      <c r="D1095" s="82" t="s">
        <v>1534</v>
      </c>
      <c r="E1095" s="83">
        <v>45323.0</v>
      </c>
      <c r="F1095" s="84" t="str">
        <f t="array" ref="F1095">XLOOKUP(G1095,Reference!$F:$F,Reference!$D:$D,"null")</f>
        <v>Rumah Tangga</v>
      </c>
      <c r="G1095" s="85" t="s">
        <v>89</v>
      </c>
      <c r="H1095" s="86">
        <v>100.0</v>
      </c>
      <c r="I1095" s="86">
        <v>100.0</v>
      </c>
      <c r="J1095" s="87">
        <f t="shared" si="2"/>
        <v>0</v>
      </c>
      <c r="K1095" s="84" t="str">
        <f t="shared" si="3"/>
        <v>Stabil</v>
      </c>
      <c r="L1095" s="84">
        <f t="shared" si="4"/>
        <v>0</v>
      </c>
      <c r="M1095" s="88" t="str">
        <f t="shared" si="5"/>
        <v>Perubahan Normal</v>
      </c>
    </row>
    <row r="1096" ht="18.75" customHeight="1">
      <c r="A1096" s="80" t="s">
        <v>634</v>
      </c>
      <c r="B1096" s="81" t="str">
        <f t="shared" si="1"/>
        <v>Kota Depok</v>
      </c>
      <c r="C1096" s="81" t="str">
        <f t="array" ref="C1096">XLOOKUP(B1096,Reference!$A$2:$A$152,Reference!$B$2:$B$152)</f>
        <v>Jawa Barat</v>
      </c>
      <c r="D1096" s="82" t="s">
        <v>1535</v>
      </c>
      <c r="E1096" s="83">
        <v>45352.0</v>
      </c>
      <c r="F1096" s="84" t="str">
        <f t="array" ref="F1096">XLOOKUP(G1096,Reference!$F:$F,Reference!$D:$D,"null")</f>
        <v>Rekreasi dan Kendaraan</v>
      </c>
      <c r="G1096" s="89" t="s">
        <v>102</v>
      </c>
      <c r="H1096" s="90">
        <v>107.35</v>
      </c>
      <c r="I1096" s="90">
        <v>107.35</v>
      </c>
      <c r="J1096" s="87">
        <f t="shared" si="2"/>
        <v>0</v>
      </c>
      <c r="K1096" s="84" t="str">
        <f t="shared" si="3"/>
        <v>Stabil</v>
      </c>
      <c r="L1096" s="91">
        <f t="shared" si="4"/>
        <v>0</v>
      </c>
      <c r="M1096" s="88" t="str">
        <f t="shared" si="5"/>
        <v>Perubahan Normal</v>
      </c>
    </row>
    <row r="1097" ht="18.75" customHeight="1">
      <c r="A1097" s="80" t="s">
        <v>306</v>
      </c>
      <c r="B1097" s="81" t="str">
        <f t="shared" si="1"/>
        <v>Kota Padang</v>
      </c>
      <c r="C1097" s="81" t="str">
        <f t="array" ref="C1097">XLOOKUP(B1097,Reference!$A$2:$A$152,Reference!$B$2:$B$152)</f>
        <v>Sumatera Barat</v>
      </c>
      <c r="D1097" s="82" t="s">
        <v>1536</v>
      </c>
      <c r="E1097" s="83">
        <v>45323.0</v>
      </c>
      <c r="F1097" s="84" t="str">
        <f t="array" ref="F1097">XLOOKUP(G1097,Reference!$F:$F,Reference!$D:$D,"null")</f>
        <v>Makanan dan Pakaian </v>
      </c>
      <c r="G1097" s="85" t="s">
        <v>72</v>
      </c>
      <c r="H1097" s="86">
        <v>101.91</v>
      </c>
      <c r="I1097" s="86">
        <v>101.91</v>
      </c>
      <c r="J1097" s="87">
        <f t="shared" si="2"/>
        <v>0</v>
      </c>
      <c r="K1097" s="84" t="str">
        <f t="shared" si="3"/>
        <v>Stabil</v>
      </c>
      <c r="L1097" s="84">
        <f t="shared" si="4"/>
        <v>0</v>
      </c>
      <c r="M1097" s="88" t="str">
        <f t="shared" si="5"/>
        <v>Perubahan Normal</v>
      </c>
    </row>
    <row r="1098" ht="18.75" customHeight="1">
      <c r="A1098" s="80" t="s">
        <v>584</v>
      </c>
      <c r="B1098" s="81" t="str">
        <f t="shared" si="1"/>
        <v>Kota Sibolga</v>
      </c>
      <c r="C1098" s="81" t="str">
        <f t="array" ref="C1098">XLOOKUP(B1098,Reference!$A$2:$A$152,Reference!$B$2:$B$152)</f>
        <v>Sumatera Utara</v>
      </c>
      <c r="D1098" s="82" t="s">
        <v>1537</v>
      </c>
      <c r="E1098" s="83">
        <v>45323.0</v>
      </c>
      <c r="F1098" s="84" t="str">
        <f t="array" ref="F1098">XLOOKUP(G1098,Reference!$F:$F,Reference!$D:$D,"null")</f>
        <v>Makanan dan Pakaian </v>
      </c>
      <c r="G1098" s="85" t="s">
        <v>48</v>
      </c>
      <c r="H1098" s="86">
        <v>109.53</v>
      </c>
      <c r="I1098" s="86">
        <v>106.6</v>
      </c>
      <c r="J1098" s="87">
        <f t="shared" si="2"/>
        <v>2.748592871</v>
      </c>
      <c r="K1098" s="84" t="str">
        <f t="shared" si="3"/>
        <v>Inflasi Tinggi</v>
      </c>
      <c r="L1098" s="84">
        <f t="shared" si="4"/>
        <v>2.93</v>
      </c>
      <c r="M1098" s="88" t="str">
        <f t="shared" si="5"/>
        <v>Akselerasi Kuat</v>
      </c>
    </row>
    <row r="1099" ht="18.75" customHeight="1">
      <c r="A1099" s="80" t="s">
        <v>391</v>
      </c>
      <c r="B1099" s="81" t="str">
        <f t="shared" si="1"/>
        <v>Kota Batam</v>
      </c>
      <c r="C1099" s="81" t="str">
        <f t="array" ref="C1099">XLOOKUP(B1099,Reference!$A$2:$A$152,Reference!$B$2:$B$152)</f>
        <v>Kepulauan Riau</v>
      </c>
      <c r="D1099" s="82" t="s">
        <v>1538</v>
      </c>
      <c r="E1099" s="83">
        <v>45352.0</v>
      </c>
      <c r="F1099" s="84" t="str">
        <f t="array" ref="F1099">XLOOKUP(G1099,Reference!$F:$F,Reference!$D:$D,"null")</f>
        <v>Rumah Tangga</v>
      </c>
      <c r="G1099" s="85" t="s">
        <v>89</v>
      </c>
      <c r="H1099" s="86">
        <v>101.36</v>
      </c>
      <c r="I1099" s="86">
        <v>101.36</v>
      </c>
      <c r="J1099" s="87">
        <f t="shared" si="2"/>
        <v>0</v>
      </c>
      <c r="K1099" s="84" t="str">
        <f t="shared" si="3"/>
        <v>Stabil</v>
      </c>
      <c r="L1099" s="84">
        <f t="shared" si="4"/>
        <v>0</v>
      </c>
      <c r="M1099" s="88" t="str">
        <f t="shared" si="5"/>
        <v>Perubahan Normal</v>
      </c>
    </row>
    <row r="1100" ht="18.75" customHeight="1">
      <c r="A1100" s="80" t="s">
        <v>335</v>
      </c>
      <c r="B1100" s="81" t="str">
        <f t="shared" si="1"/>
        <v>Kab Wonogiri</v>
      </c>
      <c r="C1100" s="81" t="str">
        <f t="array" ref="C1100">XLOOKUP(B1100,Reference!$A$2:$A$152,Reference!$B$2:$B$152)</f>
        <v>Jawa Tengah</v>
      </c>
      <c r="D1100" s="82" t="s">
        <v>1539</v>
      </c>
      <c r="E1100" s="83">
        <v>45323.0</v>
      </c>
      <c r="F1100" s="84" t="str">
        <f t="array" ref="F1100">XLOOKUP(G1100,Reference!$F:$F,Reference!$D:$D,"null")</f>
        <v>Rumah Tangga</v>
      </c>
      <c r="G1100" s="85" t="s">
        <v>84</v>
      </c>
      <c r="H1100" s="86">
        <v>101.66</v>
      </c>
      <c r="I1100" s="86">
        <v>101.71</v>
      </c>
      <c r="J1100" s="87">
        <f t="shared" si="2"/>
        <v>-0.04915937469</v>
      </c>
      <c r="K1100" s="84" t="str">
        <f t="shared" si="3"/>
        <v>Deflasi</v>
      </c>
      <c r="L1100" s="84">
        <f t="shared" si="4"/>
        <v>-0.05</v>
      </c>
      <c r="M1100" s="88" t="str">
        <f t="shared" si="5"/>
        <v>Perubahan Normal</v>
      </c>
    </row>
    <row r="1101" ht="18.75" customHeight="1">
      <c r="A1101" s="80" t="s">
        <v>387</v>
      </c>
      <c r="B1101" s="81" t="str">
        <f t="shared" si="1"/>
        <v>Kota Semarang</v>
      </c>
      <c r="C1101" s="81" t="str">
        <f t="array" ref="C1101">XLOOKUP(B1101,Reference!$A$2:$A$152,Reference!$B$2:$B$152)</f>
        <v>Jawa Tengah</v>
      </c>
      <c r="D1101" s="82" t="s">
        <v>1540</v>
      </c>
      <c r="E1101" s="83">
        <v>45352.0</v>
      </c>
      <c r="F1101" s="84" t="str">
        <f t="array" ref="F1101">XLOOKUP(G1101,Reference!$F:$F,Reference!$D:$D,"null")</f>
        <v>Makanan dan Pakaian </v>
      </c>
      <c r="G1101" s="85" t="s">
        <v>64</v>
      </c>
      <c r="H1101" s="86">
        <v>104.28</v>
      </c>
      <c r="I1101" s="86">
        <v>104.12</v>
      </c>
      <c r="J1101" s="87">
        <f t="shared" si="2"/>
        <v>0.1536688436</v>
      </c>
      <c r="K1101" s="84" t="str">
        <f t="shared" si="3"/>
        <v>Inflasi Normal</v>
      </c>
      <c r="L1101" s="84">
        <f t="shared" si="4"/>
        <v>0.16</v>
      </c>
      <c r="M1101" s="88" t="str">
        <f t="shared" si="5"/>
        <v>Perubahan Normal</v>
      </c>
    </row>
    <row r="1102" ht="18.75" customHeight="1">
      <c r="A1102" s="80" t="s">
        <v>515</v>
      </c>
      <c r="B1102" s="81" t="str">
        <f t="shared" si="1"/>
        <v>Kab Gresik</v>
      </c>
      <c r="C1102" s="81" t="str">
        <f t="array" ref="C1102">XLOOKUP(B1102,Reference!$A$2:$A$152,Reference!$B$2:$B$152)</f>
        <v>Jawa Timur</v>
      </c>
      <c r="D1102" s="82" t="s">
        <v>1541</v>
      </c>
      <c r="E1102" s="83">
        <v>45323.0</v>
      </c>
      <c r="F1102" s="84" t="str">
        <f t="array" ref="F1102">XLOOKUP(G1102,Reference!$F:$F,Reference!$D:$D,"null")</f>
        <v>Pendidikan dan Kesehatan</v>
      </c>
      <c r="G1102" s="85" t="s">
        <v>95</v>
      </c>
      <c r="H1102" s="86">
        <v>101.76</v>
      </c>
      <c r="I1102" s="86">
        <v>101.66</v>
      </c>
      <c r="J1102" s="87">
        <f t="shared" si="2"/>
        <v>0.09836710604</v>
      </c>
      <c r="K1102" s="84" t="str">
        <f t="shared" si="3"/>
        <v>Inflasi Normal</v>
      </c>
      <c r="L1102" s="84">
        <f t="shared" si="4"/>
        <v>0.1</v>
      </c>
      <c r="M1102" s="88" t="str">
        <f t="shared" si="5"/>
        <v>Perubahan Normal</v>
      </c>
    </row>
    <row r="1103" ht="18.75" customHeight="1">
      <c r="A1103" s="80" t="s">
        <v>456</v>
      </c>
      <c r="B1103" s="81" t="str">
        <f t="shared" si="1"/>
        <v>Kab Aceh Tamiang</v>
      </c>
      <c r="C1103" s="81" t="str">
        <f t="array" ref="C1103">XLOOKUP(B1103,Reference!$A$2:$A$152,Reference!$B$2:$B$152)</f>
        <v>Aceh</v>
      </c>
      <c r="D1103" s="82" t="s">
        <v>1542</v>
      </c>
      <c r="E1103" s="83">
        <v>45323.0</v>
      </c>
      <c r="F1103" s="84" t="str">
        <f t="array" ref="F1103">XLOOKUP(G1103,Reference!$F:$F,Reference!$D:$D,"null")</f>
        <v>Makanan dan Pakaian </v>
      </c>
      <c r="G1103" s="85" t="s">
        <v>56</v>
      </c>
      <c r="H1103" s="86">
        <v>106.5</v>
      </c>
      <c r="I1103" s="86">
        <v>105.4</v>
      </c>
      <c r="J1103" s="87">
        <f t="shared" si="2"/>
        <v>1.043643264</v>
      </c>
      <c r="K1103" s="84" t="str">
        <f t="shared" si="3"/>
        <v>Inflasi Tinggi</v>
      </c>
      <c r="L1103" s="84">
        <f t="shared" si="4"/>
        <v>1.1</v>
      </c>
      <c r="M1103" s="88" t="str">
        <f t="shared" si="5"/>
        <v>Akselerasi Persentase</v>
      </c>
    </row>
    <row r="1104" ht="18.75" customHeight="1">
      <c r="A1104" s="80" t="s">
        <v>466</v>
      </c>
      <c r="B1104" s="81" t="str">
        <f t="shared" si="1"/>
        <v>Kota Surabaya</v>
      </c>
      <c r="C1104" s="81" t="str">
        <f t="array" ref="C1104">XLOOKUP(B1104,Reference!$A$2:$A$152,Reference!$B$2:$B$152)</f>
        <v>Jawa Timur</v>
      </c>
      <c r="D1104" s="82" t="s">
        <v>1543</v>
      </c>
      <c r="E1104" s="83">
        <v>45352.0</v>
      </c>
      <c r="F1104" s="84" t="str">
        <f t="array" ref="F1104">XLOOKUP(G1104,Reference!$F:$F,Reference!$D:$D,"null")</f>
        <v>Makanan dan Pakaian </v>
      </c>
      <c r="G1104" s="89" t="s">
        <v>48</v>
      </c>
      <c r="H1104" s="90">
        <v>113.48</v>
      </c>
      <c r="I1104" s="90">
        <v>110.77</v>
      </c>
      <c r="J1104" s="87">
        <f t="shared" si="2"/>
        <v>2.446510788</v>
      </c>
      <c r="K1104" s="84" t="str">
        <f t="shared" si="3"/>
        <v>Inflasi Tinggi</v>
      </c>
      <c r="L1104" s="91">
        <f t="shared" si="4"/>
        <v>2.71</v>
      </c>
      <c r="M1104" s="88" t="str">
        <f t="shared" si="5"/>
        <v>Akselerasi Kuat</v>
      </c>
    </row>
    <row r="1105" ht="18.75" customHeight="1">
      <c r="A1105" s="80" t="s">
        <v>300</v>
      </c>
      <c r="B1105" s="81" t="str">
        <f t="shared" si="1"/>
        <v>Sintang</v>
      </c>
      <c r="C1105" s="81" t="str">
        <f t="array" ref="C1105">XLOOKUP(B1105,Reference!$A$2:$A$152,Reference!$B$2:$B$152)</f>
        <v>Kalimantan Barat</v>
      </c>
      <c r="D1105" s="82" t="s">
        <v>1544</v>
      </c>
      <c r="E1105" s="83">
        <v>45352.0</v>
      </c>
      <c r="F1105" s="84" t="str">
        <f t="array" ref="F1105">XLOOKUP(G1105,Reference!$F:$F,Reference!$D:$D,"null")</f>
        <v>Makanan dan Pakaian </v>
      </c>
      <c r="G1105" s="85" t="s">
        <v>48</v>
      </c>
      <c r="H1105" s="86">
        <v>107.71</v>
      </c>
      <c r="I1105" s="86">
        <v>106.22</v>
      </c>
      <c r="J1105" s="87">
        <f t="shared" si="2"/>
        <v>1.402749011</v>
      </c>
      <c r="K1105" s="84" t="str">
        <f t="shared" si="3"/>
        <v>Inflasi Tinggi</v>
      </c>
      <c r="L1105" s="84">
        <f t="shared" si="4"/>
        <v>1.49</v>
      </c>
      <c r="M1105" s="88" t="str">
        <f t="shared" si="5"/>
        <v>Akselerasi Persentase</v>
      </c>
    </row>
    <row r="1106" ht="18.75" customHeight="1">
      <c r="A1106" s="80" t="s">
        <v>364</v>
      </c>
      <c r="B1106" s="81" t="str">
        <f t="shared" si="1"/>
        <v>Kab Tanah Laut</v>
      </c>
      <c r="C1106" s="81" t="str">
        <f t="array" ref="C1106">XLOOKUP(B1106,Reference!$A$2:$A$152,Reference!$B$2:$B$152)</f>
        <v>Kalimantan Selatan</v>
      </c>
      <c r="D1106" s="82" t="s">
        <v>1545</v>
      </c>
      <c r="E1106" s="83">
        <v>45323.0</v>
      </c>
      <c r="F1106" s="84" t="str">
        <f t="array" ref="F1106">XLOOKUP(G1106,Reference!$F:$F,Reference!$D:$D,"null")</f>
        <v>Makanan dan Pakaian </v>
      </c>
      <c r="G1106" s="85" t="s">
        <v>64</v>
      </c>
      <c r="H1106" s="86">
        <v>101.39</v>
      </c>
      <c r="I1106" s="86">
        <v>101.39</v>
      </c>
      <c r="J1106" s="87">
        <f t="shared" si="2"/>
        <v>0</v>
      </c>
      <c r="K1106" s="84" t="str">
        <f t="shared" si="3"/>
        <v>Stabil</v>
      </c>
      <c r="L1106" s="84">
        <f t="shared" si="4"/>
        <v>0</v>
      </c>
      <c r="M1106" s="88" t="str">
        <f t="shared" si="5"/>
        <v>Perubahan Normal</v>
      </c>
    </row>
    <row r="1107" ht="18.75" customHeight="1">
      <c r="A1107" s="80" t="s">
        <v>512</v>
      </c>
      <c r="B1107" s="81" t="str">
        <f t="shared" si="1"/>
        <v>Kota Palu</v>
      </c>
      <c r="C1107" s="81" t="str">
        <f t="array" ref="C1107">XLOOKUP(B1107,Reference!$A$2:$A$152,Reference!$B$2:$B$152)</f>
        <v>Sulawesi Tengah</v>
      </c>
      <c r="D1107" s="82" t="s">
        <v>1546</v>
      </c>
      <c r="E1107" s="83">
        <v>45352.0</v>
      </c>
      <c r="F1107" s="84" t="str">
        <f t="array" ref="F1107">XLOOKUP(G1107,Reference!$F:$F,Reference!$D:$D,"null")</f>
        <v>Pendidikan dan Kesehatan</v>
      </c>
      <c r="G1107" s="85" t="s">
        <v>95</v>
      </c>
      <c r="H1107" s="86">
        <v>100.97</v>
      </c>
      <c r="I1107" s="86">
        <v>100.97</v>
      </c>
      <c r="J1107" s="87">
        <f t="shared" si="2"/>
        <v>0</v>
      </c>
      <c r="K1107" s="84" t="str">
        <f t="shared" si="3"/>
        <v>Stabil</v>
      </c>
      <c r="L1107" s="84">
        <f t="shared" si="4"/>
        <v>0</v>
      </c>
      <c r="M1107" s="88" t="str">
        <f t="shared" si="5"/>
        <v>Perubahan Normal</v>
      </c>
    </row>
    <row r="1108" ht="18.75" customHeight="1">
      <c r="A1108" s="80" t="s">
        <v>404</v>
      </c>
      <c r="B1108" s="81" t="str">
        <f t="shared" si="1"/>
        <v>Kab Mesuji</v>
      </c>
      <c r="C1108" s="81" t="str">
        <f t="array" ref="C1108">XLOOKUP(B1108,Reference!$A$2:$A$152,Reference!$B$2:$B$152)</f>
        <v>Lampung</v>
      </c>
      <c r="D1108" s="82" t="s">
        <v>1547</v>
      </c>
      <c r="E1108" s="83">
        <v>45323.0</v>
      </c>
      <c r="F1108" s="84" t="str">
        <f t="array" ref="F1108">XLOOKUP(G1108,Reference!$F:$F,Reference!$D:$D,"null")</f>
        <v>Rumah Tangga</v>
      </c>
      <c r="G1108" s="85" t="s">
        <v>89</v>
      </c>
      <c r="H1108" s="86">
        <v>100.66</v>
      </c>
      <c r="I1108" s="86">
        <v>100.66</v>
      </c>
      <c r="J1108" s="87">
        <f t="shared" si="2"/>
        <v>0</v>
      </c>
      <c r="K1108" s="84" t="str">
        <f t="shared" si="3"/>
        <v>Stabil</v>
      </c>
      <c r="L1108" s="84">
        <f t="shared" si="4"/>
        <v>0</v>
      </c>
      <c r="M1108" s="88" t="str">
        <f t="shared" si="5"/>
        <v>Perubahan Normal</v>
      </c>
    </row>
    <row r="1109" ht="18.75" customHeight="1">
      <c r="A1109" s="80" t="s">
        <v>727</v>
      </c>
      <c r="B1109" s="81" t="str">
        <f t="shared" si="1"/>
        <v>Kab Badung</v>
      </c>
      <c r="C1109" s="81" t="str">
        <f t="array" ref="C1109">XLOOKUP(B1109,Reference!$A$2:$A$152,Reference!$B$2:$B$152)</f>
        <v>Bali</v>
      </c>
      <c r="D1109" s="82" t="s">
        <v>1548</v>
      </c>
      <c r="E1109" s="83">
        <v>45352.0</v>
      </c>
      <c r="F1109" s="84" t="str">
        <f t="array" ref="F1109">XLOOKUP(G1109,Reference!$F:$F,Reference!$D:$D,"null")</f>
        <v>Rekreasi dan Kendaraan</v>
      </c>
      <c r="G1109" s="85" t="s">
        <v>105</v>
      </c>
      <c r="H1109" s="86">
        <v>104.05</v>
      </c>
      <c r="I1109" s="86">
        <v>104.05</v>
      </c>
      <c r="J1109" s="87">
        <f t="shared" si="2"/>
        <v>0</v>
      </c>
      <c r="K1109" s="84" t="str">
        <f t="shared" si="3"/>
        <v>Stabil</v>
      </c>
      <c r="L1109" s="84">
        <f t="shared" si="4"/>
        <v>0</v>
      </c>
      <c r="M1109" s="88" t="str">
        <f t="shared" si="5"/>
        <v>Perubahan Normal</v>
      </c>
    </row>
    <row r="1110" ht="18.75" customHeight="1">
      <c r="A1110" s="80" t="s">
        <v>362</v>
      </c>
      <c r="B1110" s="81" t="str">
        <f t="shared" si="1"/>
        <v>Sumenep</v>
      </c>
      <c r="C1110" s="81" t="str">
        <f t="array" ref="C1110">XLOOKUP(B1110,Reference!$A$2:$A$152,Reference!$B$2:$B$152)</f>
        <v>Jawa Timur</v>
      </c>
      <c r="D1110" s="82" t="s">
        <v>1549</v>
      </c>
      <c r="E1110" s="83">
        <v>45323.0</v>
      </c>
      <c r="F1110" s="84" t="str">
        <f t="array" ref="F1110">XLOOKUP(G1110,Reference!$F:$F,Reference!$D:$D,"null")</f>
        <v>Makanan dan Pakaian </v>
      </c>
      <c r="G1110" s="85" t="s">
        <v>48</v>
      </c>
      <c r="H1110" s="86">
        <v>115.42</v>
      </c>
      <c r="I1110" s="86">
        <v>113.01</v>
      </c>
      <c r="J1110" s="87">
        <f t="shared" si="2"/>
        <v>2.132554641</v>
      </c>
      <c r="K1110" s="84" t="str">
        <f t="shared" si="3"/>
        <v>Inflasi Tinggi</v>
      </c>
      <c r="L1110" s="84">
        <f t="shared" si="4"/>
        <v>2.41</v>
      </c>
      <c r="M1110" s="88" t="str">
        <f t="shared" si="5"/>
        <v>Akselerasi Kuat</v>
      </c>
    </row>
    <row r="1111" ht="18.75" customHeight="1">
      <c r="A1111" s="80" t="s">
        <v>542</v>
      </c>
      <c r="B1111" s="81" t="str">
        <f t="shared" si="1"/>
        <v>Kab Karo</v>
      </c>
      <c r="C1111" s="81" t="str">
        <f t="array" ref="C1111">XLOOKUP(B1111,Reference!$A$2:$A$152,Reference!$B$2:$B$152)</f>
        <v>Sumatera Utara</v>
      </c>
      <c r="D1111" s="82" t="s">
        <v>1550</v>
      </c>
      <c r="E1111" s="83">
        <v>45352.0</v>
      </c>
      <c r="F1111" s="84" t="str">
        <f t="array" ref="F1111">XLOOKUP(G1111,Reference!$F:$F,Reference!$D:$D,"null")</f>
        <v>Rekreasi dan Kendaraan</v>
      </c>
      <c r="G1111" s="85" t="s">
        <v>105</v>
      </c>
      <c r="H1111" s="86">
        <v>100.52</v>
      </c>
      <c r="I1111" s="86">
        <v>99.84</v>
      </c>
      <c r="J1111" s="87">
        <f t="shared" si="2"/>
        <v>0.6810897436</v>
      </c>
      <c r="K1111" s="84" t="str">
        <f t="shared" si="3"/>
        <v>Inflasi Tinggi</v>
      </c>
      <c r="L1111" s="84">
        <f t="shared" si="4"/>
        <v>0.68</v>
      </c>
      <c r="M1111" s="88" t="str">
        <f t="shared" si="5"/>
        <v>Akselerasi Persentase</v>
      </c>
    </row>
    <row r="1112" ht="18.75" customHeight="1">
      <c r="A1112" s="80" t="s">
        <v>495</v>
      </c>
      <c r="B1112" s="81" t="str">
        <f t="shared" si="1"/>
        <v>Kota Medan</v>
      </c>
      <c r="C1112" s="81" t="str">
        <f t="array" ref="C1112">XLOOKUP(B1112,Reference!$A$2:$A$152,Reference!$B$2:$B$152)</f>
        <v>Sumatera Utara</v>
      </c>
      <c r="D1112" s="82" t="s">
        <v>1551</v>
      </c>
      <c r="E1112" s="83">
        <v>45323.0</v>
      </c>
      <c r="F1112" s="84" t="str">
        <f t="array" ref="F1112">XLOOKUP(G1112,Reference!$F:$F,Reference!$D:$D,"null")</f>
        <v>Rumah Tangga</v>
      </c>
      <c r="G1112" s="85" t="s">
        <v>80</v>
      </c>
      <c r="H1112" s="86">
        <v>102.64</v>
      </c>
      <c r="I1112" s="86">
        <v>102.64</v>
      </c>
      <c r="J1112" s="87">
        <f t="shared" si="2"/>
        <v>0</v>
      </c>
      <c r="K1112" s="84" t="str">
        <f t="shared" si="3"/>
        <v>Stabil</v>
      </c>
      <c r="L1112" s="84">
        <f t="shared" si="4"/>
        <v>0</v>
      </c>
      <c r="M1112" s="88" t="str">
        <f t="shared" si="5"/>
        <v>Perubahan Normal</v>
      </c>
    </row>
    <row r="1113" ht="18.75" customHeight="1">
      <c r="A1113" s="80" t="s">
        <v>471</v>
      </c>
      <c r="B1113" s="81" t="str">
        <f t="shared" si="1"/>
        <v>Kab Gunungkidul</v>
      </c>
      <c r="C1113" s="81" t="str">
        <f t="array" ref="C1113">XLOOKUP(B1113,Reference!$A$2:$A$152,Reference!$B$2:$B$152)</f>
        <v>D.I. Yogyakarta</v>
      </c>
      <c r="D1113" s="82" t="s">
        <v>1552</v>
      </c>
      <c r="E1113" s="83">
        <v>45352.0</v>
      </c>
      <c r="F1113" s="84" t="str">
        <f t="array" ref="F1113">XLOOKUP(G1113,Reference!$F:$F,Reference!$D:$D,"null")</f>
        <v>Rumah Tangga</v>
      </c>
      <c r="G1113" s="85" t="s">
        <v>80</v>
      </c>
      <c r="H1113" s="86">
        <v>100.0</v>
      </c>
      <c r="I1113" s="86">
        <v>100.0</v>
      </c>
      <c r="J1113" s="87">
        <f t="shared" si="2"/>
        <v>0</v>
      </c>
      <c r="K1113" s="84" t="str">
        <f t="shared" si="3"/>
        <v>Stabil</v>
      </c>
      <c r="L1113" s="84">
        <f t="shared" si="4"/>
        <v>0</v>
      </c>
      <c r="M1113" s="88" t="str">
        <f t="shared" si="5"/>
        <v>Perubahan Normal</v>
      </c>
    </row>
    <row r="1114" ht="18.75" customHeight="1">
      <c r="A1114" s="80" t="s">
        <v>376</v>
      </c>
      <c r="B1114" s="81" t="str">
        <f t="shared" si="1"/>
        <v>Bulukumba</v>
      </c>
      <c r="C1114" s="81" t="str">
        <f t="array" ref="C1114">XLOOKUP(B1114,Reference!$A$2:$A$152,Reference!$B$2:$B$152)</f>
        <v>Sulawesi Selatan</v>
      </c>
      <c r="D1114" s="82" t="s">
        <v>1553</v>
      </c>
      <c r="E1114" s="83">
        <v>45323.0</v>
      </c>
      <c r="F1114" s="84" t="str">
        <f t="array" ref="F1114">XLOOKUP(G1114,Reference!$F:$F,Reference!$D:$D,"null")</f>
        <v>Makanan dan Pakaian </v>
      </c>
      <c r="G1114" s="85" t="s">
        <v>72</v>
      </c>
      <c r="H1114" s="86">
        <v>102.64</v>
      </c>
      <c r="I1114" s="86">
        <v>102.31</v>
      </c>
      <c r="J1114" s="87">
        <f t="shared" si="2"/>
        <v>0.3225491154</v>
      </c>
      <c r="K1114" s="84" t="str">
        <f t="shared" si="3"/>
        <v>Inflasi Normal</v>
      </c>
      <c r="L1114" s="84">
        <f t="shared" si="4"/>
        <v>0.33</v>
      </c>
      <c r="M1114" s="88" t="str">
        <f t="shared" si="5"/>
        <v>Perubahan Normal</v>
      </c>
    </row>
    <row r="1115" ht="18.75" customHeight="1">
      <c r="A1115" s="80" t="s">
        <v>346</v>
      </c>
      <c r="B1115" s="81" t="str">
        <f t="shared" si="1"/>
        <v>Kab Timor Tengah Selatan</v>
      </c>
      <c r="C1115" s="81" t="str">
        <f t="array" ref="C1115">XLOOKUP(B1115,Reference!$A$2:$A$152,Reference!$B$2:$B$152)</f>
        <v>Nusa Tenggara Timur (NTT)</v>
      </c>
      <c r="D1115" s="82" t="s">
        <v>1554</v>
      </c>
      <c r="E1115" s="83">
        <v>45352.0</v>
      </c>
      <c r="F1115" s="84" t="str">
        <f t="array" ref="F1115">XLOOKUP(G1115,Reference!$F:$F,Reference!$D:$D,"null")</f>
        <v>Pendidikan dan Kesehatan</v>
      </c>
      <c r="G1115" s="85" t="s">
        <v>98</v>
      </c>
      <c r="H1115" s="86">
        <v>109.28</v>
      </c>
      <c r="I1115" s="86">
        <v>109.28</v>
      </c>
      <c r="J1115" s="87">
        <f t="shared" si="2"/>
        <v>0</v>
      </c>
      <c r="K1115" s="84" t="str">
        <f t="shared" si="3"/>
        <v>Stabil</v>
      </c>
      <c r="L1115" s="84">
        <f t="shared" si="4"/>
        <v>0</v>
      </c>
      <c r="M1115" s="88" t="str">
        <f t="shared" si="5"/>
        <v>Perubahan Normal</v>
      </c>
    </row>
    <row r="1116" ht="18.75" customHeight="1">
      <c r="A1116" s="80" t="s">
        <v>727</v>
      </c>
      <c r="B1116" s="81" t="str">
        <f t="shared" si="1"/>
        <v>Kab Badung</v>
      </c>
      <c r="C1116" s="81" t="str">
        <f t="array" ref="C1116">XLOOKUP(B1116,Reference!$A$2:$A$152,Reference!$B$2:$B$152)</f>
        <v>Bali</v>
      </c>
      <c r="D1116" s="82" t="s">
        <v>1555</v>
      </c>
      <c r="E1116" s="83">
        <v>45323.0</v>
      </c>
      <c r="F1116" s="84" t="str">
        <f t="array" ref="F1116">XLOOKUP(G1116,Reference!$F:$F,Reference!$D:$D,"null")</f>
        <v>Makanan dan Pakaian </v>
      </c>
      <c r="G1116" s="85" t="s">
        <v>56</v>
      </c>
      <c r="H1116" s="86">
        <v>103.92</v>
      </c>
      <c r="I1116" s="86">
        <v>103.92</v>
      </c>
      <c r="J1116" s="87">
        <f t="shared" si="2"/>
        <v>0</v>
      </c>
      <c r="K1116" s="84" t="str">
        <f t="shared" si="3"/>
        <v>Stabil</v>
      </c>
      <c r="L1116" s="84">
        <f t="shared" si="4"/>
        <v>0</v>
      </c>
      <c r="M1116" s="88" t="str">
        <f t="shared" si="5"/>
        <v>Perubahan Normal</v>
      </c>
    </row>
    <row r="1117" ht="18.75" customHeight="1">
      <c r="A1117" s="80" t="s">
        <v>401</v>
      </c>
      <c r="B1117" s="81" t="str">
        <f t="shared" si="1"/>
        <v>Kota Tual</v>
      </c>
      <c r="C1117" s="81" t="str">
        <f t="array" ref="C1117">XLOOKUP(B1117,Reference!$A$2:$A$152,Reference!$B$2:$B$152)</f>
        <v>Maluku</v>
      </c>
      <c r="D1117" s="82" t="s">
        <v>1556</v>
      </c>
      <c r="E1117" s="83">
        <v>45352.0</v>
      </c>
      <c r="F1117" s="84" t="str">
        <f t="array" ref="F1117">XLOOKUP(G1117,Reference!$F:$F,Reference!$D:$D,"null")</f>
        <v>Rekreasi dan Kendaraan</v>
      </c>
      <c r="G1117" s="89" t="s">
        <v>102</v>
      </c>
      <c r="H1117" s="90">
        <v>101.68</v>
      </c>
      <c r="I1117" s="90">
        <v>101.68</v>
      </c>
      <c r="J1117" s="87">
        <f t="shared" si="2"/>
        <v>0</v>
      </c>
      <c r="K1117" s="84" t="str">
        <f t="shared" si="3"/>
        <v>Stabil</v>
      </c>
      <c r="L1117" s="91">
        <f t="shared" si="4"/>
        <v>0</v>
      </c>
      <c r="M1117" s="88" t="str">
        <f t="shared" si="5"/>
        <v>Perubahan Normal</v>
      </c>
    </row>
    <row r="1118" ht="18.75" customHeight="1">
      <c r="A1118" s="80" t="s">
        <v>517</v>
      </c>
      <c r="B1118" s="81" t="str">
        <f t="shared" si="1"/>
        <v>Kota Kupang</v>
      </c>
      <c r="C1118" s="81" t="str">
        <f t="array" ref="C1118">XLOOKUP(B1118,Reference!$A$2:$A$152,Reference!$B$2:$B$152)</f>
        <v>Nusa Tenggara Timur (NTT)</v>
      </c>
      <c r="D1118" s="82" t="s">
        <v>1557</v>
      </c>
      <c r="E1118" s="83">
        <v>45323.0</v>
      </c>
      <c r="F1118" s="84" t="str">
        <f t="array" ref="F1118">XLOOKUP(G1118,Reference!$F:$F,Reference!$D:$D,"null")</f>
        <v>Rumah Tangga</v>
      </c>
      <c r="G1118" s="85" t="s">
        <v>84</v>
      </c>
      <c r="H1118" s="86">
        <v>100.15</v>
      </c>
      <c r="I1118" s="86">
        <v>100.15</v>
      </c>
      <c r="J1118" s="87">
        <f t="shared" si="2"/>
        <v>0</v>
      </c>
      <c r="K1118" s="84" t="str">
        <f t="shared" si="3"/>
        <v>Stabil</v>
      </c>
      <c r="L1118" s="84">
        <f t="shared" si="4"/>
        <v>0</v>
      </c>
      <c r="M1118" s="88" t="str">
        <f t="shared" si="5"/>
        <v>Perubahan Normal</v>
      </c>
    </row>
    <row r="1119" ht="18.75" customHeight="1">
      <c r="A1119" s="80" t="s">
        <v>584</v>
      </c>
      <c r="B1119" s="81" t="str">
        <f t="shared" si="1"/>
        <v>Kota Sibolga</v>
      </c>
      <c r="C1119" s="81" t="str">
        <f t="array" ref="C1119">XLOOKUP(B1119,Reference!$A$2:$A$152,Reference!$B$2:$B$152)</f>
        <v>Sumatera Utara</v>
      </c>
      <c r="D1119" s="82" t="s">
        <v>1558</v>
      </c>
      <c r="E1119" s="83">
        <v>45352.0</v>
      </c>
      <c r="F1119" s="84" t="str">
        <f t="array" ref="F1119">XLOOKUP(G1119,Reference!$F:$F,Reference!$D:$D,"null")</f>
        <v>Rekreasi dan Kendaraan</v>
      </c>
      <c r="G1119" s="85" t="s">
        <v>105</v>
      </c>
      <c r="H1119" s="86">
        <v>102.78</v>
      </c>
      <c r="I1119" s="86">
        <v>102.52</v>
      </c>
      <c r="J1119" s="87">
        <f t="shared" si="2"/>
        <v>0.2536090519</v>
      </c>
      <c r="K1119" s="84" t="str">
        <f t="shared" si="3"/>
        <v>Inflasi Normal</v>
      </c>
      <c r="L1119" s="84">
        <f t="shared" si="4"/>
        <v>0.26</v>
      </c>
      <c r="M1119" s="88" t="str">
        <f t="shared" si="5"/>
        <v>Perubahan Normal</v>
      </c>
    </row>
    <row r="1120" ht="18.75" customHeight="1">
      <c r="A1120" s="80" t="s">
        <v>466</v>
      </c>
      <c r="B1120" s="81" t="str">
        <f t="shared" si="1"/>
        <v>Kota Surabaya</v>
      </c>
      <c r="C1120" s="81" t="str">
        <f t="array" ref="C1120">XLOOKUP(B1120,Reference!$A$2:$A$152,Reference!$B$2:$B$152)</f>
        <v>Jawa Timur</v>
      </c>
      <c r="D1120" s="82" t="s">
        <v>1559</v>
      </c>
      <c r="E1120" s="83">
        <v>45352.0</v>
      </c>
      <c r="F1120" s="84" t="str">
        <f t="array" ref="F1120">XLOOKUP(G1120,Reference!$F:$F,Reference!$D:$D,"null")</f>
        <v>Pendidikan dan Kesehatan</v>
      </c>
      <c r="G1120" s="85" t="s">
        <v>98</v>
      </c>
      <c r="H1120" s="86">
        <v>108.15</v>
      </c>
      <c r="I1120" s="86">
        <v>107.28</v>
      </c>
      <c r="J1120" s="87">
        <f t="shared" si="2"/>
        <v>0.8109619687</v>
      </c>
      <c r="K1120" s="84" t="str">
        <f t="shared" si="3"/>
        <v>Inflasi Tinggi</v>
      </c>
      <c r="L1120" s="84">
        <f t="shared" si="4"/>
        <v>0.87</v>
      </c>
      <c r="M1120" s="88" t="str">
        <f t="shared" si="5"/>
        <v>Akselerasi Persentase</v>
      </c>
    </row>
    <row r="1121" ht="18.75" customHeight="1">
      <c r="A1121" s="80" t="s">
        <v>370</v>
      </c>
      <c r="B1121" s="81" t="str">
        <f t="shared" si="1"/>
        <v>Jember</v>
      </c>
      <c r="C1121" s="81" t="str">
        <f t="array" ref="C1121">XLOOKUP(B1121,Reference!$A$2:$A$152,Reference!$B$2:$B$152)</f>
        <v>Jawa Timur</v>
      </c>
      <c r="D1121" s="82" t="s">
        <v>1560</v>
      </c>
      <c r="E1121" s="83">
        <v>45323.0</v>
      </c>
      <c r="F1121" s="84" t="str">
        <f t="array" ref="F1121">XLOOKUP(G1121,Reference!$F:$F,Reference!$D:$D,"null")</f>
        <v>Rekreasi dan Kendaraan</v>
      </c>
      <c r="G1121" s="85" t="s">
        <v>105</v>
      </c>
      <c r="H1121" s="86">
        <v>100.76</v>
      </c>
      <c r="I1121" s="86">
        <v>100.73</v>
      </c>
      <c r="J1121" s="87">
        <f t="shared" si="2"/>
        <v>0.02978258711</v>
      </c>
      <c r="K1121" s="84" t="str">
        <f t="shared" si="3"/>
        <v>Inflasi Normal</v>
      </c>
      <c r="L1121" s="84">
        <f t="shared" si="4"/>
        <v>0.03</v>
      </c>
      <c r="M1121" s="88" t="str">
        <f t="shared" si="5"/>
        <v>Perubahan Normal</v>
      </c>
    </row>
    <row r="1122" ht="18.75" customHeight="1">
      <c r="A1122" s="80" t="s">
        <v>628</v>
      </c>
      <c r="B1122" s="81" t="str">
        <f t="shared" si="1"/>
        <v>Watampone</v>
      </c>
      <c r="C1122" s="81" t="str">
        <f t="array" ref="C1122">XLOOKUP(B1122,Reference!$A$2:$A$152,Reference!$B$2:$B$152)</f>
        <v>Sulawesi Selatan</v>
      </c>
      <c r="D1122" s="82" t="s">
        <v>1561</v>
      </c>
      <c r="E1122" s="83">
        <v>45323.0</v>
      </c>
      <c r="F1122" s="84" t="str">
        <f t="array" ref="F1122">XLOOKUP(G1122,Reference!$F:$F,Reference!$D:$D,"null")</f>
        <v>Makanan dan Pakaian </v>
      </c>
      <c r="G1122" s="89" t="s">
        <v>72</v>
      </c>
      <c r="H1122" s="90">
        <v>100.02</v>
      </c>
      <c r="I1122" s="90">
        <v>100.02</v>
      </c>
      <c r="J1122" s="87">
        <f t="shared" si="2"/>
        <v>0</v>
      </c>
      <c r="K1122" s="84" t="str">
        <f t="shared" si="3"/>
        <v>Stabil</v>
      </c>
      <c r="L1122" s="91">
        <f t="shared" si="4"/>
        <v>0</v>
      </c>
      <c r="M1122" s="88" t="str">
        <f t="shared" si="5"/>
        <v>Perubahan Normal</v>
      </c>
    </row>
    <row r="1123" ht="18.75" customHeight="1">
      <c r="A1123" s="80" t="s">
        <v>358</v>
      </c>
      <c r="B1123" s="81" t="str">
        <f t="shared" si="1"/>
        <v>Kab Minahasa Utara</v>
      </c>
      <c r="C1123" s="81" t="str">
        <f t="array" ref="C1123">XLOOKUP(B1123,Reference!$A$2:$A$152,Reference!$B$2:$B$152)</f>
        <v>Sulawesi Utara</v>
      </c>
      <c r="D1123" s="82" t="s">
        <v>1562</v>
      </c>
      <c r="E1123" s="83">
        <v>45323.0</v>
      </c>
      <c r="F1123" s="84" t="str">
        <f t="array" ref="F1123">XLOOKUP(G1123,Reference!$F:$F,Reference!$D:$D,"null")</f>
        <v>Pendidikan dan Kesehatan</v>
      </c>
      <c r="G1123" s="85" t="s">
        <v>95</v>
      </c>
      <c r="H1123" s="86">
        <v>100.26</v>
      </c>
      <c r="I1123" s="86">
        <v>100.0</v>
      </c>
      <c r="J1123" s="87">
        <f t="shared" si="2"/>
        <v>0.26</v>
      </c>
      <c r="K1123" s="84" t="str">
        <f t="shared" si="3"/>
        <v>Inflasi Normal</v>
      </c>
      <c r="L1123" s="84">
        <f t="shared" si="4"/>
        <v>0.26</v>
      </c>
      <c r="M1123" s="88" t="str">
        <f t="shared" si="5"/>
        <v>Perubahan Normal</v>
      </c>
    </row>
    <row r="1124" ht="18.75" customHeight="1">
      <c r="A1124" s="80" t="s">
        <v>364</v>
      </c>
      <c r="B1124" s="81" t="str">
        <f t="shared" si="1"/>
        <v>Kab Tanah Laut</v>
      </c>
      <c r="C1124" s="81" t="str">
        <f t="array" ref="C1124">XLOOKUP(B1124,Reference!$A$2:$A$152,Reference!$B$2:$B$152)</f>
        <v>Kalimantan Selatan</v>
      </c>
      <c r="D1124" s="82" t="s">
        <v>1563</v>
      </c>
      <c r="E1124" s="83">
        <v>45352.0</v>
      </c>
      <c r="F1124" s="84" t="str">
        <f t="array" ref="F1124">XLOOKUP(G1124,Reference!$F:$F,Reference!$D:$D,"null")</f>
        <v>Rumah Tangga</v>
      </c>
      <c r="G1124" s="89" t="s">
        <v>84</v>
      </c>
      <c r="H1124" s="90">
        <v>102.62</v>
      </c>
      <c r="I1124" s="90">
        <v>102.62</v>
      </c>
      <c r="J1124" s="87">
        <f t="shared" si="2"/>
        <v>0</v>
      </c>
      <c r="K1124" s="84" t="str">
        <f t="shared" si="3"/>
        <v>Stabil</v>
      </c>
      <c r="L1124" s="91">
        <f t="shared" si="4"/>
        <v>0</v>
      </c>
      <c r="M1124" s="88" t="str">
        <f t="shared" si="5"/>
        <v>Perubahan Normal</v>
      </c>
    </row>
    <row r="1125" ht="18.75" customHeight="1">
      <c r="A1125" s="80" t="s">
        <v>616</v>
      </c>
      <c r="B1125" s="81" t="str">
        <f t="shared" si="1"/>
        <v>Kab Sorong</v>
      </c>
      <c r="C1125" s="81" t="str">
        <f t="array" ref="C1125">XLOOKUP(B1125,Reference!$A$2:$A$152,Reference!$B$2:$B$152)</f>
        <v>Papua Barat Daya</v>
      </c>
      <c r="D1125" s="82" t="s">
        <v>1564</v>
      </c>
      <c r="E1125" s="83">
        <v>45352.0</v>
      </c>
      <c r="F1125" s="84" t="str">
        <f t="array" ref="F1125">XLOOKUP(G1125,Reference!$F:$F,Reference!$D:$D,"null")</f>
        <v>Rekreasi dan Kendaraan</v>
      </c>
      <c r="G1125" s="85" t="s">
        <v>102</v>
      </c>
      <c r="H1125" s="86">
        <v>108.07</v>
      </c>
      <c r="I1125" s="86">
        <v>108.07</v>
      </c>
      <c r="J1125" s="87">
        <f t="shared" si="2"/>
        <v>0</v>
      </c>
      <c r="K1125" s="84" t="str">
        <f t="shared" si="3"/>
        <v>Stabil</v>
      </c>
      <c r="L1125" s="84">
        <f t="shared" si="4"/>
        <v>0</v>
      </c>
      <c r="M1125" s="88" t="str">
        <f t="shared" si="5"/>
        <v>Perubahan Normal</v>
      </c>
    </row>
    <row r="1126" ht="18.75" customHeight="1">
      <c r="A1126" s="80" t="s">
        <v>669</v>
      </c>
      <c r="B1126" s="81" t="str">
        <f t="shared" si="1"/>
        <v>Kab Sidenreng Rappang</v>
      </c>
      <c r="C1126" s="81" t="str">
        <f t="array" ref="C1126">XLOOKUP(B1126,Reference!$A$2:$A$152,Reference!$B$2:$B$152)</f>
        <v>Sulawesi Selatan</v>
      </c>
      <c r="D1126" s="82" t="s">
        <v>1565</v>
      </c>
      <c r="E1126" s="83">
        <v>45352.0</v>
      </c>
      <c r="F1126" s="84" t="str">
        <f t="array" ref="F1126">XLOOKUP(G1126,Reference!$F:$F,Reference!$D:$D,"null")</f>
        <v>Rekreasi dan Kendaraan</v>
      </c>
      <c r="G1126" s="85" t="s">
        <v>102</v>
      </c>
      <c r="H1126" s="86">
        <v>101.03</v>
      </c>
      <c r="I1126" s="86">
        <v>101.03</v>
      </c>
      <c r="J1126" s="87">
        <f t="shared" si="2"/>
        <v>0</v>
      </c>
      <c r="K1126" s="84" t="str">
        <f t="shared" si="3"/>
        <v>Stabil</v>
      </c>
      <c r="L1126" s="84">
        <f t="shared" si="4"/>
        <v>0</v>
      </c>
      <c r="M1126" s="88" t="str">
        <f t="shared" si="5"/>
        <v>Perubahan Normal</v>
      </c>
    </row>
    <row r="1127" ht="18.75" customHeight="1">
      <c r="A1127" s="80" t="s">
        <v>680</v>
      </c>
      <c r="B1127" s="81" t="str">
        <f t="shared" si="1"/>
        <v>Kota Pekanbaru</v>
      </c>
      <c r="C1127" s="81" t="str">
        <f t="array" ref="C1127">XLOOKUP(B1127,Reference!$A$2:$A$152,Reference!$B$2:$B$152)</f>
        <v>Riau</v>
      </c>
      <c r="D1127" s="82" t="s">
        <v>1566</v>
      </c>
      <c r="E1127" s="83">
        <v>45323.0</v>
      </c>
      <c r="F1127" s="84" t="str">
        <f t="array" ref="F1127">XLOOKUP(G1127,Reference!$F:$F,Reference!$D:$D,"null")</f>
        <v>Pendidikan dan Kesehatan</v>
      </c>
      <c r="G1127" s="85" t="s">
        <v>95</v>
      </c>
      <c r="H1127" s="86">
        <v>101.59</v>
      </c>
      <c r="I1127" s="86">
        <v>101.56</v>
      </c>
      <c r="J1127" s="87">
        <f t="shared" si="2"/>
        <v>0.02953918866</v>
      </c>
      <c r="K1127" s="84" t="str">
        <f t="shared" si="3"/>
        <v>Inflasi Normal</v>
      </c>
      <c r="L1127" s="84">
        <f t="shared" si="4"/>
        <v>0.03</v>
      </c>
      <c r="M1127" s="88" t="str">
        <f t="shared" si="5"/>
        <v>Perubahan Normal</v>
      </c>
    </row>
    <row r="1128" ht="18.75" customHeight="1">
      <c r="A1128" s="80" t="s">
        <v>934</v>
      </c>
      <c r="B1128" s="81" t="str">
        <f t="shared" si="1"/>
        <v>Kab Kolaka</v>
      </c>
      <c r="C1128" s="81" t="str">
        <f t="array" ref="C1128">XLOOKUP(B1128,Reference!$A$2:$A$152,Reference!$B$2:$B$152)</f>
        <v>Sulawesi Tenggara</v>
      </c>
      <c r="D1128" s="82" t="s">
        <v>1567</v>
      </c>
      <c r="E1128" s="83">
        <v>45352.0</v>
      </c>
      <c r="F1128" s="84" t="str">
        <f t="array" ref="F1128">XLOOKUP(G1128,Reference!$F:$F,Reference!$D:$D,"null")</f>
        <v>Rumah Tangga</v>
      </c>
      <c r="G1128" s="85" t="s">
        <v>89</v>
      </c>
      <c r="H1128" s="86">
        <v>116.86</v>
      </c>
      <c r="I1128" s="86">
        <v>116.86</v>
      </c>
      <c r="J1128" s="87">
        <f t="shared" si="2"/>
        <v>0</v>
      </c>
      <c r="K1128" s="84" t="str">
        <f t="shared" si="3"/>
        <v>Stabil</v>
      </c>
      <c r="L1128" s="84">
        <f t="shared" si="4"/>
        <v>0</v>
      </c>
      <c r="M1128" s="88" t="str">
        <f t="shared" si="5"/>
        <v>Perubahan Normal</v>
      </c>
    </row>
    <row r="1129" ht="18.75" customHeight="1">
      <c r="A1129" s="80" t="s">
        <v>412</v>
      </c>
      <c r="B1129" s="81" t="str">
        <f t="shared" si="1"/>
        <v>Cilacap</v>
      </c>
      <c r="C1129" s="81" t="str">
        <f t="array" ref="C1129">XLOOKUP(B1129,Reference!$A$2:$A$152,Reference!$B$2:$B$152)</f>
        <v>Jawa Tengah</v>
      </c>
      <c r="D1129" s="82" t="s">
        <v>1568</v>
      </c>
      <c r="E1129" s="83">
        <v>45323.0</v>
      </c>
      <c r="F1129" s="84" t="str">
        <f t="array" ref="F1129">XLOOKUP(G1129,Reference!$F:$F,Reference!$D:$D,"null")</f>
        <v>Rumah Tangga</v>
      </c>
      <c r="G1129" s="85" t="s">
        <v>89</v>
      </c>
      <c r="H1129" s="86">
        <v>100.52</v>
      </c>
      <c r="I1129" s="86">
        <v>100.3</v>
      </c>
      <c r="J1129" s="87">
        <f t="shared" si="2"/>
        <v>0.2193419741</v>
      </c>
      <c r="K1129" s="84" t="str">
        <f t="shared" si="3"/>
        <v>Inflasi Normal</v>
      </c>
      <c r="L1129" s="84">
        <f t="shared" si="4"/>
        <v>0.22</v>
      </c>
      <c r="M1129" s="88" t="str">
        <f t="shared" si="5"/>
        <v>Perubahan Normal</v>
      </c>
    </row>
    <row r="1130" ht="18.75" customHeight="1">
      <c r="A1130" s="80" t="s">
        <v>427</v>
      </c>
      <c r="B1130" s="81" t="str">
        <f t="shared" si="1"/>
        <v>Kota Malang</v>
      </c>
      <c r="C1130" s="81" t="str">
        <f t="array" ref="C1130">XLOOKUP(B1130,Reference!$A$2:$A$152,Reference!$B$2:$B$152)</f>
        <v>Jawa Timur</v>
      </c>
      <c r="D1130" s="82" t="s">
        <v>1569</v>
      </c>
      <c r="E1130" s="83">
        <v>45323.0</v>
      </c>
      <c r="F1130" s="84" t="str">
        <f t="array" ref="F1130">XLOOKUP(G1130,Reference!$F:$F,Reference!$D:$D,"null")</f>
        <v>Rekreasi dan Kendaraan</v>
      </c>
      <c r="G1130" s="89" t="s">
        <v>105</v>
      </c>
      <c r="H1130" s="90">
        <v>103.72</v>
      </c>
      <c r="I1130" s="90">
        <v>103.72</v>
      </c>
      <c r="J1130" s="87">
        <f t="shared" si="2"/>
        <v>0</v>
      </c>
      <c r="K1130" s="84" t="str">
        <f t="shared" si="3"/>
        <v>Stabil</v>
      </c>
      <c r="L1130" s="91">
        <f t="shared" si="4"/>
        <v>0</v>
      </c>
      <c r="M1130" s="88" t="str">
        <f t="shared" si="5"/>
        <v>Perubahan Normal</v>
      </c>
    </row>
    <row r="1131" ht="18.75" customHeight="1">
      <c r="A1131" s="80" t="s">
        <v>460</v>
      </c>
      <c r="B1131" s="81" t="str">
        <f t="shared" si="1"/>
        <v>Kab Kayong Utara</v>
      </c>
      <c r="C1131" s="81" t="str">
        <f t="array" ref="C1131">XLOOKUP(B1131,Reference!$A$2:$A$152,Reference!$B$2:$B$152)</f>
        <v>Kalimantan Barat</v>
      </c>
      <c r="D1131" s="82" t="s">
        <v>1570</v>
      </c>
      <c r="E1131" s="83">
        <v>45352.0</v>
      </c>
      <c r="F1131" s="84" t="str">
        <f t="array" ref="F1131">XLOOKUP(G1131,Reference!$F:$F,Reference!$D:$D,"null")</f>
        <v>Rumah Tangga</v>
      </c>
      <c r="G1131" s="85" t="s">
        <v>89</v>
      </c>
      <c r="H1131" s="86">
        <v>106.66</v>
      </c>
      <c r="I1131" s="86">
        <v>106.39</v>
      </c>
      <c r="J1131" s="87">
        <f t="shared" si="2"/>
        <v>0.2537832503</v>
      </c>
      <c r="K1131" s="84" t="str">
        <f t="shared" si="3"/>
        <v>Inflasi Normal</v>
      </c>
      <c r="L1131" s="84">
        <f t="shared" si="4"/>
        <v>0.27</v>
      </c>
      <c r="M1131" s="88" t="str">
        <f t="shared" si="5"/>
        <v>Perubahan Normal</v>
      </c>
    </row>
    <row r="1132" ht="18.75" customHeight="1">
      <c r="A1132" s="80" t="s">
        <v>764</v>
      </c>
      <c r="B1132" s="81" t="str">
        <f t="shared" si="1"/>
        <v>Kota Madiun</v>
      </c>
      <c r="C1132" s="81" t="str">
        <f t="array" ref="C1132">XLOOKUP(B1132,Reference!$A$2:$A$152,Reference!$B$2:$B$152)</f>
        <v>Jawa Timur</v>
      </c>
      <c r="D1132" s="82" t="s">
        <v>1571</v>
      </c>
      <c r="E1132" s="83">
        <v>45352.0</v>
      </c>
      <c r="F1132" s="84" t="str">
        <f t="array" ref="F1132">XLOOKUP(G1132,Reference!$F:$F,Reference!$D:$D,"null")</f>
        <v>Rumah Tangga</v>
      </c>
      <c r="G1132" s="89" t="s">
        <v>80</v>
      </c>
      <c r="H1132" s="90">
        <v>100.28</v>
      </c>
      <c r="I1132" s="90">
        <v>100.28</v>
      </c>
      <c r="J1132" s="87">
        <f t="shared" si="2"/>
        <v>0</v>
      </c>
      <c r="K1132" s="84" t="str">
        <f t="shared" si="3"/>
        <v>Stabil</v>
      </c>
      <c r="L1132" s="91">
        <f t="shared" si="4"/>
        <v>0</v>
      </c>
      <c r="M1132" s="88" t="str">
        <f t="shared" si="5"/>
        <v>Perubahan Normal</v>
      </c>
    </row>
    <row r="1133" ht="18.75" customHeight="1">
      <c r="A1133" s="80" t="s">
        <v>374</v>
      </c>
      <c r="B1133" s="81" t="str">
        <f t="shared" si="1"/>
        <v>Kab Majalengka</v>
      </c>
      <c r="C1133" s="81" t="str">
        <f t="array" ref="C1133">XLOOKUP(B1133,Reference!$A$2:$A$152,Reference!$B$2:$B$152)</f>
        <v>Jawa Barat</v>
      </c>
      <c r="D1133" s="82" t="s">
        <v>1572</v>
      </c>
      <c r="E1133" s="83">
        <v>45352.0</v>
      </c>
      <c r="F1133" s="84" t="str">
        <f t="array" ref="F1133">XLOOKUP(G1133,Reference!$F:$F,Reference!$D:$D,"null")</f>
        <v>Pendidikan dan Kesehatan</v>
      </c>
      <c r="G1133" s="85" t="s">
        <v>98</v>
      </c>
      <c r="H1133" s="86">
        <v>103.89</v>
      </c>
      <c r="I1133" s="86">
        <v>103.37</v>
      </c>
      <c r="J1133" s="87">
        <f t="shared" si="2"/>
        <v>0.5030473058</v>
      </c>
      <c r="K1133" s="84" t="str">
        <f t="shared" si="3"/>
        <v>Inflasi Normal</v>
      </c>
      <c r="L1133" s="84">
        <f t="shared" si="4"/>
        <v>0.52</v>
      </c>
      <c r="M1133" s="88" t="str">
        <f t="shared" si="5"/>
        <v>Akselerasi Persentase</v>
      </c>
    </row>
    <row r="1134" ht="18.75" customHeight="1">
      <c r="A1134" s="80" t="s">
        <v>669</v>
      </c>
      <c r="B1134" s="81" t="str">
        <f t="shared" si="1"/>
        <v>Kab Sidenreng Rappang</v>
      </c>
      <c r="C1134" s="81" t="str">
        <f t="array" ref="C1134">XLOOKUP(B1134,Reference!$A$2:$A$152,Reference!$B$2:$B$152)</f>
        <v>Sulawesi Selatan</v>
      </c>
      <c r="D1134" s="82" t="s">
        <v>1573</v>
      </c>
      <c r="E1134" s="83">
        <v>45323.0</v>
      </c>
      <c r="F1134" s="84" t="str">
        <f t="array" ref="F1134">XLOOKUP(G1134,Reference!$F:$F,Reference!$D:$D,"null")</f>
        <v>Rekreasi dan Kendaraan</v>
      </c>
      <c r="G1134" s="85" t="s">
        <v>102</v>
      </c>
      <c r="H1134" s="86">
        <v>101.03</v>
      </c>
      <c r="I1134" s="86">
        <v>101.03</v>
      </c>
      <c r="J1134" s="87">
        <f t="shared" si="2"/>
        <v>0</v>
      </c>
      <c r="K1134" s="84" t="str">
        <f t="shared" si="3"/>
        <v>Stabil</v>
      </c>
      <c r="L1134" s="84">
        <f t="shared" si="4"/>
        <v>0</v>
      </c>
      <c r="M1134" s="88" t="str">
        <f t="shared" si="5"/>
        <v>Perubahan Normal</v>
      </c>
    </row>
    <row r="1135" ht="18.75" customHeight="1">
      <c r="A1135" s="80" t="s">
        <v>353</v>
      </c>
      <c r="B1135" s="81" t="str">
        <f t="shared" si="1"/>
        <v>Kota Bau Bau</v>
      </c>
      <c r="C1135" s="81" t="str">
        <f t="array" ref="C1135">XLOOKUP(B1135,Reference!$A$2:$A$152,Reference!$B$2:$B$152)</f>
        <v>Sulawesi Tenggara</v>
      </c>
      <c r="D1135" s="82" t="s">
        <v>1574</v>
      </c>
      <c r="E1135" s="83">
        <v>45323.0</v>
      </c>
      <c r="F1135" s="84" t="str">
        <f t="array" ref="F1135">XLOOKUP(G1135,Reference!$F:$F,Reference!$D:$D,"null")</f>
        <v>Rumah Tangga</v>
      </c>
      <c r="G1135" s="85" t="s">
        <v>80</v>
      </c>
      <c r="H1135" s="86">
        <v>104.27</v>
      </c>
      <c r="I1135" s="86">
        <v>104.27</v>
      </c>
      <c r="J1135" s="87">
        <f t="shared" si="2"/>
        <v>0</v>
      </c>
      <c r="K1135" s="84" t="str">
        <f t="shared" si="3"/>
        <v>Stabil</v>
      </c>
      <c r="L1135" s="84">
        <f t="shared" si="4"/>
        <v>0</v>
      </c>
      <c r="M1135" s="88" t="str">
        <f t="shared" si="5"/>
        <v>Perubahan Normal</v>
      </c>
    </row>
    <row r="1136" ht="18.75" customHeight="1">
      <c r="A1136" s="80" t="s">
        <v>1031</v>
      </c>
      <c r="B1136" s="81" t="str">
        <f t="shared" si="1"/>
        <v>Kab Majene</v>
      </c>
      <c r="C1136" s="81" t="str">
        <f t="array" ref="C1136">XLOOKUP(B1136,Reference!$A$2:$A$152,Reference!$B$2:$B$152)</f>
        <v>Sulawesi Barat</v>
      </c>
      <c r="D1136" s="82" t="s">
        <v>1575</v>
      </c>
      <c r="E1136" s="83">
        <v>45323.0</v>
      </c>
      <c r="F1136" s="84" t="str">
        <f t="array" ref="F1136">XLOOKUP(G1136,Reference!$F:$F,Reference!$D:$D,"null")</f>
        <v>Rumah Tangga</v>
      </c>
      <c r="G1136" s="85" t="s">
        <v>84</v>
      </c>
      <c r="H1136" s="86">
        <v>100.07</v>
      </c>
      <c r="I1136" s="86">
        <v>100.07</v>
      </c>
      <c r="J1136" s="87">
        <f t="shared" si="2"/>
        <v>0</v>
      </c>
      <c r="K1136" s="84" t="str">
        <f t="shared" si="3"/>
        <v>Stabil</v>
      </c>
      <c r="L1136" s="84">
        <f t="shared" si="4"/>
        <v>0</v>
      </c>
      <c r="M1136" s="88" t="str">
        <f t="shared" si="5"/>
        <v>Perubahan Normal</v>
      </c>
    </row>
    <row r="1137" ht="18.75" customHeight="1">
      <c r="A1137" s="80" t="s">
        <v>389</v>
      </c>
      <c r="B1137" s="81" t="str">
        <f t="shared" si="1"/>
        <v>Tembilahan</v>
      </c>
      <c r="C1137" s="81" t="str">
        <f t="array" ref="C1137">XLOOKUP(B1137,Reference!$A$2:$A$152,Reference!$B$2:$B$152)</f>
        <v>Riau</v>
      </c>
      <c r="D1137" s="82" t="s">
        <v>1576</v>
      </c>
      <c r="E1137" s="83">
        <v>45352.0</v>
      </c>
      <c r="F1137" s="84" t="str">
        <f t="array" ref="F1137">XLOOKUP(G1137,Reference!$F:$F,Reference!$D:$D,"null")</f>
        <v>Rekreasi dan Kendaraan</v>
      </c>
      <c r="G1137" s="85" t="s">
        <v>102</v>
      </c>
      <c r="H1137" s="86">
        <v>101.74</v>
      </c>
      <c r="I1137" s="86">
        <v>101.74</v>
      </c>
      <c r="J1137" s="87">
        <f t="shared" si="2"/>
        <v>0</v>
      </c>
      <c r="K1137" s="84" t="str">
        <f t="shared" si="3"/>
        <v>Stabil</v>
      </c>
      <c r="L1137" s="84">
        <f t="shared" si="4"/>
        <v>0</v>
      </c>
      <c r="M1137" s="88" t="str">
        <f t="shared" si="5"/>
        <v>Perubahan Normal</v>
      </c>
    </row>
    <row r="1138" ht="18.75" customHeight="1">
      <c r="A1138" s="80" t="s">
        <v>550</v>
      </c>
      <c r="B1138" s="81" t="str">
        <f t="shared" si="1"/>
        <v>Kota Sukabumi</v>
      </c>
      <c r="C1138" s="81" t="str">
        <f t="array" ref="C1138">XLOOKUP(B1138,Reference!$A$2:$A$152,Reference!$B$2:$B$152)</f>
        <v>Jawa Barat</v>
      </c>
      <c r="D1138" s="82" t="s">
        <v>1577</v>
      </c>
      <c r="E1138" s="83">
        <v>45323.0</v>
      </c>
      <c r="F1138" s="84" t="str">
        <f t="array" ref="F1138">XLOOKUP(G1138,Reference!$F:$F,Reference!$D:$D,"null")</f>
        <v>Makanan dan Pakaian </v>
      </c>
      <c r="G1138" s="85" t="s">
        <v>64</v>
      </c>
      <c r="H1138" s="86">
        <v>105.39</v>
      </c>
      <c r="I1138" s="86">
        <v>105.35</v>
      </c>
      <c r="J1138" s="87">
        <f t="shared" si="2"/>
        <v>0.03796867584</v>
      </c>
      <c r="K1138" s="84" t="str">
        <f t="shared" si="3"/>
        <v>Inflasi Normal</v>
      </c>
      <c r="L1138" s="84">
        <f t="shared" si="4"/>
        <v>0.04</v>
      </c>
      <c r="M1138" s="88" t="str">
        <f t="shared" si="5"/>
        <v>Perubahan Normal</v>
      </c>
    </row>
    <row r="1139" ht="18.75" customHeight="1">
      <c r="A1139" s="80" t="s">
        <v>450</v>
      </c>
      <c r="B1139" s="81" t="str">
        <f t="shared" si="1"/>
        <v>Waingapu</v>
      </c>
      <c r="C1139" s="81" t="str">
        <f t="array" ref="C1139">XLOOKUP(B1139,Reference!$A$2:$A$152,Reference!$B$2:$B$152)</f>
        <v>Nusa Tenggara Timur (NTT)</v>
      </c>
      <c r="D1139" s="82" t="s">
        <v>1578</v>
      </c>
      <c r="E1139" s="83">
        <v>45352.0</v>
      </c>
      <c r="F1139" s="84" t="str">
        <f t="array" ref="F1139">XLOOKUP(G1139,Reference!$F:$F,Reference!$D:$D,"null")</f>
        <v>Rumah Tangga</v>
      </c>
      <c r="G1139" s="85" t="s">
        <v>84</v>
      </c>
      <c r="H1139" s="86">
        <v>100.12</v>
      </c>
      <c r="I1139" s="86">
        <v>100.12</v>
      </c>
      <c r="J1139" s="87">
        <f t="shared" si="2"/>
        <v>0</v>
      </c>
      <c r="K1139" s="84" t="str">
        <f t="shared" si="3"/>
        <v>Stabil</v>
      </c>
      <c r="L1139" s="84">
        <f t="shared" si="4"/>
        <v>0</v>
      </c>
      <c r="M1139" s="88" t="str">
        <f t="shared" si="5"/>
        <v>Perubahan Normal</v>
      </c>
    </row>
    <row r="1140" ht="18.75" customHeight="1">
      <c r="A1140" s="80" t="s">
        <v>578</v>
      </c>
      <c r="B1140" s="81" t="str">
        <f t="shared" si="1"/>
        <v>Kab Belitung Timur</v>
      </c>
      <c r="C1140" s="81" t="str">
        <f t="array" ref="C1140">XLOOKUP(B1140,Reference!$A$2:$A$152,Reference!$B$2:$B$152)</f>
        <v>Kepulauan Bangka Belitung</v>
      </c>
      <c r="D1140" s="82" t="s">
        <v>1579</v>
      </c>
      <c r="E1140" s="83">
        <v>45323.0</v>
      </c>
      <c r="F1140" s="84" t="str">
        <f t="array" ref="F1140">XLOOKUP(G1140,Reference!$F:$F,Reference!$D:$D,"null")</f>
        <v>Makanan dan Pakaian </v>
      </c>
      <c r="G1140" s="89" t="s">
        <v>72</v>
      </c>
      <c r="H1140" s="90">
        <v>99.02</v>
      </c>
      <c r="I1140" s="90">
        <v>99.02</v>
      </c>
      <c r="J1140" s="87">
        <f t="shared" si="2"/>
        <v>0</v>
      </c>
      <c r="K1140" s="84" t="str">
        <f t="shared" si="3"/>
        <v>Stabil</v>
      </c>
      <c r="L1140" s="91">
        <f t="shared" si="4"/>
        <v>0</v>
      </c>
      <c r="M1140" s="88" t="str">
        <f t="shared" si="5"/>
        <v>Perubahan Normal</v>
      </c>
    </row>
    <row r="1141" ht="18.75" customHeight="1">
      <c r="A1141" s="80" t="s">
        <v>433</v>
      </c>
      <c r="B1141" s="81" t="str">
        <f t="shared" si="1"/>
        <v>Kab Tulungagung</v>
      </c>
      <c r="C1141" s="81" t="str">
        <f t="array" ref="C1141">XLOOKUP(B1141,Reference!$A$2:$A$152,Reference!$B$2:$B$152)</f>
        <v>Jawa Timur</v>
      </c>
      <c r="D1141" s="82" t="s">
        <v>1580</v>
      </c>
      <c r="E1141" s="83">
        <v>45352.0</v>
      </c>
      <c r="F1141" s="84" t="str">
        <f t="array" ref="F1141">XLOOKUP(G1141,Reference!$F:$F,Reference!$D:$D,"null")</f>
        <v>Rekreasi dan Kendaraan</v>
      </c>
      <c r="G1141" s="85" t="s">
        <v>105</v>
      </c>
      <c r="H1141" s="86">
        <v>100.9</v>
      </c>
      <c r="I1141" s="86">
        <v>100.9</v>
      </c>
      <c r="J1141" s="87">
        <f t="shared" si="2"/>
        <v>0</v>
      </c>
      <c r="K1141" s="84" t="str">
        <f t="shared" si="3"/>
        <v>Stabil</v>
      </c>
      <c r="L1141" s="84">
        <f t="shared" si="4"/>
        <v>0</v>
      </c>
      <c r="M1141" s="88" t="str">
        <f t="shared" si="5"/>
        <v>Perubahan Normal</v>
      </c>
    </row>
    <row r="1142" ht="18.75" customHeight="1">
      <c r="A1142" s="80" t="s">
        <v>355</v>
      </c>
      <c r="B1142" s="81" t="str">
        <f t="shared" si="1"/>
        <v>Kota Gorontalo</v>
      </c>
      <c r="C1142" s="81" t="str">
        <f t="array" ref="C1142">XLOOKUP(B1142,Reference!$A$2:$A$152,Reference!$B$2:$B$152)</f>
        <v>Gorontalo</v>
      </c>
      <c r="D1142" s="82" t="s">
        <v>1581</v>
      </c>
      <c r="E1142" s="83">
        <v>45323.0</v>
      </c>
      <c r="F1142" s="84" t="str">
        <f t="array" ref="F1142">XLOOKUP(G1142,Reference!$F:$F,Reference!$D:$D,"null")</f>
        <v>Rekreasi dan Kendaraan</v>
      </c>
      <c r="G1142" s="85" t="s">
        <v>105</v>
      </c>
      <c r="H1142" s="86">
        <v>103.53</v>
      </c>
      <c r="I1142" s="86">
        <v>103.52</v>
      </c>
      <c r="J1142" s="87">
        <f t="shared" si="2"/>
        <v>0.009659969088</v>
      </c>
      <c r="K1142" s="84" t="str">
        <f t="shared" si="3"/>
        <v>Inflasi Normal</v>
      </c>
      <c r="L1142" s="84">
        <f t="shared" si="4"/>
        <v>0.01</v>
      </c>
      <c r="M1142" s="88" t="str">
        <f t="shared" si="5"/>
        <v>Perubahan Normal</v>
      </c>
    </row>
    <row r="1143" ht="18.75" customHeight="1">
      <c r="A1143" s="80" t="s">
        <v>326</v>
      </c>
      <c r="B1143" s="81" t="str">
        <f t="shared" si="1"/>
        <v>Luwuk</v>
      </c>
      <c r="C1143" s="81" t="str">
        <f t="array" ref="C1143">XLOOKUP(B1143,Reference!$A$2:$A$152,Reference!$B$2:$B$152)</f>
        <v>Sulawesi Tengah</v>
      </c>
      <c r="D1143" s="82" t="s">
        <v>1582</v>
      </c>
      <c r="E1143" s="83">
        <v>45352.0</v>
      </c>
      <c r="F1143" s="84" t="str">
        <f t="array" ref="F1143">XLOOKUP(G1143,Reference!$F:$F,Reference!$D:$D,"null")</f>
        <v>Rumah Tangga</v>
      </c>
      <c r="G1143" s="85" t="s">
        <v>80</v>
      </c>
      <c r="H1143" s="86">
        <v>105.57</v>
      </c>
      <c r="I1143" s="86">
        <v>105.45</v>
      </c>
      <c r="J1143" s="87">
        <f t="shared" si="2"/>
        <v>0.1137980085</v>
      </c>
      <c r="K1143" s="84" t="str">
        <f t="shared" si="3"/>
        <v>Inflasi Normal</v>
      </c>
      <c r="L1143" s="84">
        <f t="shared" si="4"/>
        <v>0.12</v>
      </c>
      <c r="M1143" s="88" t="str">
        <f t="shared" si="5"/>
        <v>Perubahan Normal</v>
      </c>
    </row>
    <row r="1144" ht="18.75" customHeight="1">
      <c r="A1144" s="80" t="s">
        <v>404</v>
      </c>
      <c r="B1144" s="81" t="str">
        <f t="shared" si="1"/>
        <v>Kab Mesuji</v>
      </c>
      <c r="C1144" s="81" t="str">
        <f t="array" ref="C1144">XLOOKUP(B1144,Reference!$A$2:$A$152,Reference!$B$2:$B$152)</f>
        <v>Lampung</v>
      </c>
      <c r="D1144" s="82" t="s">
        <v>1583</v>
      </c>
      <c r="E1144" s="83">
        <v>45323.0</v>
      </c>
      <c r="F1144" s="84" t="str">
        <f t="array" ref="F1144">XLOOKUP(G1144,Reference!$F:$F,Reference!$D:$D,"null")</f>
        <v>Rumah Tangga</v>
      </c>
      <c r="G1144" s="85" t="s">
        <v>84</v>
      </c>
      <c r="H1144" s="86">
        <v>106.86</v>
      </c>
      <c r="I1144" s="86">
        <v>106.98</v>
      </c>
      <c r="J1144" s="87">
        <f t="shared" si="2"/>
        <v>-0.1121704992</v>
      </c>
      <c r="K1144" s="84" t="str">
        <f t="shared" si="3"/>
        <v>Deflasi</v>
      </c>
      <c r="L1144" s="84">
        <f t="shared" si="4"/>
        <v>-0.12</v>
      </c>
      <c r="M1144" s="88" t="str">
        <f t="shared" si="5"/>
        <v>Perubahan Normal</v>
      </c>
    </row>
    <row r="1145" ht="18.75" customHeight="1">
      <c r="A1145" s="80" t="s">
        <v>395</v>
      </c>
      <c r="B1145" s="81" t="str">
        <f t="shared" si="1"/>
        <v>Kota Bukittinggi</v>
      </c>
      <c r="C1145" s="81" t="str">
        <f t="array" ref="C1145">XLOOKUP(B1145,Reference!$A$2:$A$152,Reference!$B$2:$B$152)</f>
        <v>Sumatera Barat</v>
      </c>
      <c r="D1145" s="82" t="s">
        <v>1584</v>
      </c>
      <c r="E1145" s="83">
        <v>45352.0</v>
      </c>
      <c r="F1145" s="84" t="str">
        <f t="array" ref="F1145">XLOOKUP(G1145,Reference!$F:$F,Reference!$D:$D,"null")</f>
        <v>Pendidikan dan Kesehatan</v>
      </c>
      <c r="G1145" s="85" t="s">
        <v>95</v>
      </c>
      <c r="H1145" s="86">
        <v>105.88</v>
      </c>
      <c r="I1145" s="86">
        <v>105.88</v>
      </c>
      <c r="J1145" s="87">
        <f t="shared" si="2"/>
        <v>0</v>
      </c>
      <c r="K1145" s="84" t="str">
        <f t="shared" si="3"/>
        <v>Stabil</v>
      </c>
      <c r="L1145" s="84">
        <f t="shared" si="4"/>
        <v>0</v>
      </c>
      <c r="M1145" s="88" t="str">
        <f t="shared" si="5"/>
        <v>Perubahan Normal</v>
      </c>
    </row>
    <row r="1146" ht="18.75" customHeight="1">
      <c r="A1146" s="80" t="s">
        <v>925</v>
      </c>
      <c r="B1146" s="81" t="str">
        <f t="shared" si="1"/>
        <v>Kota Jakarta</v>
      </c>
      <c r="C1146" s="81" t="str">
        <f t="array" ref="C1146">XLOOKUP(B1146,Reference!$A$2:$A$152,Reference!$B$2:$B$152)</f>
        <v>DKI Jakarta</v>
      </c>
      <c r="D1146" s="82" t="s">
        <v>1585</v>
      </c>
      <c r="E1146" s="83">
        <v>45352.0</v>
      </c>
      <c r="F1146" s="84" t="str">
        <f t="array" ref="F1146">XLOOKUP(G1146,Reference!$F:$F,Reference!$D:$D,"null")</f>
        <v>Pendidikan dan Kesehatan</v>
      </c>
      <c r="G1146" s="85" t="s">
        <v>95</v>
      </c>
      <c r="H1146" s="86">
        <v>102.88</v>
      </c>
      <c r="I1146" s="86">
        <v>102.36</v>
      </c>
      <c r="J1146" s="87">
        <f t="shared" si="2"/>
        <v>0.5080109418</v>
      </c>
      <c r="K1146" s="84" t="str">
        <f t="shared" si="3"/>
        <v>Inflasi Normal</v>
      </c>
      <c r="L1146" s="84">
        <f t="shared" si="4"/>
        <v>0.52</v>
      </c>
      <c r="M1146" s="88" t="str">
        <f t="shared" si="5"/>
        <v>Akselerasi Persentase</v>
      </c>
    </row>
    <row r="1147" ht="18.75" customHeight="1">
      <c r="A1147" s="80" t="s">
        <v>324</v>
      </c>
      <c r="B1147" s="81" t="str">
        <f t="shared" si="1"/>
        <v>Kab Nunukan</v>
      </c>
      <c r="C1147" s="81" t="str">
        <f t="array" ref="C1147">XLOOKUP(B1147,Reference!$A$2:$A$152,Reference!$B$2:$B$152)</f>
        <v>Kalimantan Utara</v>
      </c>
      <c r="D1147" s="82" t="s">
        <v>1586</v>
      </c>
      <c r="E1147" s="83">
        <v>45352.0</v>
      </c>
      <c r="F1147" s="84" t="str">
        <f t="array" ref="F1147">XLOOKUP(G1147,Reference!$F:$F,Reference!$D:$D,"null")</f>
        <v>Rumah Tangga</v>
      </c>
      <c r="G1147" s="85" t="s">
        <v>80</v>
      </c>
      <c r="H1147" s="86">
        <v>100.0</v>
      </c>
      <c r="I1147" s="86">
        <v>100.0</v>
      </c>
      <c r="J1147" s="87">
        <f t="shared" si="2"/>
        <v>0</v>
      </c>
      <c r="K1147" s="84" t="str">
        <f t="shared" si="3"/>
        <v>Stabil</v>
      </c>
      <c r="L1147" s="84">
        <f t="shared" si="4"/>
        <v>0</v>
      </c>
      <c r="M1147" s="88" t="str">
        <f t="shared" si="5"/>
        <v>Perubahan Normal</v>
      </c>
    </row>
    <row r="1148" ht="18.75" customHeight="1">
      <c r="A1148" s="80" t="s">
        <v>331</v>
      </c>
      <c r="B1148" s="81" t="str">
        <f t="shared" si="1"/>
        <v>Kota Lhokseumawe</v>
      </c>
      <c r="C1148" s="81" t="str">
        <f t="array" ref="C1148">XLOOKUP(B1148,Reference!$A$2:$A$152,Reference!$B$2:$B$152)</f>
        <v>Aceh</v>
      </c>
      <c r="D1148" s="82" t="s">
        <v>1587</v>
      </c>
      <c r="E1148" s="83">
        <v>45323.0</v>
      </c>
      <c r="F1148" s="84" t="str">
        <f t="array" ref="F1148">XLOOKUP(G1148,Reference!$F:$F,Reference!$D:$D,"null")</f>
        <v>Rumah Tangga</v>
      </c>
      <c r="G1148" s="85" t="s">
        <v>89</v>
      </c>
      <c r="H1148" s="86">
        <v>102.51</v>
      </c>
      <c r="I1148" s="86">
        <v>102.51</v>
      </c>
      <c r="J1148" s="87">
        <f t="shared" si="2"/>
        <v>0</v>
      </c>
      <c r="K1148" s="84" t="str">
        <f t="shared" si="3"/>
        <v>Stabil</v>
      </c>
      <c r="L1148" s="84">
        <f t="shared" si="4"/>
        <v>0</v>
      </c>
      <c r="M1148" s="88" t="str">
        <f t="shared" si="5"/>
        <v>Perubahan Normal</v>
      </c>
    </row>
    <row r="1149" ht="18.75" customHeight="1">
      <c r="A1149" s="80" t="s">
        <v>431</v>
      </c>
      <c r="B1149" s="81" t="str">
        <f t="shared" si="1"/>
        <v>Kota Ternate</v>
      </c>
      <c r="C1149" s="81" t="str">
        <f t="array" ref="C1149">XLOOKUP(B1149,Reference!$A$2:$A$152,Reference!$B$2:$B$152)</f>
        <v>Maluku Utara</v>
      </c>
      <c r="D1149" s="82" t="s">
        <v>1588</v>
      </c>
      <c r="E1149" s="83">
        <v>45352.0</v>
      </c>
      <c r="F1149" s="84" t="str">
        <f t="array" ref="F1149">XLOOKUP(G1149,Reference!$F:$F,Reference!$D:$D,"null")</f>
        <v>Makanan dan Pakaian </v>
      </c>
      <c r="G1149" s="85" t="s">
        <v>72</v>
      </c>
      <c r="H1149" s="86">
        <v>104.45</v>
      </c>
      <c r="I1149" s="86">
        <v>104.45</v>
      </c>
      <c r="J1149" s="87">
        <f t="shared" si="2"/>
        <v>0</v>
      </c>
      <c r="K1149" s="84" t="str">
        <f t="shared" si="3"/>
        <v>Stabil</v>
      </c>
      <c r="L1149" s="84">
        <f t="shared" si="4"/>
        <v>0</v>
      </c>
      <c r="M1149" s="88" t="str">
        <f t="shared" si="5"/>
        <v>Perubahan Normal</v>
      </c>
    </row>
    <row r="1150" ht="18.75" customHeight="1">
      <c r="A1150" s="80" t="s">
        <v>558</v>
      </c>
      <c r="B1150" s="81" t="str">
        <f t="shared" si="1"/>
        <v>Kab Kapuas</v>
      </c>
      <c r="C1150" s="81" t="str">
        <f t="array" ref="C1150">XLOOKUP(B1150,Reference!$A$2:$A$152,Reference!$B$2:$B$152)</f>
        <v>Kalimantan Tengah</v>
      </c>
      <c r="D1150" s="82" t="s">
        <v>1589</v>
      </c>
      <c r="E1150" s="83">
        <v>45352.0</v>
      </c>
      <c r="F1150" s="84" t="str">
        <f t="array" ref="F1150">XLOOKUP(G1150,Reference!$F:$F,Reference!$D:$D,"null")</f>
        <v>Makanan dan Pakaian </v>
      </c>
      <c r="G1150" s="85" t="s">
        <v>72</v>
      </c>
      <c r="H1150" s="86">
        <v>105.41</v>
      </c>
      <c r="I1150" s="86">
        <v>104.93</v>
      </c>
      <c r="J1150" s="87">
        <f t="shared" si="2"/>
        <v>0.4574478224</v>
      </c>
      <c r="K1150" s="84" t="str">
        <f t="shared" si="3"/>
        <v>Inflasi Normal</v>
      </c>
      <c r="L1150" s="84">
        <f t="shared" si="4"/>
        <v>0.48</v>
      </c>
      <c r="M1150" s="88" t="str">
        <f t="shared" si="5"/>
        <v>Perubahan Normal</v>
      </c>
    </row>
    <row r="1151" ht="18.75" customHeight="1">
      <c r="A1151" s="80" t="s">
        <v>458</v>
      </c>
      <c r="B1151" s="81" t="str">
        <f t="shared" si="1"/>
        <v>Kota Dumai</v>
      </c>
      <c r="C1151" s="81" t="str">
        <f t="array" ref="C1151">XLOOKUP(B1151,Reference!$A$2:$A$152,Reference!$B$2:$B$152)</f>
        <v>Riau</v>
      </c>
      <c r="D1151" s="82" t="s">
        <v>1590</v>
      </c>
      <c r="E1151" s="83">
        <v>45352.0</v>
      </c>
      <c r="F1151" s="84" t="str">
        <f t="array" ref="F1151">XLOOKUP(G1151,Reference!$F:$F,Reference!$D:$D,"null")</f>
        <v>Pendidikan dan Kesehatan</v>
      </c>
      <c r="G1151" s="85" t="s">
        <v>98</v>
      </c>
      <c r="H1151" s="86">
        <v>106.27</v>
      </c>
      <c r="I1151" s="86">
        <v>106.1</v>
      </c>
      <c r="J1151" s="87">
        <f t="shared" si="2"/>
        <v>0.1602262017</v>
      </c>
      <c r="K1151" s="84" t="str">
        <f t="shared" si="3"/>
        <v>Inflasi Normal</v>
      </c>
      <c r="L1151" s="84">
        <f t="shared" si="4"/>
        <v>0.17</v>
      </c>
      <c r="M1151" s="88" t="str">
        <f t="shared" si="5"/>
        <v>Perubahan Normal</v>
      </c>
    </row>
    <row r="1152" ht="18.75" customHeight="1">
      <c r="A1152" s="80" t="s">
        <v>340</v>
      </c>
      <c r="B1152" s="81" t="str">
        <f t="shared" si="1"/>
        <v>Kab Rembang</v>
      </c>
      <c r="C1152" s="81" t="str">
        <f t="array" ref="C1152">XLOOKUP(B1152,Reference!$A$2:$A$152,Reference!$B$2:$B$152)</f>
        <v>Jawa Tengah</v>
      </c>
      <c r="D1152" s="82" t="s">
        <v>1591</v>
      </c>
      <c r="E1152" s="83">
        <v>45352.0</v>
      </c>
      <c r="F1152" s="84" t="str">
        <f t="array" ref="F1152">XLOOKUP(G1152,Reference!$F:$F,Reference!$D:$D,"null")</f>
        <v>Pendidikan dan Kesehatan</v>
      </c>
      <c r="G1152" s="85" t="s">
        <v>98</v>
      </c>
      <c r="H1152" s="86">
        <v>103.83</v>
      </c>
      <c r="I1152" s="86">
        <v>103.25</v>
      </c>
      <c r="J1152" s="87">
        <f t="shared" si="2"/>
        <v>0.5617433414</v>
      </c>
      <c r="K1152" s="84" t="str">
        <f t="shared" si="3"/>
        <v>Inflasi Tinggi</v>
      </c>
      <c r="L1152" s="84">
        <f t="shared" si="4"/>
        <v>0.58</v>
      </c>
      <c r="M1152" s="88" t="str">
        <f t="shared" si="5"/>
        <v>Akselerasi Persentase</v>
      </c>
    </row>
    <row r="1153" ht="18.75" customHeight="1">
      <c r="A1153" s="80" t="s">
        <v>471</v>
      </c>
      <c r="B1153" s="81" t="str">
        <f t="shared" si="1"/>
        <v>Kab Gunungkidul</v>
      </c>
      <c r="C1153" s="81" t="str">
        <f t="array" ref="C1153">XLOOKUP(B1153,Reference!$A$2:$A$152,Reference!$B$2:$B$152)</f>
        <v>D.I. Yogyakarta</v>
      </c>
      <c r="D1153" s="82" t="s">
        <v>1592</v>
      </c>
      <c r="E1153" s="83">
        <v>45352.0</v>
      </c>
      <c r="F1153" s="84" t="str">
        <f t="array" ref="F1153">XLOOKUP(G1153,Reference!$F:$F,Reference!$D:$D,"null")</f>
        <v>Makanan dan Pakaian </v>
      </c>
      <c r="G1153" s="85" t="s">
        <v>72</v>
      </c>
      <c r="H1153" s="86">
        <v>100.93</v>
      </c>
      <c r="I1153" s="86">
        <v>100.92</v>
      </c>
      <c r="J1153" s="87">
        <f t="shared" si="2"/>
        <v>0.009908838684</v>
      </c>
      <c r="K1153" s="84" t="str">
        <f t="shared" si="3"/>
        <v>Inflasi Normal</v>
      </c>
      <c r="L1153" s="84">
        <f t="shared" si="4"/>
        <v>0.01</v>
      </c>
      <c r="M1153" s="88" t="str">
        <f t="shared" si="5"/>
        <v>Perubahan Normal</v>
      </c>
    </row>
    <row r="1154" ht="18.75" customHeight="1">
      <c r="A1154" s="80" t="s">
        <v>294</v>
      </c>
      <c r="B1154" s="81" t="str">
        <f t="shared" si="1"/>
        <v>Kab Labuhanbatu</v>
      </c>
      <c r="C1154" s="81" t="str">
        <f t="array" ref="C1154">XLOOKUP(B1154,Reference!$A$2:$A$152,Reference!$B$2:$B$152)</f>
        <v>Sumatera Utara</v>
      </c>
      <c r="D1154" s="82" t="s">
        <v>1593</v>
      </c>
      <c r="E1154" s="83">
        <v>45352.0</v>
      </c>
      <c r="F1154" s="84" t="str">
        <f t="array" ref="F1154">XLOOKUP(G1154,Reference!$F:$F,Reference!$D:$D,"null")</f>
        <v>Pendidikan dan Kesehatan</v>
      </c>
      <c r="G1154" s="85" t="s">
        <v>98</v>
      </c>
      <c r="H1154" s="86">
        <v>119.32</v>
      </c>
      <c r="I1154" s="86">
        <v>118.97</v>
      </c>
      <c r="J1154" s="87">
        <f t="shared" si="2"/>
        <v>0.2941918131</v>
      </c>
      <c r="K1154" s="84" t="str">
        <f t="shared" si="3"/>
        <v>Inflasi Normal</v>
      </c>
      <c r="L1154" s="84">
        <f t="shared" si="4"/>
        <v>0.35</v>
      </c>
      <c r="M1154" s="88" t="str">
        <f t="shared" si="5"/>
        <v>Perubahan Normal</v>
      </c>
    </row>
    <row r="1155" ht="18.75" customHeight="1">
      <c r="A1155" s="80" t="s">
        <v>308</v>
      </c>
      <c r="B1155" s="81" t="str">
        <f t="shared" si="1"/>
        <v>Kab Sukamara</v>
      </c>
      <c r="C1155" s="81" t="str">
        <f t="array" ref="C1155">XLOOKUP(B1155,Reference!$A$2:$A$152,Reference!$B$2:$B$152)</f>
        <v>Kalimantan Tengah</v>
      </c>
      <c r="D1155" s="82" t="s">
        <v>1594</v>
      </c>
      <c r="E1155" s="83">
        <v>45352.0</v>
      </c>
      <c r="F1155" s="84" t="str">
        <f t="array" ref="F1155">XLOOKUP(G1155,Reference!$F:$F,Reference!$D:$D,"null")</f>
        <v>Makanan dan Pakaian </v>
      </c>
      <c r="G1155" s="85" t="s">
        <v>72</v>
      </c>
      <c r="H1155" s="86">
        <v>115.2</v>
      </c>
      <c r="I1155" s="86">
        <v>115.2</v>
      </c>
      <c r="J1155" s="87">
        <f t="shared" si="2"/>
        <v>0</v>
      </c>
      <c r="K1155" s="84" t="str">
        <f t="shared" si="3"/>
        <v>Stabil</v>
      </c>
      <c r="L1155" s="84">
        <f t="shared" si="4"/>
        <v>0</v>
      </c>
      <c r="M1155" s="88" t="str">
        <f t="shared" si="5"/>
        <v>Perubahan Normal</v>
      </c>
    </row>
    <row r="1156" ht="18.75" customHeight="1">
      <c r="A1156" s="80" t="s">
        <v>473</v>
      </c>
      <c r="B1156" s="81" t="str">
        <f t="shared" si="1"/>
        <v>Kab Wajo</v>
      </c>
      <c r="C1156" s="81" t="str">
        <f t="array" ref="C1156">XLOOKUP(B1156,Reference!$A$2:$A$152,Reference!$B$2:$B$152)</f>
        <v>Sulawesi Selatan</v>
      </c>
      <c r="D1156" s="82" t="s">
        <v>1595</v>
      </c>
      <c r="E1156" s="83">
        <v>45323.0</v>
      </c>
      <c r="F1156" s="84" t="str">
        <f t="array" ref="F1156">XLOOKUP(G1156,Reference!$F:$F,Reference!$D:$D,"null")</f>
        <v>Rekreasi dan Kendaraan</v>
      </c>
      <c r="G1156" s="85" t="s">
        <v>102</v>
      </c>
      <c r="H1156" s="86">
        <v>97.53</v>
      </c>
      <c r="I1156" s="86">
        <v>97.53</v>
      </c>
      <c r="J1156" s="87">
        <f t="shared" si="2"/>
        <v>0</v>
      </c>
      <c r="K1156" s="84" t="str">
        <f t="shared" si="3"/>
        <v>Stabil</v>
      </c>
      <c r="L1156" s="84">
        <f t="shared" si="4"/>
        <v>0</v>
      </c>
      <c r="M1156" s="88" t="str">
        <f t="shared" si="5"/>
        <v>Perubahan Normal</v>
      </c>
    </row>
    <row r="1157" ht="18.75" customHeight="1">
      <c r="A1157" s="80" t="s">
        <v>934</v>
      </c>
      <c r="B1157" s="81" t="str">
        <f t="shared" si="1"/>
        <v>Kab Kolaka</v>
      </c>
      <c r="C1157" s="81" t="str">
        <f t="array" ref="C1157">XLOOKUP(B1157,Reference!$A$2:$A$152,Reference!$B$2:$B$152)</f>
        <v>Sulawesi Tenggara</v>
      </c>
      <c r="D1157" s="82" t="s">
        <v>1596</v>
      </c>
      <c r="E1157" s="83">
        <v>45352.0</v>
      </c>
      <c r="F1157" s="84" t="str">
        <f t="array" ref="F1157">XLOOKUP(G1157,Reference!$F:$F,Reference!$D:$D,"null")</f>
        <v>Makanan dan Pakaian </v>
      </c>
      <c r="G1157" s="85" t="s">
        <v>64</v>
      </c>
      <c r="H1157" s="86">
        <v>101.18</v>
      </c>
      <c r="I1157" s="86">
        <v>101.21</v>
      </c>
      <c r="J1157" s="87">
        <f t="shared" si="2"/>
        <v>-0.02964133979</v>
      </c>
      <c r="K1157" s="84" t="str">
        <f t="shared" si="3"/>
        <v>Deflasi</v>
      </c>
      <c r="L1157" s="84">
        <f t="shared" si="4"/>
        <v>-0.03</v>
      </c>
      <c r="M1157" s="88" t="str">
        <f t="shared" si="5"/>
        <v>Perubahan Normal</v>
      </c>
    </row>
    <row r="1158" ht="18.75" customHeight="1">
      <c r="A1158" s="80" t="s">
        <v>473</v>
      </c>
      <c r="B1158" s="81" t="str">
        <f t="shared" si="1"/>
        <v>Kab Wajo</v>
      </c>
      <c r="C1158" s="81" t="str">
        <f t="array" ref="C1158">XLOOKUP(B1158,Reference!$A$2:$A$152,Reference!$B$2:$B$152)</f>
        <v>Sulawesi Selatan</v>
      </c>
      <c r="D1158" s="82" t="s">
        <v>1597</v>
      </c>
      <c r="E1158" s="83">
        <v>45323.0</v>
      </c>
      <c r="F1158" s="84" t="str">
        <f t="array" ref="F1158">XLOOKUP(G1158,Reference!$F:$F,Reference!$D:$D,"null")</f>
        <v>Rumah Tangga</v>
      </c>
      <c r="G1158" s="85" t="s">
        <v>84</v>
      </c>
      <c r="H1158" s="86">
        <v>99.54</v>
      </c>
      <c r="I1158" s="86">
        <v>99.41</v>
      </c>
      <c r="J1158" s="87">
        <f t="shared" si="2"/>
        <v>0.1307715522</v>
      </c>
      <c r="K1158" s="84" t="str">
        <f t="shared" si="3"/>
        <v>Inflasi Normal</v>
      </c>
      <c r="L1158" s="84">
        <f t="shared" si="4"/>
        <v>0.13</v>
      </c>
      <c r="M1158" s="88" t="str">
        <f t="shared" si="5"/>
        <v>Perubahan Normal</v>
      </c>
    </row>
    <row r="1159" ht="18.75" customHeight="1">
      <c r="A1159" s="80" t="s">
        <v>515</v>
      </c>
      <c r="B1159" s="81" t="str">
        <f t="shared" si="1"/>
        <v>Kab Gresik</v>
      </c>
      <c r="C1159" s="81" t="str">
        <f t="array" ref="C1159">XLOOKUP(B1159,Reference!$A$2:$A$152,Reference!$B$2:$B$152)</f>
        <v>Jawa Timur</v>
      </c>
      <c r="D1159" s="82" t="s">
        <v>1598</v>
      </c>
      <c r="E1159" s="83">
        <v>45323.0</v>
      </c>
      <c r="F1159" s="84" t="str">
        <f t="array" ref="F1159">XLOOKUP(G1159,Reference!$F:$F,Reference!$D:$D,"null")</f>
        <v>Rekreasi dan Kendaraan</v>
      </c>
      <c r="G1159" s="85" t="s">
        <v>105</v>
      </c>
      <c r="H1159" s="86">
        <v>102.11</v>
      </c>
      <c r="I1159" s="86">
        <v>100.47</v>
      </c>
      <c r="J1159" s="87">
        <f t="shared" si="2"/>
        <v>1.632328058</v>
      </c>
      <c r="K1159" s="84" t="str">
        <f t="shared" si="3"/>
        <v>Inflasi Tinggi</v>
      </c>
      <c r="L1159" s="84">
        <f t="shared" si="4"/>
        <v>1.64</v>
      </c>
      <c r="M1159" s="88" t="str">
        <f t="shared" si="5"/>
        <v>Akselerasi Persentase</v>
      </c>
    </row>
    <row r="1160" ht="18.75" customHeight="1">
      <c r="A1160" s="80" t="s">
        <v>431</v>
      </c>
      <c r="B1160" s="81" t="str">
        <f t="shared" si="1"/>
        <v>Kota Ternate</v>
      </c>
      <c r="C1160" s="81" t="str">
        <f t="array" ref="C1160">XLOOKUP(B1160,Reference!$A$2:$A$152,Reference!$B$2:$B$152)</f>
        <v>Maluku Utara</v>
      </c>
      <c r="D1160" s="82" t="s">
        <v>1599</v>
      </c>
      <c r="E1160" s="83">
        <v>45323.0</v>
      </c>
      <c r="F1160" s="84" t="str">
        <f t="array" ref="F1160">XLOOKUP(G1160,Reference!$F:$F,Reference!$D:$D,"null")</f>
        <v>Rumah Tangga</v>
      </c>
      <c r="G1160" s="85" t="s">
        <v>80</v>
      </c>
      <c r="H1160" s="86">
        <v>100.49</v>
      </c>
      <c r="I1160" s="86">
        <v>100.49</v>
      </c>
      <c r="J1160" s="87">
        <f t="shared" si="2"/>
        <v>0</v>
      </c>
      <c r="K1160" s="84" t="str">
        <f t="shared" si="3"/>
        <v>Stabil</v>
      </c>
      <c r="L1160" s="84">
        <f t="shared" si="4"/>
        <v>0</v>
      </c>
      <c r="M1160" s="88" t="str">
        <f t="shared" si="5"/>
        <v>Perubahan Normal</v>
      </c>
    </row>
    <row r="1161" ht="18.75" customHeight="1">
      <c r="A1161" s="80" t="s">
        <v>990</v>
      </c>
      <c r="B1161" s="81" t="str">
        <f t="shared" si="1"/>
        <v>Kab Pandeglang</v>
      </c>
      <c r="C1161" s="81" t="str">
        <f t="array" ref="C1161">XLOOKUP(B1161,Reference!$A$2:$A$152,Reference!$B$2:$B$152)</f>
        <v>Banten</v>
      </c>
      <c r="D1161" s="82" t="s">
        <v>1600</v>
      </c>
      <c r="E1161" s="83">
        <v>45323.0</v>
      </c>
      <c r="F1161" s="84" t="str">
        <f t="array" ref="F1161">XLOOKUP(G1161,Reference!$F:$F,Reference!$D:$D,"null")</f>
        <v>Pendidikan dan Kesehatan</v>
      </c>
      <c r="G1161" s="85" t="s">
        <v>98</v>
      </c>
      <c r="H1161" s="86">
        <v>105.11</v>
      </c>
      <c r="I1161" s="86">
        <v>105.12</v>
      </c>
      <c r="J1161" s="87">
        <f t="shared" si="2"/>
        <v>-0.009512937595</v>
      </c>
      <c r="K1161" s="84" t="str">
        <f t="shared" si="3"/>
        <v>Deflasi</v>
      </c>
      <c r="L1161" s="84">
        <f t="shared" si="4"/>
        <v>-0.01</v>
      </c>
      <c r="M1161" s="88" t="str">
        <f t="shared" si="5"/>
        <v>Perubahan Normal</v>
      </c>
    </row>
    <row r="1162" ht="18.75" customHeight="1">
      <c r="A1162" s="80" t="s">
        <v>762</v>
      </c>
      <c r="B1162" s="81" t="str">
        <f t="shared" si="1"/>
        <v>Kota Pangkal Pinang</v>
      </c>
      <c r="C1162" s="81" t="str">
        <f t="array" ref="C1162">XLOOKUP(B1162,Reference!$A$2:$A$152,Reference!$B$2:$B$152)</f>
        <v>Kepulauan Bangka Belitung</v>
      </c>
      <c r="D1162" s="82" t="s">
        <v>1601</v>
      </c>
      <c r="E1162" s="83">
        <v>45352.0</v>
      </c>
      <c r="F1162" s="84" t="str">
        <f t="array" ref="F1162">XLOOKUP(G1162,Reference!$F:$F,Reference!$D:$D,"null")</f>
        <v>Makanan dan Pakaian </v>
      </c>
      <c r="G1162" s="85" t="s">
        <v>64</v>
      </c>
      <c r="H1162" s="86">
        <v>100.67</v>
      </c>
      <c r="I1162" s="86">
        <v>100.67</v>
      </c>
      <c r="J1162" s="87">
        <f t="shared" si="2"/>
        <v>0</v>
      </c>
      <c r="K1162" s="84" t="str">
        <f t="shared" si="3"/>
        <v>Stabil</v>
      </c>
      <c r="L1162" s="84">
        <f t="shared" si="4"/>
        <v>0</v>
      </c>
      <c r="M1162" s="88" t="str">
        <f t="shared" si="5"/>
        <v>Perubahan Normal</v>
      </c>
    </row>
    <row r="1163" ht="18.75" customHeight="1">
      <c r="A1163" s="80" t="s">
        <v>360</v>
      </c>
      <c r="B1163" s="81" t="str">
        <f t="shared" si="1"/>
        <v>Kab Wonosobo</v>
      </c>
      <c r="C1163" s="81" t="str">
        <f t="array" ref="C1163">XLOOKUP(B1163,Reference!$A$2:$A$152,Reference!$B$2:$B$152)</f>
        <v>Jawa Tengah</v>
      </c>
      <c r="D1163" s="82" t="s">
        <v>1602</v>
      </c>
      <c r="E1163" s="83">
        <v>45352.0</v>
      </c>
      <c r="F1163" s="84" t="str">
        <f t="array" ref="F1163">XLOOKUP(G1163,Reference!$F:$F,Reference!$D:$D,"null")</f>
        <v>Rumah Tangga</v>
      </c>
      <c r="G1163" s="85" t="s">
        <v>84</v>
      </c>
      <c r="H1163" s="86">
        <v>98.8</v>
      </c>
      <c r="I1163" s="86">
        <v>98.8</v>
      </c>
      <c r="J1163" s="87">
        <f t="shared" si="2"/>
        <v>0</v>
      </c>
      <c r="K1163" s="84" t="str">
        <f t="shared" si="3"/>
        <v>Stabil</v>
      </c>
      <c r="L1163" s="84">
        <f t="shared" si="4"/>
        <v>0</v>
      </c>
      <c r="M1163" s="88" t="str">
        <f t="shared" si="5"/>
        <v>Perubahan Normal</v>
      </c>
    </row>
    <row r="1164" ht="18.75" customHeight="1">
      <c r="A1164" s="80" t="s">
        <v>576</v>
      </c>
      <c r="B1164" s="81" t="str">
        <f t="shared" si="1"/>
        <v>Kab Tabanan</v>
      </c>
      <c r="C1164" s="81" t="str">
        <f t="array" ref="C1164">XLOOKUP(B1164,Reference!$A$2:$A$152,Reference!$B$2:$B$152)</f>
        <v>Bali</v>
      </c>
      <c r="D1164" s="82" t="s">
        <v>1603</v>
      </c>
      <c r="E1164" s="83">
        <v>45352.0</v>
      </c>
      <c r="F1164" s="84" t="str">
        <f t="array" ref="F1164">XLOOKUP(G1164,Reference!$F:$F,Reference!$D:$D,"null")</f>
        <v>Makanan dan Pakaian </v>
      </c>
      <c r="G1164" s="89" t="s">
        <v>72</v>
      </c>
      <c r="H1164" s="90">
        <v>108.96</v>
      </c>
      <c r="I1164" s="90">
        <v>108.96</v>
      </c>
      <c r="J1164" s="87">
        <f t="shared" si="2"/>
        <v>0</v>
      </c>
      <c r="K1164" s="84" t="str">
        <f t="shared" si="3"/>
        <v>Stabil</v>
      </c>
      <c r="L1164" s="91">
        <f t="shared" si="4"/>
        <v>0</v>
      </c>
      <c r="M1164" s="88" t="str">
        <f t="shared" si="5"/>
        <v>Perubahan Normal</v>
      </c>
    </row>
    <row r="1165" ht="18.75" customHeight="1">
      <c r="A1165" s="80" t="s">
        <v>814</v>
      </c>
      <c r="B1165" s="81" t="str">
        <f t="shared" si="1"/>
        <v>Kota Samarinda</v>
      </c>
      <c r="C1165" s="81" t="str">
        <f t="array" ref="C1165">XLOOKUP(B1165,Reference!$A$2:$A$152,Reference!$B$2:$B$152)</f>
        <v>Kalimantan Timur</v>
      </c>
      <c r="D1165" s="82" t="s">
        <v>1604</v>
      </c>
      <c r="E1165" s="83">
        <v>45323.0</v>
      </c>
      <c r="F1165" s="84" t="str">
        <f t="array" ref="F1165">XLOOKUP(G1165,Reference!$F:$F,Reference!$D:$D,"null")</f>
        <v>Makanan dan Pakaian </v>
      </c>
      <c r="G1165" s="85" t="s">
        <v>72</v>
      </c>
      <c r="H1165" s="86">
        <v>95.91</v>
      </c>
      <c r="I1165" s="86">
        <v>95.89</v>
      </c>
      <c r="J1165" s="87">
        <f t="shared" si="2"/>
        <v>0.02085723225</v>
      </c>
      <c r="K1165" s="84" t="str">
        <f t="shared" si="3"/>
        <v>Inflasi Normal</v>
      </c>
      <c r="L1165" s="84">
        <f t="shared" si="4"/>
        <v>0.02</v>
      </c>
      <c r="M1165" s="88" t="str">
        <f t="shared" si="5"/>
        <v>Perubahan Normal</v>
      </c>
    </row>
    <row r="1166" ht="18.75" customHeight="1">
      <c r="A1166" s="80" t="s">
        <v>331</v>
      </c>
      <c r="B1166" s="81" t="str">
        <f t="shared" si="1"/>
        <v>Kota Lhokseumawe</v>
      </c>
      <c r="C1166" s="81" t="str">
        <f t="array" ref="C1166">XLOOKUP(B1166,Reference!$A$2:$A$152,Reference!$B$2:$B$152)</f>
        <v>Aceh</v>
      </c>
      <c r="D1166" s="82" t="s">
        <v>1605</v>
      </c>
      <c r="E1166" s="83">
        <v>45323.0</v>
      </c>
      <c r="F1166" s="84" t="str">
        <f t="array" ref="F1166">XLOOKUP(G1166,Reference!$F:$F,Reference!$D:$D,"null")</f>
        <v>Makanan dan Pakaian </v>
      </c>
      <c r="G1166" s="85" t="s">
        <v>64</v>
      </c>
      <c r="H1166" s="86">
        <v>103.49</v>
      </c>
      <c r="I1166" s="86">
        <v>103.46</v>
      </c>
      <c r="J1166" s="87">
        <f t="shared" si="2"/>
        <v>0.02899671371</v>
      </c>
      <c r="K1166" s="84" t="str">
        <f t="shared" si="3"/>
        <v>Inflasi Normal</v>
      </c>
      <c r="L1166" s="84">
        <f t="shared" si="4"/>
        <v>0.03</v>
      </c>
      <c r="M1166" s="88" t="str">
        <f t="shared" si="5"/>
        <v>Perubahan Normal</v>
      </c>
    </row>
    <row r="1167" ht="18.75" customHeight="1">
      <c r="A1167" s="80" t="s">
        <v>296</v>
      </c>
      <c r="B1167" s="81" t="str">
        <f t="shared" si="1"/>
        <v>Kota Bogor</v>
      </c>
      <c r="C1167" s="81" t="str">
        <f t="array" ref="C1167">XLOOKUP(B1167,Reference!$A$2:$A$152,Reference!$B$2:$B$152)</f>
        <v>Jawa Barat</v>
      </c>
      <c r="D1167" s="82" t="s">
        <v>1606</v>
      </c>
      <c r="E1167" s="83">
        <v>45352.0</v>
      </c>
      <c r="F1167" s="84" t="str">
        <f t="array" ref="F1167">XLOOKUP(G1167,Reference!$F:$F,Reference!$D:$D,"null")</f>
        <v>Rumah Tangga</v>
      </c>
      <c r="G1167" s="89" t="s">
        <v>80</v>
      </c>
      <c r="H1167" s="90">
        <v>101.85</v>
      </c>
      <c r="I1167" s="90">
        <v>101.85</v>
      </c>
      <c r="J1167" s="87">
        <f t="shared" si="2"/>
        <v>0</v>
      </c>
      <c r="K1167" s="84" t="str">
        <f t="shared" si="3"/>
        <v>Stabil</v>
      </c>
      <c r="L1167" s="91">
        <f t="shared" si="4"/>
        <v>0</v>
      </c>
      <c r="M1167" s="88" t="str">
        <f t="shared" si="5"/>
        <v>Perubahan Normal</v>
      </c>
    </row>
    <row r="1168" ht="18.75" customHeight="1">
      <c r="A1168" s="80" t="s">
        <v>322</v>
      </c>
      <c r="B1168" s="81" t="str">
        <f t="shared" si="1"/>
        <v>Purwokerto</v>
      </c>
      <c r="C1168" s="81" t="str">
        <f t="array" ref="C1168">XLOOKUP(B1168,Reference!$A$2:$A$152,Reference!$B$2:$B$152)</f>
        <v>Jawa Tengah</v>
      </c>
      <c r="D1168" s="82" t="s">
        <v>1607</v>
      </c>
      <c r="E1168" s="83">
        <v>45323.0</v>
      </c>
      <c r="F1168" s="84" t="str">
        <f t="array" ref="F1168">XLOOKUP(G1168,Reference!$F:$F,Reference!$D:$D,"null")</f>
        <v>Rekreasi dan Kendaraan</v>
      </c>
      <c r="G1168" s="89" t="s">
        <v>105</v>
      </c>
      <c r="H1168" s="90">
        <v>103.8</v>
      </c>
      <c r="I1168" s="90">
        <v>103.59</v>
      </c>
      <c r="J1168" s="87">
        <f t="shared" si="2"/>
        <v>0.2027222705</v>
      </c>
      <c r="K1168" s="84" t="str">
        <f t="shared" si="3"/>
        <v>Inflasi Normal</v>
      </c>
      <c r="L1168" s="91">
        <f t="shared" si="4"/>
        <v>0.21</v>
      </c>
      <c r="M1168" s="88" t="str">
        <f t="shared" si="5"/>
        <v>Perubahan Normal</v>
      </c>
    </row>
    <row r="1169" ht="18.75" customHeight="1">
      <c r="A1169" s="80" t="s">
        <v>483</v>
      </c>
      <c r="B1169" s="81" t="str">
        <f t="shared" si="1"/>
        <v>Kota Padangsidimpuan</v>
      </c>
      <c r="C1169" s="81" t="str">
        <f t="array" ref="C1169">XLOOKUP(B1169,Reference!$A$2:$A$152,Reference!$B$2:$B$152)</f>
        <v>Sumatera Utara</v>
      </c>
      <c r="D1169" s="82" t="s">
        <v>1608</v>
      </c>
      <c r="E1169" s="83">
        <v>45323.0</v>
      </c>
      <c r="F1169" s="84" t="str">
        <f t="array" ref="F1169">XLOOKUP(G1169,Reference!$F:$F,Reference!$D:$D,"null")</f>
        <v>Rekreasi dan Kendaraan</v>
      </c>
      <c r="G1169" s="85" t="s">
        <v>102</v>
      </c>
      <c r="H1169" s="86">
        <v>105.79</v>
      </c>
      <c r="I1169" s="86">
        <v>105.48</v>
      </c>
      <c r="J1169" s="87">
        <f t="shared" si="2"/>
        <v>0.2938945772</v>
      </c>
      <c r="K1169" s="84" t="str">
        <f t="shared" si="3"/>
        <v>Inflasi Normal</v>
      </c>
      <c r="L1169" s="84">
        <f t="shared" si="4"/>
        <v>0.31</v>
      </c>
      <c r="M1169" s="88" t="str">
        <f t="shared" si="5"/>
        <v>Perubahan Normal</v>
      </c>
    </row>
    <row r="1170" ht="18.75" customHeight="1">
      <c r="A1170" s="80" t="s">
        <v>478</v>
      </c>
      <c r="B1170" s="81" t="str">
        <f t="shared" si="1"/>
        <v>Kab Maluku Tengah</v>
      </c>
      <c r="C1170" s="81" t="str">
        <f t="array" ref="C1170">XLOOKUP(B1170,Reference!$A$2:$A$152,Reference!$B$2:$B$152)</f>
        <v>Maluku</v>
      </c>
      <c r="D1170" s="82" t="s">
        <v>1609</v>
      </c>
      <c r="E1170" s="83">
        <v>45323.0</v>
      </c>
      <c r="F1170" s="84" t="str">
        <f t="array" ref="F1170">XLOOKUP(G1170,Reference!$F:$F,Reference!$D:$D,"null")</f>
        <v>Pendidikan dan Kesehatan</v>
      </c>
      <c r="G1170" s="85" t="s">
        <v>98</v>
      </c>
      <c r="H1170" s="86">
        <v>139.2</v>
      </c>
      <c r="I1170" s="86">
        <v>139.2</v>
      </c>
      <c r="J1170" s="87">
        <f t="shared" si="2"/>
        <v>0</v>
      </c>
      <c r="K1170" s="84" t="str">
        <f t="shared" si="3"/>
        <v>Stabil</v>
      </c>
      <c r="L1170" s="84">
        <f t="shared" si="4"/>
        <v>0</v>
      </c>
      <c r="M1170" s="88" t="str">
        <f t="shared" si="5"/>
        <v>Perubahan Normal</v>
      </c>
    </row>
    <row r="1171" ht="18.75" customHeight="1">
      <c r="A1171" s="80" t="s">
        <v>658</v>
      </c>
      <c r="B1171" s="81" t="str">
        <f t="shared" si="1"/>
        <v>Kota Mataram</v>
      </c>
      <c r="C1171" s="81" t="str">
        <f t="array" ref="C1171">XLOOKUP(B1171,Reference!$A$2:$A$152,Reference!$B$2:$B$152)</f>
        <v>Nusa Tenggara Barat (NTB)</v>
      </c>
      <c r="D1171" s="82" t="s">
        <v>1610</v>
      </c>
      <c r="E1171" s="83">
        <v>45323.0</v>
      </c>
      <c r="F1171" s="84" t="str">
        <f t="array" ref="F1171">XLOOKUP(G1171,Reference!$F:$F,Reference!$D:$D,"null")</f>
        <v>Makanan dan Pakaian </v>
      </c>
      <c r="G1171" s="85" t="s">
        <v>56</v>
      </c>
      <c r="H1171" s="86">
        <v>106.79</v>
      </c>
      <c r="I1171" s="86">
        <v>106.48</v>
      </c>
      <c r="J1171" s="87">
        <f t="shared" si="2"/>
        <v>0.2911344853</v>
      </c>
      <c r="K1171" s="84" t="str">
        <f t="shared" si="3"/>
        <v>Inflasi Normal</v>
      </c>
      <c r="L1171" s="84">
        <f t="shared" si="4"/>
        <v>0.31</v>
      </c>
      <c r="M1171" s="88" t="str">
        <f t="shared" si="5"/>
        <v>Perubahan Normal</v>
      </c>
    </row>
    <row r="1172" ht="18.75" customHeight="1">
      <c r="A1172" s="80" t="s">
        <v>302</v>
      </c>
      <c r="B1172" s="81" t="str">
        <f t="shared" si="1"/>
        <v>Kota Lubuk Linggau</v>
      </c>
      <c r="C1172" s="81" t="str">
        <f t="array" ref="C1172">XLOOKUP(B1172,Reference!$A$2:$A$152,Reference!$B$2:$B$152)</f>
        <v>Sumatera Selatan</v>
      </c>
      <c r="D1172" s="82" t="s">
        <v>1611</v>
      </c>
      <c r="E1172" s="83">
        <v>45323.0</v>
      </c>
      <c r="F1172" s="84" t="str">
        <f t="array" ref="F1172">XLOOKUP(G1172,Reference!$F:$F,Reference!$D:$D,"null")</f>
        <v>Rumah Tangga</v>
      </c>
      <c r="G1172" s="85" t="s">
        <v>89</v>
      </c>
      <c r="H1172" s="86">
        <v>101.36</v>
      </c>
      <c r="I1172" s="86">
        <v>101.36</v>
      </c>
      <c r="J1172" s="87">
        <f t="shared" si="2"/>
        <v>0</v>
      </c>
      <c r="K1172" s="84" t="str">
        <f t="shared" si="3"/>
        <v>Stabil</v>
      </c>
      <c r="L1172" s="84">
        <f t="shared" si="4"/>
        <v>0</v>
      </c>
      <c r="M1172" s="88" t="str">
        <f t="shared" si="5"/>
        <v>Perubahan Normal</v>
      </c>
    </row>
    <row r="1173" ht="18.75" customHeight="1">
      <c r="A1173" s="80" t="s">
        <v>329</v>
      </c>
      <c r="B1173" s="81" t="str">
        <f t="shared" si="1"/>
        <v>Kab Penajam Paser Utara</v>
      </c>
      <c r="C1173" s="81" t="str">
        <f t="array" ref="C1173">XLOOKUP(B1173,Reference!$A$2:$A$152,Reference!$B$2:$B$152)</f>
        <v>Kalimantan Timur</v>
      </c>
      <c r="D1173" s="82" t="s">
        <v>1612</v>
      </c>
      <c r="E1173" s="83">
        <v>45323.0</v>
      </c>
      <c r="F1173" s="84" t="str">
        <f t="array" ref="F1173">XLOOKUP(G1173,Reference!$F:$F,Reference!$D:$D,"null")</f>
        <v>Makanan dan Pakaian </v>
      </c>
      <c r="G1173" s="85" t="s">
        <v>48</v>
      </c>
      <c r="H1173" s="86">
        <v>109.25</v>
      </c>
      <c r="I1173" s="86">
        <v>108.93</v>
      </c>
      <c r="J1173" s="87">
        <f t="shared" si="2"/>
        <v>0.2937666391</v>
      </c>
      <c r="K1173" s="84" t="str">
        <f t="shared" si="3"/>
        <v>Inflasi Normal</v>
      </c>
      <c r="L1173" s="84">
        <f t="shared" si="4"/>
        <v>0.32</v>
      </c>
      <c r="M1173" s="88" t="str">
        <f t="shared" si="5"/>
        <v>Perubahan Normal</v>
      </c>
    </row>
    <row r="1174" ht="18.75" customHeight="1">
      <c r="A1174" s="80" t="s">
        <v>395</v>
      </c>
      <c r="B1174" s="81" t="str">
        <f t="shared" si="1"/>
        <v>Kota Bukittinggi</v>
      </c>
      <c r="C1174" s="81" t="str">
        <f t="array" ref="C1174">XLOOKUP(B1174,Reference!$A$2:$A$152,Reference!$B$2:$B$152)</f>
        <v>Sumatera Barat</v>
      </c>
      <c r="D1174" s="82" t="s">
        <v>1613</v>
      </c>
      <c r="E1174" s="83">
        <v>45323.0</v>
      </c>
      <c r="F1174" s="84" t="str">
        <f t="array" ref="F1174">XLOOKUP(G1174,Reference!$F:$F,Reference!$D:$D,"null")</f>
        <v>Makanan dan Pakaian </v>
      </c>
      <c r="G1174" s="85" t="s">
        <v>56</v>
      </c>
      <c r="H1174" s="86">
        <v>101.68</v>
      </c>
      <c r="I1174" s="86">
        <v>101.68</v>
      </c>
      <c r="J1174" s="87">
        <f t="shared" si="2"/>
        <v>0</v>
      </c>
      <c r="K1174" s="84" t="str">
        <f t="shared" si="3"/>
        <v>Stabil</v>
      </c>
      <c r="L1174" s="84">
        <f t="shared" si="4"/>
        <v>0</v>
      </c>
      <c r="M1174" s="88" t="str">
        <f t="shared" si="5"/>
        <v>Perubahan Normal</v>
      </c>
    </row>
    <row r="1175" ht="18.75" customHeight="1">
      <c r="A1175" s="80" t="s">
        <v>576</v>
      </c>
      <c r="B1175" s="81" t="str">
        <f t="shared" si="1"/>
        <v>Kab Tabanan</v>
      </c>
      <c r="C1175" s="81" t="str">
        <f t="array" ref="C1175">XLOOKUP(B1175,Reference!$A$2:$A$152,Reference!$B$2:$B$152)</f>
        <v>Bali</v>
      </c>
      <c r="D1175" s="82" t="s">
        <v>1614</v>
      </c>
      <c r="E1175" s="83">
        <v>45352.0</v>
      </c>
      <c r="F1175" s="84" t="str">
        <f t="array" ref="F1175">XLOOKUP(G1175,Reference!$F:$F,Reference!$D:$D,"null")</f>
        <v>Makanan dan Pakaian </v>
      </c>
      <c r="G1175" s="89" t="s">
        <v>48</v>
      </c>
      <c r="H1175" s="90">
        <v>114.3</v>
      </c>
      <c r="I1175" s="90">
        <v>111.61</v>
      </c>
      <c r="J1175" s="87">
        <f t="shared" si="2"/>
        <v>2.410178299</v>
      </c>
      <c r="K1175" s="84" t="str">
        <f t="shared" si="3"/>
        <v>Inflasi Tinggi</v>
      </c>
      <c r="L1175" s="91">
        <f t="shared" si="4"/>
        <v>2.69</v>
      </c>
      <c r="M1175" s="88" t="str">
        <f t="shared" si="5"/>
        <v>Akselerasi Kuat</v>
      </c>
    </row>
    <row r="1176" ht="18.75" customHeight="1">
      <c r="A1176" s="80" t="s">
        <v>322</v>
      </c>
      <c r="B1176" s="81" t="str">
        <f t="shared" si="1"/>
        <v>Purwokerto</v>
      </c>
      <c r="C1176" s="81" t="str">
        <f t="array" ref="C1176">XLOOKUP(B1176,Reference!$A$2:$A$152,Reference!$B$2:$B$152)</f>
        <v>Jawa Tengah</v>
      </c>
      <c r="D1176" s="82" t="s">
        <v>1615</v>
      </c>
      <c r="E1176" s="83">
        <v>45323.0</v>
      </c>
      <c r="F1176" s="84" t="str">
        <f t="array" ref="F1176">XLOOKUP(G1176,Reference!$F:$F,Reference!$D:$D,"null")</f>
        <v>Rumah Tangga</v>
      </c>
      <c r="G1176" s="89" t="s">
        <v>80</v>
      </c>
      <c r="H1176" s="90">
        <v>101.02</v>
      </c>
      <c r="I1176" s="90">
        <v>101.02</v>
      </c>
      <c r="J1176" s="87">
        <f t="shared" si="2"/>
        <v>0</v>
      </c>
      <c r="K1176" s="84" t="str">
        <f t="shared" si="3"/>
        <v>Stabil</v>
      </c>
      <c r="L1176" s="91">
        <f t="shared" si="4"/>
        <v>0</v>
      </c>
      <c r="M1176" s="88" t="str">
        <f t="shared" si="5"/>
        <v>Perubahan Normal</v>
      </c>
    </row>
    <row r="1177" ht="18.75" customHeight="1">
      <c r="A1177" s="80" t="s">
        <v>586</v>
      </c>
      <c r="B1177" s="81" t="str">
        <f t="shared" si="1"/>
        <v>Kab Karimun</v>
      </c>
      <c r="C1177" s="81" t="str">
        <f t="array" ref="C1177">XLOOKUP(B1177,Reference!$A$2:$A$152,Reference!$B$2:$B$152)</f>
        <v>Kepulauan Riau</v>
      </c>
      <c r="D1177" s="82" t="s">
        <v>1616</v>
      </c>
      <c r="E1177" s="83">
        <v>45323.0</v>
      </c>
      <c r="F1177" s="84" t="str">
        <f t="array" ref="F1177">XLOOKUP(G1177,Reference!$F:$F,Reference!$D:$D,"null")</f>
        <v>Pendidikan dan Kesehatan</v>
      </c>
      <c r="G1177" s="85" t="s">
        <v>98</v>
      </c>
      <c r="H1177" s="86">
        <v>99.34</v>
      </c>
      <c r="I1177" s="86">
        <v>99.15</v>
      </c>
      <c r="J1177" s="87">
        <f t="shared" si="2"/>
        <v>0.1916288452</v>
      </c>
      <c r="K1177" s="84" t="str">
        <f t="shared" si="3"/>
        <v>Inflasi Normal</v>
      </c>
      <c r="L1177" s="84">
        <f t="shared" si="4"/>
        <v>0.19</v>
      </c>
      <c r="M1177" s="88" t="str">
        <f t="shared" si="5"/>
        <v>Perubahan Normal</v>
      </c>
    </row>
    <row r="1178" ht="18.75" customHeight="1">
      <c r="A1178" s="80" t="s">
        <v>740</v>
      </c>
      <c r="B1178" s="81" t="str">
        <f t="shared" si="1"/>
        <v>Kota Gunungsitoli</v>
      </c>
      <c r="C1178" s="81" t="str">
        <f t="array" ref="C1178">XLOOKUP(B1178,Reference!$A$2:$A$152,Reference!$B$2:$B$152)</f>
        <v>Sumatera Utara</v>
      </c>
      <c r="D1178" s="82" t="s">
        <v>1617</v>
      </c>
      <c r="E1178" s="83">
        <v>45323.0</v>
      </c>
      <c r="F1178" s="84" t="str">
        <f t="array" ref="F1178">XLOOKUP(G1178,Reference!$F:$F,Reference!$D:$D,"null")</f>
        <v>Makanan dan Pakaian </v>
      </c>
      <c r="G1178" s="85" t="s">
        <v>48</v>
      </c>
      <c r="H1178" s="86">
        <v>107.15</v>
      </c>
      <c r="I1178" s="86">
        <v>105.59</v>
      </c>
      <c r="J1178" s="87">
        <f t="shared" si="2"/>
        <v>1.477412634</v>
      </c>
      <c r="K1178" s="84" t="str">
        <f t="shared" si="3"/>
        <v>Inflasi Tinggi</v>
      </c>
      <c r="L1178" s="84">
        <f t="shared" si="4"/>
        <v>1.56</v>
      </c>
      <c r="M1178" s="88" t="str">
        <f t="shared" si="5"/>
        <v>Akselerasi Persentase</v>
      </c>
    </row>
    <row r="1179" ht="18.75" customHeight="1">
      <c r="A1179" s="80" t="s">
        <v>576</v>
      </c>
      <c r="B1179" s="81" t="str">
        <f t="shared" si="1"/>
        <v>Kab Tabanan</v>
      </c>
      <c r="C1179" s="81" t="str">
        <f t="array" ref="C1179">XLOOKUP(B1179,Reference!$A$2:$A$152,Reference!$B$2:$B$152)</f>
        <v>Bali</v>
      </c>
      <c r="D1179" s="82" t="s">
        <v>1618</v>
      </c>
      <c r="E1179" s="83">
        <v>45352.0</v>
      </c>
      <c r="F1179" s="84" t="str">
        <f t="array" ref="F1179">XLOOKUP(G1179,Reference!$F:$F,Reference!$D:$D,"null")</f>
        <v>Rumah Tangga</v>
      </c>
      <c r="G1179" s="85" t="s">
        <v>89</v>
      </c>
      <c r="H1179" s="86">
        <v>107.2</v>
      </c>
      <c r="I1179" s="86">
        <v>107.2</v>
      </c>
      <c r="J1179" s="87">
        <f t="shared" si="2"/>
        <v>0</v>
      </c>
      <c r="K1179" s="84" t="str">
        <f t="shared" si="3"/>
        <v>Stabil</v>
      </c>
      <c r="L1179" s="84">
        <f t="shared" si="4"/>
        <v>0</v>
      </c>
      <c r="M1179" s="88" t="str">
        <f t="shared" si="5"/>
        <v>Perubahan Normal</v>
      </c>
    </row>
    <row r="1180" ht="18.75" customHeight="1">
      <c r="A1180" s="80" t="s">
        <v>478</v>
      </c>
      <c r="B1180" s="81" t="str">
        <f t="shared" si="1"/>
        <v>Kab Maluku Tengah</v>
      </c>
      <c r="C1180" s="81" t="str">
        <f t="array" ref="C1180">XLOOKUP(B1180,Reference!$A$2:$A$152,Reference!$B$2:$B$152)</f>
        <v>Maluku</v>
      </c>
      <c r="D1180" s="82" t="s">
        <v>1619</v>
      </c>
      <c r="E1180" s="83">
        <v>45323.0</v>
      </c>
      <c r="F1180" s="84" t="str">
        <f t="array" ref="F1180">XLOOKUP(G1180,Reference!$F:$F,Reference!$D:$D,"null")</f>
        <v>Rumah Tangga</v>
      </c>
      <c r="G1180" s="85" t="s">
        <v>80</v>
      </c>
      <c r="H1180" s="86">
        <v>100.03</v>
      </c>
      <c r="I1180" s="86">
        <v>100.03</v>
      </c>
      <c r="J1180" s="87">
        <f t="shared" si="2"/>
        <v>0</v>
      </c>
      <c r="K1180" s="84" t="str">
        <f t="shared" si="3"/>
        <v>Stabil</v>
      </c>
      <c r="L1180" s="84">
        <f t="shared" si="4"/>
        <v>0</v>
      </c>
      <c r="M1180" s="88" t="str">
        <f t="shared" si="5"/>
        <v>Perubahan Normal</v>
      </c>
    </row>
    <row r="1181" ht="18.75" customHeight="1">
      <c r="A1181" s="80" t="s">
        <v>431</v>
      </c>
      <c r="B1181" s="81" t="str">
        <f t="shared" si="1"/>
        <v>Kota Ternate</v>
      </c>
      <c r="C1181" s="81" t="str">
        <f t="array" ref="C1181">XLOOKUP(B1181,Reference!$A$2:$A$152,Reference!$B$2:$B$152)</f>
        <v>Maluku Utara</v>
      </c>
      <c r="D1181" s="82" t="s">
        <v>1620</v>
      </c>
      <c r="E1181" s="83">
        <v>45323.0</v>
      </c>
      <c r="F1181" s="84" t="str">
        <f t="array" ref="F1181">XLOOKUP(G1181,Reference!$F:$F,Reference!$D:$D,"null")</f>
        <v>Makanan dan Pakaian </v>
      </c>
      <c r="G1181" s="85" t="s">
        <v>64</v>
      </c>
      <c r="H1181" s="86">
        <v>109.83</v>
      </c>
      <c r="I1181" s="86">
        <v>109.77</v>
      </c>
      <c r="J1181" s="87">
        <f t="shared" si="2"/>
        <v>0.0546597431</v>
      </c>
      <c r="K1181" s="84" t="str">
        <f t="shared" si="3"/>
        <v>Inflasi Normal</v>
      </c>
      <c r="L1181" s="84">
        <f t="shared" si="4"/>
        <v>0.06</v>
      </c>
      <c r="M1181" s="88" t="str">
        <f t="shared" si="5"/>
        <v>Perubahan Normal</v>
      </c>
    </row>
    <row r="1182" ht="18.75" customHeight="1">
      <c r="A1182" s="80" t="s">
        <v>990</v>
      </c>
      <c r="B1182" s="81" t="str">
        <f t="shared" si="1"/>
        <v>Kab Pandeglang</v>
      </c>
      <c r="C1182" s="81" t="str">
        <f t="array" ref="C1182">XLOOKUP(B1182,Reference!$A$2:$A$152,Reference!$B$2:$B$152)</f>
        <v>Banten</v>
      </c>
      <c r="D1182" s="82" t="s">
        <v>1621</v>
      </c>
      <c r="E1182" s="83">
        <v>45352.0</v>
      </c>
      <c r="F1182" s="84" t="str">
        <f t="array" ref="F1182">XLOOKUP(G1182,Reference!$F:$F,Reference!$D:$D,"null")</f>
        <v>Makanan dan Pakaian </v>
      </c>
      <c r="G1182" s="85" t="s">
        <v>48</v>
      </c>
      <c r="H1182" s="86">
        <v>106.76</v>
      </c>
      <c r="I1182" s="86">
        <v>104.43</v>
      </c>
      <c r="J1182" s="87">
        <f t="shared" si="2"/>
        <v>2.231159628</v>
      </c>
      <c r="K1182" s="84" t="str">
        <f t="shared" si="3"/>
        <v>Inflasi Tinggi</v>
      </c>
      <c r="L1182" s="84">
        <f t="shared" si="4"/>
        <v>2.33</v>
      </c>
      <c r="M1182" s="88" t="str">
        <f t="shared" si="5"/>
        <v>Akselerasi Kuat</v>
      </c>
    </row>
    <row r="1183" ht="18.75" customHeight="1">
      <c r="A1183" s="80" t="s">
        <v>837</v>
      </c>
      <c r="B1183" s="81" t="str">
        <f t="shared" si="1"/>
        <v>Kab Luwu Timur</v>
      </c>
      <c r="C1183" s="81" t="str">
        <f t="array" ref="C1183">XLOOKUP(B1183,Reference!$A$2:$A$152,Reference!$B$2:$B$152)</f>
        <v>Sulawesi Selatan</v>
      </c>
      <c r="D1183" s="82" t="s">
        <v>1622</v>
      </c>
      <c r="E1183" s="83">
        <v>45323.0</v>
      </c>
      <c r="F1183" s="84" t="str">
        <f t="array" ref="F1183">XLOOKUP(G1183,Reference!$F:$F,Reference!$D:$D,"null")</f>
        <v>Pendidikan dan Kesehatan</v>
      </c>
      <c r="G1183" s="85" t="s">
        <v>95</v>
      </c>
      <c r="H1183" s="86">
        <v>105.78</v>
      </c>
      <c r="I1183" s="86">
        <v>105.78</v>
      </c>
      <c r="J1183" s="87">
        <f t="shared" si="2"/>
        <v>0</v>
      </c>
      <c r="K1183" s="84" t="str">
        <f t="shared" si="3"/>
        <v>Stabil</v>
      </c>
      <c r="L1183" s="84">
        <f t="shared" si="4"/>
        <v>0</v>
      </c>
      <c r="M1183" s="88" t="str">
        <f t="shared" si="5"/>
        <v>Perubahan Normal</v>
      </c>
    </row>
    <row r="1184" ht="18.75" customHeight="1">
      <c r="A1184" s="80" t="s">
        <v>393</v>
      </c>
      <c r="B1184" s="81" t="str">
        <f t="shared" si="1"/>
        <v>Kab Sumbawa</v>
      </c>
      <c r="C1184" s="81" t="str">
        <f t="array" ref="C1184">XLOOKUP(B1184,Reference!$A$2:$A$152,Reference!$B$2:$B$152)</f>
        <v>Nusa Tenggara Barat (NTB)</v>
      </c>
      <c r="D1184" s="82" t="s">
        <v>1623</v>
      </c>
      <c r="E1184" s="83">
        <v>45352.0</v>
      </c>
      <c r="F1184" s="84" t="str">
        <f t="array" ref="F1184">XLOOKUP(G1184,Reference!$F:$F,Reference!$D:$D,"null")</f>
        <v>Pendidikan dan Kesehatan</v>
      </c>
      <c r="G1184" s="85" t="s">
        <v>98</v>
      </c>
      <c r="H1184" s="86">
        <v>107.01</v>
      </c>
      <c r="I1184" s="86">
        <v>106.35</v>
      </c>
      <c r="J1184" s="87">
        <f t="shared" si="2"/>
        <v>0.6205923836</v>
      </c>
      <c r="K1184" s="84" t="str">
        <f t="shared" si="3"/>
        <v>Inflasi Tinggi</v>
      </c>
      <c r="L1184" s="84">
        <f t="shared" si="4"/>
        <v>0.66</v>
      </c>
      <c r="M1184" s="88" t="str">
        <f t="shared" si="5"/>
        <v>Akselerasi Persentase</v>
      </c>
    </row>
    <row r="1185" ht="18.75" customHeight="1">
      <c r="A1185" s="80" t="s">
        <v>427</v>
      </c>
      <c r="B1185" s="81" t="str">
        <f t="shared" si="1"/>
        <v>Kota Malang</v>
      </c>
      <c r="C1185" s="81" t="str">
        <f t="array" ref="C1185">XLOOKUP(B1185,Reference!$A$2:$A$152,Reference!$B$2:$B$152)</f>
        <v>Jawa Timur</v>
      </c>
      <c r="D1185" s="82" t="s">
        <v>1624</v>
      </c>
      <c r="E1185" s="83">
        <v>45323.0</v>
      </c>
      <c r="F1185" s="84" t="str">
        <f t="array" ref="F1185">XLOOKUP(G1185,Reference!$F:$F,Reference!$D:$D,"null")</f>
        <v>Makanan dan Pakaian </v>
      </c>
      <c r="G1185" s="85" t="s">
        <v>72</v>
      </c>
      <c r="H1185" s="86">
        <v>102.21</v>
      </c>
      <c r="I1185" s="86">
        <v>102.23</v>
      </c>
      <c r="J1185" s="87">
        <f t="shared" si="2"/>
        <v>-0.01956372885</v>
      </c>
      <c r="K1185" s="84" t="str">
        <f t="shared" si="3"/>
        <v>Deflasi</v>
      </c>
      <c r="L1185" s="84">
        <f t="shared" si="4"/>
        <v>-0.02</v>
      </c>
      <c r="M1185" s="88" t="str">
        <f t="shared" si="5"/>
        <v>Perubahan Normal</v>
      </c>
    </row>
    <row r="1186" ht="18.75" customHeight="1">
      <c r="A1186" s="80" t="s">
        <v>414</v>
      </c>
      <c r="B1186" s="81" t="str">
        <f t="shared" si="1"/>
        <v>Kota Bandung</v>
      </c>
      <c r="C1186" s="81" t="str">
        <f t="array" ref="C1186">XLOOKUP(B1186,Reference!$A$2:$A$152,Reference!$B$2:$B$152)</f>
        <v>Jawa Barat</v>
      </c>
      <c r="D1186" s="82" t="s">
        <v>1625</v>
      </c>
      <c r="E1186" s="83">
        <v>45352.0</v>
      </c>
      <c r="F1186" s="84" t="str">
        <f t="array" ref="F1186">XLOOKUP(G1186,Reference!$F:$F,Reference!$D:$D,"null")</f>
        <v>Pendidikan dan Kesehatan</v>
      </c>
      <c r="G1186" s="85" t="s">
        <v>95</v>
      </c>
      <c r="H1186" s="86">
        <v>100.85</v>
      </c>
      <c r="I1186" s="86">
        <v>100.84</v>
      </c>
      <c r="J1186" s="87">
        <f t="shared" si="2"/>
        <v>0.009916699722</v>
      </c>
      <c r="K1186" s="84" t="str">
        <f t="shared" si="3"/>
        <v>Inflasi Normal</v>
      </c>
      <c r="L1186" s="84">
        <f t="shared" si="4"/>
        <v>0.01</v>
      </c>
      <c r="M1186" s="88" t="str">
        <f t="shared" si="5"/>
        <v>Perubahan Normal</v>
      </c>
    </row>
    <row r="1187" ht="18.75" customHeight="1">
      <c r="A1187" s="80" t="s">
        <v>382</v>
      </c>
      <c r="B1187" s="81" t="str">
        <f t="shared" si="1"/>
        <v>Kab Ngada</v>
      </c>
      <c r="C1187" s="81" t="str">
        <f t="array" ref="C1187">XLOOKUP(B1187,Reference!$A$2:$A$152,Reference!$B$2:$B$152)</f>
        <v>Nusa Tenggara Timur (NTT)</v>
      </c>
      <c r="D1187" s="82" t="s">
        <v>1626</v>
      </c>
      <c r="E1187" s="83">
        <v>45323.0</v>
      </c>
      <c r="F1187" s="84" t="str">
        <f t="array" ref="F1187">XLOOKUP(G1187,Reference!$F:$F,Reference!$D:$D,"null")</f>
        <v>Pendidikan dan Kesehatan</v>
      </c>
      <c r="G1187" s="85" t="s">
        <v>95</v>
      </c>
      <c r="H1187" s="86">
        <v>100.52</v>
      </c>
      <c r="I1187" s="86">
        <v>100.52</v>
      </c>
      <c r="J1187" s="87">
        <f t="shared" si="2"/>
        <v>0</v>
      </c>
      <c r="K1187" s="84" t="str">
        <f t="shared" si="3"/>
        <v>Stabil</v>
      </c>
      <c r="L1187" s="84">
        <f t="shared" si="4"/>
        <v>0</v>
      </c>
      <c r="M1187" s="88" t="str">
        <f t="shared" si="5"/>
        <v>Perubahan Normal</v>
      </c>
    </row>
    <row r="1188" ht="18.75" customHeight="1">
      <c r="A1188" s="80" t="s">
        <v>734</v>
      </c>
      <c r="B1188" s="81" t="str">
        <f t="shared" si="1"/>
        <v>Kota Tegal</v>
      </c>
      <c r="C1188" s="81" t="str">
        <f t="array" ref="C1188">XLOOKUP(B1188,Reference!$A$2:$A$152,Reference!$B$2:$B$152)</f>
        <v>Jawa Tengah</v>
      </c>
      <c r="D1188" s="82" t="s">
        <v>1627</v>
      </c>
      <c r="E1188" s="83">
        <v>45352.0</v>
      </c>
      <c r="F1188" s="84" t="str">
        <f t="array" ref="F1188">XLOOKUP(G1188,Reference!$F:$F,Reference!$D:$D,"null")</f>
        <v>Pendidikan dan Kesehatan</v>
      </c>
      <c r="G1188" s="85" t="s">
        <v>95</v>
      </c>
      <c r="H1188" s="86">
        <v>106.54</v>
      </c>
      <c r="I1188" s="86">
        <v>105.19</v>
      </c>
      <c r="J1188" s="87">
        <f t="shared" si="2"/>
        <v>1.283391957</v>
      </c>
      <c r="K1188" s="84" t="str">
        <f t="shared" si="3"/>
        <v>Inflasi Tinggi</v>
      </c>
      <c r="L1188" s="84">
        <f t="shared" si="4"/>
        <v>1.35</v>
      </c>
      <c r="M1188" s="88" t="str">
        <f t="shared" si="5"/>
        <v>Akselerasi Persentase</v>
      </c>
    </row>
    <row r="1189" ht="18.75" customHeight="1">
      <c r="A1189" s="80" t="s">
        <v>515</v>
      </c>
      <c r="B1189" s="81" t="str">
        <f t="shared" si="1"/>
        <v>Kab Gresik</v>
      </c>
      <c r="C1189" s="81" t="str">
        <f t="array" ref="C1189">XLOOKUP(B1189,Reference!$A$2:$A$152,Reference!$B$2:$B$152)</f>
        <v>Jawa Timur</v>
      </c>
      <c r="D1189" s="82" t="s">
        <v>1628</v>
      </c>
      <c r="E1189" s="83">
        <v>45323.0</v>
      </c>
      <c r="F1189" s="84" t="str">
        <f t="array" ref="F1189">XLOOKUP(G1189,Reference!$F:$F,Reference!$D:$D,"null")</f>
        <v>Rumah Tangga</v>
      </c>
      <c r="G1189" s="89" t="s">
        <v>80</v>
      </c>
      <c r="H1189" s="90">
        <v>101.79</v>
      </c>
      <c r="I1189" s="90">
        <v>101.62</v>
      </c>
      <c r="J1189" s="87">
        <f t="shared" si="2"/>
        <v>0.1672899036</v>
      </c>
      <c r="K1189" s="84" t="str">
        <f t="shared" si="3"/>
        <v>Inflasi Normal</v>
      </c>
      <c r="L1189" s="91">
        <f t="shared" si="4"/>
        <v>0.17</v>
      </c>
      <c r="M1189" s="88" t="str">
        <f t="shared" si="5"/>
        <v>Perubahan Normal</v>
      </c>
    </row>
    <row r="1190" ht="18.75" customHeight="1">
      <c r="A1190" s="80" t="s">
        <v>584</v>
      </c>
      <c r="B1190" s="81" t="str">
        <f t="shared" si="1"/>
        <v>Kota Sibolga</v>
      </c>
      <c r="C1190" s="81" t="str">
        <f t="array" ref="C1190">XLOOKUP(B1190,Reference!$A$2:$A$152,Reference!$B$2:$B$152)</f>
        <v>Sumatera Utara</v>
      </c>
      <c r="D1190" s="82" t="s">
        <v>1629</v>
      </c>
      <c r="E1190" s="83">
        <v>45352.0</v>
      </c>
      <c r="F1190" s="84" t="str">
        <f t="array" ref="F1190">XLOOKUP(G1190,Reference!$F:$F,Reference!$D:$D,"null")</f>
        <v>Pendidikan dan Kesehatan</v>
      </c>
      <c r="G1190" s="85" t="s">
        <v>95</v>
      </c>
      <c r="H1190" s="86">
        <v>103.65</v>
      </c>
      <c r="I1190" s="86">
        <v>103.65</v>
      </c>
      <c r="J1190" s="87">
        <f t="shared" si="2"/>
        <v>0</v>
      </c>
      <c r="K1190" s="84" t="str">
        <f t="shared" si="3"/>
        <v>Stabil</v>
      </c>
      <c r="L1190" s="84">
        <f t="shared" si="4"/>
        <v>0</v>
      </c>
      <c r="M1190" s="88" t="str">
        <f t="shared" si="5"/>
        <v>Perubahan Normal</v>
      </c>
    </row>
    <row r="1191" ht="18.75" customHeight="1">
      <c r="A1191" s="80" t="s">
        <v>542</v>
      </c>
      <c r="B1191" s="81" t="str">
        <f t="shared" si="1"/>
        <v>Kab Karo</v>
      </c>
      <c r="C1191" s="81" t="str">
        <f t="array" ref="C1191">XLOOKUP(B1191,Reference!$A$2:$A$152,Reference!$B$2:$B$152)</f>
        <v>Sumatera Utara</v>
      </c>
      <c r="D1191" s="82" t="s">
        <v>1630</v>
      </c>
      <c r="E1191" s="83">
        <v>45352.0</v>
      </c>
      <c r="F1191" s="84" t="str">
        <f t="array" ref="F1191">XLOOKUP(G1191,Reference!$F:$F,Reference!$D:$D,"null")</f>
        <v>Makanan dan Pakaian </v>
      </c>
      <c r="G1191" s="85" t="s">
        <v>72</v>
      </c>
      <c r="H1191" s="86">
        <v>106.26</v>
      </c>
      <c r="I1191" s="86">
        <v>105.77</v>
      </c>
      <c r="J1191" s="87">
        <f t="shared" si="2"/>
        <v>0.463269358</v>
      </c>
      <c r="K1191" s="84" t="str">
        <f t="shared" si="3"/>
        <v>Inflasi Normal</v>
      </c>
      <c r="L1191" s="84">
        <f t="shared" si="4"/>
        <v>0.49</v>
      </c>
      <c r="M1191" s="88" t="str">
        <f t="shared" si="5"/>
        <v>Perubahan Normal</v>
      </c>
    </row>
    <row r="1192" ht="18.75" customHeight="1">
      <c r="A1192" s="80" t="s">
        <v>360</v>
      </c>
      <c r="B1192" s="81" t="str">
        <f t="shared" si="1"/>
        <v>Kab Wonosobo</v>
      </c>
      <c r="C1192" s="81" t="str">
        <f t="array" ref="C1192">XLOOKUP(B1192,Reference!$A$2:$A$152,Reference!$B$2:$B$152)</f>
        <v>Jawa Tengah</v>
      </c>
      <c r="D1192" s="82" t="s">
        <v>1631</v>
      </c>
      <c r="E1192" s="83">
        <v>45323.0</v>
      </c>
      <c r="F1192" s="84" t="str">
        <f t="array" ref="F1192">XLOOKUP(G1192,Reference!$F:$F,Reference!$D:$D,"null")</f>
        <v>Makanan dan Pakaian </v>
      </c>
      <c r="G1192" s="85" t="s">
        <v>64</v>
      </c>
      <c r="H1192" s="86">
        <v>107.12</v>
      </c>
      <c r="I1192" s="86">
        <v>107.12</v>
      </c>
      <c r="J1192" s="87">
        <f t="shared" si="2"/>
        <v>0</v>
      </c>
      <c r="K1192" s="84" t="str">
        <f t="shared" si="3"/>
        <v>Stabil</v>
      </c>
      <c r="L1192" s="84">
        <f t="shared" si="4"/>
        <v>0</v>
      </c>
      <c r="M1192" s="88" t="str">
        <f t="shared" si="5"/>
        <v>Perubahan Normal</v>
      </c>
    </row>
    <row r="1193" ht="18.75" customHeight="1">
      <c r="A1193" s="80" t="s">
        <v>387</v>
      </c>
      <c r="B1193" s="81" t="str">
        <f t="shared" si="1"/>
        <v>Kota Semarang</v>
      </c>
      <c r="C1193" s="81" t="str">
        <f t="array" ref="C1193">XLOOKUP(B1193,Reference!$A$2:$A$152,Reference!$B$2:$B$152)</f>
        <v>Jawa Tengah</v>
      </c>
      <c r="D1193" s="82" t="s">
        <v>1632</v>
      </c>
      <c r="E1193" s="83">
        <v>45323.0</v>
      </c>
      <c r="F1193" s="84" t="str">
        <f t="array" ref="F1193">XLOOKUP(G1193,Reference!$F:$F,Reference!$D:$D,"null")</f>
        <v>Makanan dan Pakaian </v>
      </c>
      <c r="G1193" s="85" t="s">
        <v>64</v>
      </c>
      <c r="H1193" s="86">
        <v>104.12</v>
      </c>
      <c r="I1193" s="86">
        <v>104.11</v>
      </c>
      <c r="J1193" s="87">
        <f t="shared" si="2"/>
        <v>0.009605225243</v>
      </c>
      <c r="K1193" s="84" t="str">
        <f t="shared" si="3"/>
        <v>Inflasi Normal</v>
      </c>
      <c r="L1193" s="84">
        <f t="shared" si="4"/>
        <v>0.01</v>
      </c>
      <c r="M1193" s="88" t="str">
        <f t="shared" si="5"/>
        <v>Perubahan Normal</v>
      </c>
    </row>
    <row r="1194" ht="18.75" customHeight="1">
      <c r="A1194" s="80" t="s">
        <v>699</v>
      </c>
      <c r="B1194" s="81" t="str">
        <f t="shared" si="1"/>
        <v>Mamuju</v>
      </c>
      <c r="C1194" s="81" t="str">
        <f t="array" ref="C1194">XLOOKUP(B1194,Reference!$A$2:$A$152,Reference!$B$2:$B$152)</f>
        <v>Sulawesi Barat</v>
      </c>
      <c r="D1194" s="82" t="s">
        <v>1633</v>
      </c>
      <c r="E1194" s="83">
        <v>45323.0</v>
      </c>
      <c r="F1194" s="84" t="str">
        <f t="array" ref="F1194">XLOOKUP(G1194,Reference!$F:$F,Reference!$D:$D,"null")</f>
        <v>Rumah Tangga</v>
      </c>
      <c r="G1194" s="85" t="s">
        <v>80</v>
      </c>
      <c r="H1194" s="86">
        <v>104.29</v>
      </c>
      <c r="I1194" s="86">
        <v>104.29</v>
      </c>
      <c r="J1194" s="87">
        <f t="shared" si="2"/>
        <v>0</v>
      </c>
      <c r="K1194" s="84" t="str">
        <f t="shared" si="3"/>
        <v>Stabil</v>
      </c>
      <c r="L1194" s="84">
        <f t="shared" si="4"/>
        <v>0</v>
      </c>
      <c r="M1194" s="88" t="str">
        <f t="shared" si="5"/>
        <v>Perubahan Normal</v>
      </c>
    </row>
    <row r="1195" ht="18.75" customHeight="1">
      <c r="A1195" s="80" t="s">
        <v>417</v>
      </c>
      <c r="B1195" s="81" t="str">
        <f t="shared" si="1"/>
        <v>Kotabaru</v>
      </c>
      <c r="C1195" s="81" t="str">
        <f t="array" ref="C1195">XLOOKUP(B1195,Reference!$A$2:$A$152,Reference!$B$2:$B$152)</f>
        <v>Kalimantan Selatan</v>
      </c>
      <c r="D1195" s="82" t="s">
        <v>1634</v>
      </c>
      <c r="E1195" s="83">
        <v>45323.0</v>
      </c>
      <c r="F1195" s="84" t="str">
        <f t="array" ref="F1195">XLOOKUP(G1195,Reference!$F:$F,Reference!$D:$D,"null")</f>
        <v>Rumah Tangga</v>
      </c>
      <c r="G1195" s="85" t="s">
        <v>84</v>
      </c>
      <c r="H1195" s="86">
        <v>102.18</v>
      </c>
      <c r="I1195" s="86">
        <v>102.94</v>
      </c>
      <c r="J1195" s="87">
        <f t="shared" si="2"/>
        <v>-0.7382941519</v>
      </c>
      <c r="K1195" s="84" t="str">
        <f t="shared" si="3"/>
        <v>Deflasi</v>
      </c>
      <c r="L1195" s="84">
        <f t="shared" si="4"/>
        <v>-0.76</v>
      </c>
      <c r="M1195" s="88" t="str">
        <f t="shared" si="5"/>
        <v>Perubahan Normal</v>
      </c>
    </row>
    <row r="1196" ht="18.75" customHeight="1">
      <c r="A1196" s="80" t="s">
        <v>594</v>
      </c>
      <c r="B1196" s="81" t="str">
        <f t="shared" si="1"/>
        <v>Kota Kendari</v>
      </c>
      <c r="C1196" s="81" t="str">
        <f t="array" ref="C1196">XLOOKUP(B1196,Reference!$A$2:$A$152,Reference!$B$2:$B$152)</f>
        <v>Sulawesi Tenggara</v>
      </c>
      <c r="D1196" s="82" t="s">
        <v>1635</v>
      </c>
      <c r="E1196" s="83">
        <v>45352.0</v>
      </c>
      <c r="F1196" s="84" t="str">
        <f t="array" ref="F1196">XLOOKUP(G1196,Reference!$F:$F,Reference!$D:$D,"null")</f>
        <v>Rumah Tangga</v>
      </c>
      <c r="G1196" s="85" t="s">
        <v>84</v>
      </c>
      <c r="H1196" s="86">
        <v>101.61</v>
      </c>
      <c r="I1196" s="86">
        <v>101.62</v>
      </c>
      <c r="J1196" s="87">
        <f t="shared" si="2"/>
        <v>-0.009840582562</v>
      </c>
      <c r="K1196" s="84" t="str">
        <f t="shared" si="3"/>
        <v>Deflasi</v>
      </c>
      <c r="L1196" s="84">
        <f t="shared" si="4"/>
        <v>-0.01</v>
      </c>
      <c r="M1196" s="88" t="str">
        <f t="shared" si="5"/>
        <v>Perubahan Normal</v>
      </c>
    </row>
    <row r="1197" ht="18.75" customHeight="1">
      <c r="A1197" s="80" t="s">
        <v>584</v>
      </c>
      <c r="B1197" s="81" t="str">
        <f t="shared" si="1"/>
        <v>Kota Sibolga</v>
      </c>
      <c r="C1197" s="81" t="str">
        <f t="array" ref="C1197">XLOOKUP(B1197,Reference!$A$2:$A$152,Reference!$B$2:$B$152)</f>
        <v>Sumatera Utara</v>
      </c>
      <c r="D1197" s="82" t="s">
        <v>1636</v>
      </c>
      <c r="E1197" s="83">
        <v>45352.0</v>
      </c>
      <c r="F1197" s="84" t="str">
        <f t="array" ref="F1197">XLOOKUP(G1197,Reference!$F:$F,Reference!$D:$D,"null")</f>
        <v>Pendidikan dan Kesehatan</v>
      </c>
      <c r="G1197" s="85" t="s">
        <v>98</v>
      </c>
      <c r="H1197" s="86">
        <v>101.48</v>
      </c>
      <c r="I1197" s="86">
        <v>101.48</v>
      </c>
      <c r="J1197" s="87">
        <f t="shared" si="2"/>
        <v>0</v>
      </c>
      <c r="K1197" s="84" t="str">
        <f t="shared" si="3"/>
        <v>Stabil</v>
      </c>
      <c r="L1197" s="84">
        <f t="shared" si="4"/>
        <v>0</v>
      </c>
      <c r="M1197" s="88" t="str">
        <f t="shared" si="5"/>
        <v>Perubahan Normal</v>
      </c>
    </row>
    <row r="1198" ht="18.75" customHeight="1">
      <c r="A1198" s="80" t="s">
        <v>485</v>
      </c>
      <c r="B1198" s="81" t="str">
        <f t="shared" si="1"/>
        <v>Banyuwangi</v>
      </c>
      <c r="C1198" s="81" t="str">
        <f t="array" ref="C1198">XLOOKUP(B1198,Reference!$A$2:$A$152,Reference!$B$2:$B$152)</f>
        <v>Jawa Timur</v>
      </c>
      <c r="D1198" s="82" t="s">
        <v>1637</v>
      </c>
      <c r="E1198" s="83">
        <v>45352.0</v>
      </c>
      <c r="F1198" s="84" t="str">
        <f t="array" ref="F1198">XLOOKUP(G1198,Reference!$F:$F,Reference!$D:$D,"null")</f>
        <v>Rumah Tangga</v>
      </c>
      <c r="G1198" s="85" t="s">
        <v>84</v>
      </c>
      <c r="H1198" s="86">
        <v>101.74</v>
      </c>
      <c r="I1198" s="86">
        <v>101.74</v>
      </c>
      <c r="J1198" s="87">
        <f t="shared" si="2"/>
        <v>0</v>
      </c>
      <c r="K1198" s="84" t="str">
        <f t="shared" si="3"/>
        <v>Stabil</v>
      </c>
      <c r="L1198" s="84">
        <f t="shared" si="4"/>
        <v>0</v>
      </c>
      <c r="M1198" s="88" t="str">
        <f t="shared" si="5"/>
        <v>Perubahan Normal</v>
      </c>
    </row>
    <row r="1199" ht="18.75" customHeight="1">
      <c r="A1199" s="80" t="s">
        <v>391</v>
      </c>
      <c r="B1199" s="81" t="str">
        <f t="shared" si="1"/>
        <v>Kota Batam</v>
      </c>
      <c r="C1199" s="81" t="str">
        <f t="array" ref="C1199">XLOOKUP(B1199,Reference!$A$2:$A$152,Reference!$B$2:$B$152)</f>
        <v>Kepulauan Riau</v>
      </c>
      <c r="D1199" s="82" t="s">
        <v>1638</v>
      </c>
      <c r="E1199" s="83">
        <v>45323.0</v>
      </c>
      <c r="F1199" s="84" t="str">
        <f t="array" ref="F1199">XLOOKUP(G1199,Reference!$F:$F,Reference!$D:$D,"null")</f>
        <v>Rumah Tangga</v>
      </c>
      <c r="G1199" s="85" t="s">
        <v>80</v>
      </c>
      <c r="H1199" s="86">
        <v>105.96</v>
      </c>
      <c r="I1199" s="86">
        <v>105.96</v>
      </c>
      <c r="J1199" s="87">
        <f t="shared" si="2"/>
        <v>0</v>
      </c>
      <c r="K1199" s="84" t="str">
        <f t="shared" si="3"/>
        <v>Stabil</v>
      </c>
      <c r="L1199" s="84">
        <f t="shared" si="4"/>
        <v>0</v>
      </c>
      <c r="M1199" s="88" t="str">
        <f t="shared" si="5"/>
        <v>Perubahan Normal</v>
      </c>
    </row>
    <row r="1200" ht="18.75" customHeight="1">
      <c r="A1200" s="80" t="s">
        <v>478</v>
      </c>
      <c r="B1200" s="81" t="str">
        <f t="shared" si="1"/>
        <v>Kab Maluku Tengah</v>
      </c>
      <c r="C1200" s="81" t="str">
        <f t="array" ref="C1200">XLOOKUP(B1200,Reference!$A$2:$A$152,Reference!$B$2:$B$152)</f>
        <v>Maluku</v>
      </c>
      <c r="D1200" s="82" t="s">
        <v>1639</v>
      </c>
      <c r="E1200" s="83">
        <v>45352.0</v>
      </c>
      <c r="F1200" s="84" t="str">
        <f t="array" ref="F1200">XLOOKUP(G1200,Reference!$F:$F,Reference!$D:$D,"null")</f>
        <v>Pendidikan dan Kesehatan</v>
      </c>
      <c r="G1200" s="85" t="s">
        <v>95</v>
      </c>
      <c r="H1200" s="86">
        <v>100.0</v>
      </c>
      <c r="I1200" s="86">
        <v>100.0</v>
      </c>
      <c r="J1200" s="87">
        <f t="shared" si="2"/>
        <v>0</v>
      </c>
      <c r="K1200" s="84" t="str">
        <f t="shared" si="3"/>
        <v>Stabil</v>
      </c>
      <c r="L1200" s="84">
        <f t="shared" si="4"/>
        <v>0</v>
      </c>
      <c r="M1200" s="88" t="str">
        <f t="shared" si="5"/>
        <v>Perubahan Normal</v>
      </c>
    </row>
    <row r="1201" ht="18.75" customHeight="1">
      <c r="A1201" s="80" t="s">
        <v>312</v>
      </c>
      <c r="B1201" s="81" t="str">
        <f t="shared" si="1"/>
        <v>Kab Jayawijaya</v>
      </c>
      <c r="C1201" s="81" t="str">
        <f t="array" ref="C1201">XLOOKUP(B1201,Reference!$A$2:$A$152,Reference!$B$2:$B$152)</f>
        <v>Papua</v>
      </c>
      <c r="D1201" s="82" t="s">
        <v>1640</v>
      </c>
      <c r="E1201" s="83">
        <v>45323.0</v>
      </c>
      <c r="F1201" s="84" t="str">
        <f t="array" ref="F1201">XLOOKUP(G1201,Reference!$F:$F,Reference!$D:$D,"null")</f>
        <v>Rumah Tangga</v>
      </c>
      <c r="G1201" s="85" t="s">
        <v>89</v>
      </c>
      <c r="H1201" s="86">
        <v>95.18</v>
      </c>
      <c r="I1201" s="86">
        <v>95.18</v>
      </c>
      <c r="J1201" s="87">
        <f t="shared" si="2"/>
        <v>0</v>
      </c>
      <c r="K1201" s="84" t="str">
        <f t="shared" si="3"/>
        <v>Stabil</v>
      </c>
      <c r="L1201" s="84">
        <f t="shared" si="4"/>
        <v>0</v>
      </c>
      <c r="M1201" s="88" t="str">
        <f t="shared" si="5"/>
        <v>Perubahan Normal</v>
      </c>
    </row>
    <row r="1202" ht="18.75" customHeight="1">
      <c r="A1202" s="80" t="s">
        <v>631</v>
      </c>
      <c r="B1202" s="81" t="str">
        <f t="shared" si="1"/>
        <v>Kab Toli Toli</v>
      </c>
      <c r="C1202" s="81" t="str">
        <f t="array" ref="C1202">XLOOKUP(B1202,Reference!$A$2:$A$152,Reference!$B$2:$B$152)</f>
        <v>Sulawesi Tengah</v>
      </c>
      <c r="D1202" s="82" t="s">
        <v>1641</v>
      </c>
      <c r="E1202" s="83">
        <v>45323.0</v>
      </c>
      <c r="F1202" s="84" t="str">
        <f t="array" ref="F1202">XLOOKUP(G1202,Reference!$F:$F,Reference!$D:$D,"null")</f>
        <v>Rumah Tangga</v>
      </c>
      <c r="G1202" s="85" t="s">
        <v>80</v>
      </c>
      <c r="H1202" s="86">
        <v>100.0</v>
      </c>
      <c r="I1202" s="86">
        <v>100.0</v>
      </c>
      <c r="J1202" s="87">
        <f t="shared" si="2"/>
        <v>0</v>
      </c>
      <c r="K1202" s="84" t="str">
        <f t="shared" si="3"/>
        <v>Stabil</v>
      </c>
      <c r="L1202" s="84">
        <f t="shared" si="4"/>
        <v>0</v>
      </c>
      <c r="M1202" s="88" t="str">
        <f t="shared" si="5"/>
        <v>Perubahan Normal</v>
      </c>
    </row>
    <row r="1203" ht="18.75" customHeight="1">
      <c r="A1203" s="80" t="s">
        <v>462</v>
      </c>
      <c r="B1203" s="81" t="str">
        <f t="shared" si="1"/>
        <v>Kota Probolinggo</v>
      </c>
      <c r="C1203" s="81" t="str">
        <f t="array" ref="C1203">XLOOKUP(B1203,Reference!$A$2:$A$152,Reference!$B$2:$B$152)</f>
        <v>Jawa Timur</v>
      </c>
      <c r="D1203" s="82" t="s">
        <v>1642</v>
      </c>
      <c r="E1203" s="83">
        <v>45323.0</v>
      </c>
      <c r="F1203" s="84" t="str">
        <f t="array" ref="F1203">XLOOKUP(G1203,Reference!$F:$F,Reference!$D:$D,"null")</f>
        <v>Rumah Tangga</v>
      </c>
      <c r="G1203" s="85" t="s">
        <v>84</v>
      </c>
      <c r="H1203" s="86">
        <v>100.09</v>
      </c>
      <c r="I1203" s="86">
        <v>100.09</v>
      </c>
      <c r="J1203" s="87">
        <f t="shared" si="2"/>
        <v>0</v>
      </c>
      <c r="K1203" s="84" t="str">
        <f t="shared" si="3"/>
        <v>Stabil</v>
      </c>
      <c r="L1203" s="84">
        <f t="shared" si="4"/>
        <v>0</v>
      </c>
      <c r="M1203" s="88" t="str">
        <f t="shared" si="5"/>
        <v>Perubahan Normal</v>
      </c>
    </row>
    <row r="1204" ht="18.75" customHeight="1">
      <c r="A1204" s="80" t="s">
        <v>380</v>
      </c>
      <c r="B1204" s="81" t="str">
        <f t="shared" si="1"/>
        <v>Kota Bengkulu</v>
      </c>
      <c r="C1204" s="81" t="str">
        <f t="array" ref="C1204">XLOOKUP(B1204,Reference!$A$2:$A$152,Reference!$B$2:$B$152)</f>
        <v>Bengkulu</v>
      </c>
      <c r="D1204" s="82" t="s">
        <v>1643</v>
      </c>
      <c r="E1204" s="83">
        <v>45352.0</v>
      </c>
      <c r="F1204" s="84" t="str">
        <f t="array" ref="F1204">XLOOKUP(G1204,Reference!$F:$F,Reference!$D:$D,"null")</f>
        <v>Pendidikan dan Kesehatan</v>
      </c>
      <c r="G1204" s="85" t="s">
        <v>95</v>
      </c>
      <c r="H1204" s="86">
        <v>102.8</v>
      </c>
      <c r="I1204" s="86">
        <v>102.8</v>
      </c>
      <c r="J1204" s="87">
        <f t="shared" si="2"/>
        <v>0</v>
      </c>
      <c r="K1204" s="84" t="str">
        <f t="shared" si="3"/>
        <v>Stabil</v>
      </c>
      <c r="L1204" s="84">
        <f t="shared" si="4"/>
        <v>0</v>
      </c>
      <c r="M1204" s="88" t="str">
        <f t="shared" si="5"/>
        <v>Perubahan Normal</v>
      </c>
    </row>
    <row r="1205" ht="18.75" customHeight="1">
      <c r="A1205" s="80" t="s">
        <v>920</v>
      </c>
      <c r="B1205" s="81" t="str">
        <f t="shared" si="1"/>
        <v>Kab Deli Serdang</v>
      </c>
      <c r="C1205" s="81" t="str">
        <f t="array" ref="C1205">XLOOKUP(B1205,Reference!$A$2:$A$152,Reference!$B$2:$B$152)</f>
        <v>Sumatera Utara</v>
      </c>
      <c r="D1205" s="82" t="s">
        <v>1644</v>
      </c>
      <c r="E1205" s="83">
        <v>45352.0</v>
      </c>
      <c r="F1205" s="84" t="str">
        <f t="array" ref="F1205">XLOOKUP(G1205,Reference!$F:$F,Reference!$D:$D,"null")</f>
        <v>Makanan dan Pakaian </v>
      </c>
      <c r="G1205" s="85" t="s">
        <v>64</v>
      </c>
      <c r="H1205" s="86">
        <v>102.64</v>
      </c>
      <c r="I1205" s="86">
        <v>102.64</v>
      </c>
      <c r="J1205" s="87">
        <f t="shared" si="2"/>
        <v>0</v>
      </c>
      <c r="K1205" s="84" t="str">
        <f t="shared" si="3"/>
        <v>Stabil</v>
      </c>
      <c r="L1205" s="84">
        <f t="shared" si="4"/>
        <v>0</v>
      </c>
      <c r="M1205" s="88" t="str">
        <f t="shared" si="5"/>
        <v>Perubahan Normal</v>
      </c>
    </row>
    <row r="1206" ht="18.75" customHeight="1">
      <c r="A1206" s="80" t="s">
        <v>304</v>
      </c>
      <c r="B1206" s="81" t="str">
        <f t="shared" si="1"/>
        <v>Kota Kediri</v>
      </c>
      <c r="C1206" s="81" t="str">
        <f t="array" ref="C1206">XLOOKUP(B1206,Reference!$A$2:$A$152,Reference!$B$2:$B$152)</f>
        <v>Jawa Timur</v>
      </c>
      <c r="D1206" s="82" t="s">
        <v>1645</v>
      </c>
      <c r="E1206" s="83">
        <v>45323.0</v>
      </c>
      <c r="F1206" s="84" t="str">
        <f t="array" ref="F1206">XLOOKUP(G1206,Reference!$F:$F,Reference!$D:$D,"null")</f>
        <v>Makanan dan Pakaian </v>
      </c>
      <c r="G1206" s="85" t="s">
        <v>56</v>
      </c>
      <c r="H1206" s="86">
        <v>103.13</v>
      </c>
      <c r="I1206" s="86">
        <v>103.33</v>
      </c>
      <c r="J1206" s="87">
        <f t="shared" si="2"/>
        <v>-0.1935546308</v>
      </c>
      <c r="K1206" s="84" t="str">
        <f t="shared" si="3"/>
        <v>Deflasi</v>
      </c>
      <c r="L1206" s="84">
        <f t="shared" si="4"/>
        <v>-0.2</v>
      </c>
      <c r="M1206" s="88" t="str">
        <f t="shared" si="5"/>
        <v>Perubahan Normal</v>
      </c>
    </row>
    <row r="1207" ht="18.75" customHeight="1">
      <c r="A1207" s="80" t="s">
        <v>598</v>
      </c>
      <c r="B1207" s="81" t="str">
        <f t="shared" si="1"/>
        <v>Kota Surakarta</v>
      </c>
      <c r="C1207" s="81" t="str">
        <f t="array" ref="C1207">XLOOKUP(B1207,Reference!$A$2:$A$152,Reference!$B$2:$B$152)</f>
        <v>Jawa Tengah</v>
      </c>
      <c r="D1207" s="82" t="s">
        <v>1646</v>
      </c>
      <c r="E1207" s="83">
        <v>45352.0</v>
      </c>
      <c r="F1207" s="84" t="str">
        <f t="array" ref="F1207">XLOOKUP(G1207,Reference!$F:$F,Reference!$D:$D,"null")</f>
        <v>Rumah Tangga</v>
      </c>
      <c r="G1207" s="85" t="s">
        <v>89</v>
      </c>
      <c r="H1207" s="86">
        <v>107.7</v>
      </c>
      <c r="I1207" s="86">
        <v>107.7</v>
      </c>
      <c r="J1207" s="87">
        <f t="shared" si="2"/>
        <v>0</v>
      </c>
      <c r="K1207" s="84" t="str">
        <f t="shared" si="3"/>
        <v>Stabil</v>
      </c>
      <c r="L1207" s="84">
        <f t="shared" si="4"/>
        <v>0</v>
      </c>
      <c r="M1207" s="88" t="str">
        <f t="shared" si="5"/>
        <v>Perubahan Normal</v>
      </c>
    </row>
    <row r="1208" ht="18.75" customHeight="1">
      <c r="A1208" s="80" t="s">
        <v>1282</v>
      </c>
      <c r="B1208" s="81" t="str">
        <f t="shared" si="1"/>
        <v>Kota Bima</v>
      </c>
      <c r="C1208" s="81" t="str">
        <f t="array" ref="C1208">XLOOKUP(B1208,Reference!$A$2:$A$152,Reference!$B$2:$B$152)</f>
        <v>Nusa Tenggara Barat (NTB)</v>
      </c>
      <c r="D1208" s="82" t="s">
        <v>1647</v>
      </c>
      <c r="E1208" s="83">
        <v>45352.0</v>
      </c>
      <c r="F1208" s="84" t="str">
        <f t="array" ref="F1208">XLOOKUP(G1208,Reference!$F:$F,Reference!$D:$D,"null")</f>
        <v>Rekreasi dan Kendaraan</v>
      </c>
      <c r="G1208" s="85" t="s">
        <v>105</v>
      </c>
      <c r="H1208" s="86">
        <v>100.23</v>
      </c>
      <c r="I1208" s="86">
        <v>100.23</v>
      </c>
      <c r="J1208" s="87">
        <f t="shared" si="2"/>
        <v>0</v>
      </c>
      <c r="K1208" s="84" t="str">
        <f t="shared" si="3"/>
        <v>Stabil</v>
      </c>
      <c r="L1208" s="84">
        <f t="shared" si="4"/>
        <v>0</v>
      </c>
      <c r="M1208" s="88" t="str">
        <f t="shared" si="5"/>
        <v>Perubahan Normal</v>
      </c>
    </row>
    <row r="1209" ht="18.75" customHeight="1">
      <c r="A1209" s="80" t="s">
        <v>322</v>
      </c>
      <c r="B1209" s="81" t="str">
        <f t="shared" si="1"/>
        <v>Purwokerto</v>
      </c>
      <c r="C1209" s="81" t="str">
        <f t="array" ref="C1209">XLOOKUP(B1209,Reference!$A$2:$A$152,Reference!$B$2:$B$152)</f>
        <v>Jawa Tengah</v>
      </c>
      <c r="D1209" s="82" t="s">
        <v>1648</v>
      </c>
      <c r="E1209" s="83">
        <v>45323.0</v>
      </c>
      <c r="F1209" s="84" t="str">
        <f t="array" ref="F1209">XLOOKUP(G1209,Reference!$F:$F,Reference!$D:$D,"null")</f>
        <v>Rumah Tangga</v>
      </c>
      <c r="G1209" s="85" t="s">
        <v>84</v>
      </c>
      <c r="H1209" s="86">
        <v>100.49</v>
      </c>
      <c r="I1209" s="86">
        <v>100.49</v>
      </c>
      <c r="J1209" s="87">
        <f t="shared" si="2"/>
        <v>0</v>
      </c>
      <c r="K1209" s="84" t="str">
        <f t="shared" si="3"/>
        <v>Stabil</v>
      </c>
      <c r="L1209" s="84">
        <f t="shared" si="4"/>
        <v>0</v>
      </c>
      <c r="M1209" s="88" t="str">
        <f t="shared" si="5"/>
        <v>Perubahan Normal</v>
      </c>
    </row>
    <row r="1210" ht="18.75" customHeight="1">
      <c r="A1210" s="80" t="s">
        <v>654</v>
      </c>
      <c r="B1210" s="81" t="str">
        <f t="shared" si="1"/>
        <v>Kab Aceh Tengah</v>
      </c>
      <c r="C1210" s="81" t="str">
        <f t="array" ref="C1210">XLOOKUP(B1210,Reference!$A$2:$A$152,Reference!$B$2:$B$152)</f>
        <v>Aceh</v>
      </c>
      <c r="D1210" s="82" t="s">
        <v>1649</v>
      </c>
      <c r="E1210" s="83">
        <v>45352.0</v>
      </c>
      <c r="F1210" s="84" t="str">
        <f t="array" ref="F1210">XLOOKUP(G1210,Reference!$F:$F,Reference!$D:$D,"null")</f>
        <v>Pendidikan dan Kesehatan</v>
      </c>
      <c r="G1210" s="85" t="s">
        <v>98</v>
      </c>
      <c r="H1210" s="86">
        <v>108.37</v>
      </c>
      <c r="I1210" s="86">
        <v>106.26</v>
      </c>
      <c r="J1210" s="87">
        <f t="shared" si="2"/>
        <v>1.985695464</v>
      </c>
      <c r="K1210" s="84" t="str">
        <f t="shared" si="3"/>
        <v>Inflasi Tinggi</v>
      </c>
      <c r="L1210" s="84">
        <f t="shared" si="4"/>
        <v>2.11</v>
      </c>
      <c r="M1210" s="88" t="str">
        <f t="shared" si="5"/>
        <v>Akselerasi Kuat</v>
      </c>
    </row>
    <row r="1211" ht="18.75" customHeight="1">
      <c r="A1211" s="80" t="s">
        <v>401</v>
      </c>
      <c r="B1211" s="81" t="str">
        <f t="shared" si="1"/>
        <v>Kota Tual</v>
      </c>
      <c r="C1211" s="81" t="str">
        <f t="array" ref="C1211">XLOOKUP(B1211,Reference!$A$2:$A$152,Reference!$B$2:$B$152)</f>
        <v>Maluku</v>
      </c>
      <c r="D1211" s="82" t="s">
        <v>1650</v>
      </c>
      <c r="E1211" s="83">
        <v>45352.0</v>
      </c>
      <c r="F1211" s="84" t="str">
        <f t="array" ref="F1211">XLOOKUP(G1211,Reference!$F:$F,Reference!$D:$D,"null")</f>
        <v>Rumah Tangga</v>
      </c>
      <c r="G1211" s="85" t="s">
        <v>84</v>
      </c>
      <c r="H1211" s="86">
        <v>101.76</v>
      </c>
      <c r="I1211" s="86">
        <v>104.42</v>
      </c>
      <c r="J1211" s="87">
        <f t="shared" si="2"/>
        <v>-2.547404712</v>
      </c>
      <c r="K1211" s="84" t="str">
        <f t="shared" si="3"/>
        <v>Deflasi</v>
      </c>
      <c r="L1211" s="84">
        <f t="shared" si="4"/>
        <v>-2.66</v>
      </c>
      <c r="M1211" s="88" t="str">
        <f t="shared" si="5"/>
        <v>Perubahan Normal</v>
      </c>
    </row>
    <row r="1212" ht="18.75" customHeight="1">
      <c r="A1212" s="80" t="s">
        <v>442</v>
      </c>
      <c r="B1212" s="81" t="str">
        <f t="shared" si="1"/>
        <v>Kota Cirebon</v>
      </c>
      <c r="C1212" s="81" t="str">
        <f t="array" ref="C1212">XLOOKUP(B1212,Reference!$A$2:$A$152,Reference!$B$2:$B$152)</f>
        <v>Jawa Barat</v>
      </c>
      <c r="D1212" s="82" t="s">
        <v>1651</v>
      </c>
      <c r="E1212" s="83">
        <v>45323.0</v>
      </c>
      <c r="F1212" s="84" t="str">
        <f t="array" ref="F1212">XLOOKUP(G1212,Reference!$F:$F,Reference!$D:$D,"null")</f>
        <v>Rumah Tangga</v>
      </c>
      <c r="G1212" s="85" t="s">
        <v>89</v>
      </c>
      <c r="H1212" s="86">
        <v>98.42</v>
      </c>
      <c r="I1212" s="86">
        <v>97.86</v>
      </c>
      <c r="J1212" s="87">
        <f t="shared" si="2"/>
        <v>0.5722460658</v>
      </c>
      <c r="K1212" s="84" t="str">
        <f t="shared" si="3"/>
        <v>Inflasi Tinggi</v>
      </c>
      <c r="L1212" s="84">
        <f t="shared" si="4"/>
        <v>0.56</v>
      </c>
      <c r="M1212" s="88" t="str">
        <f t="shared" si="5"/>
        <v>Akselerasi Persentase</v>
      </c>
    </row>
    <row r="1213" ht="18.75" customHeight="1">
      <c r="A1213" s="80" t="s">
        <v>526</v>
      </c>
      <c r="B1213" s="81" t="str">
        <f t="shared" si="1"/>
        <v>Maumere</v>
      </c>
      <c r="C1213" s="81" t="str">
        <f t="array" ref="C1213">XLOOKUP(B1213,Reference!$A$2:$A$152,Reference!$B$2:$B$152)</f>
        <v>Nusa Tenggara Timur (NTT)</v>
      </c>
      <c r="D1213" s="82" t="s">
        <v>1652</v>
      </c>
      <c r="E1213" s="83">
        <v>45352.0</v>
      </c>
      <c r="F1213" s="84" t="str">
        <f t="array" ref="F1213">XLOOKUP(G1213,Reference!$F:$F,Reference!$D:$D,"null")</f>
        <v>Pendidikan dan Kesehatan</v>
      </c>
      <c r="G1213" s="85" t="s">
        <v>95</v>
      </c>
      <c r="H1213" s="86">
        <v>101.19</v>
      </c>
      <c r="I1213" s="86">
        <v>101.19</v>
      </c>
      <c r="J1213" s="87">
        <f t="shared" si="2"/>
        <v>0</v>
      </c>
      <c r="K1213" s="84" t="str">
        <f t="shared" si="3"/>
        <v>Stabil</v>
      </c>
      <c r="L1213" s="84">
        <f t="shared" si="4"/>
        <v>0</v>
      </c>
      <c r="M1213" s="88" t="str">
        <f t="shared" si="5"/>
        <v>Perubahan Normal</v>
      </c>
    </row>
    <row r="1214" ht="18.75" customHeight="1">
      <c r="A1214" s="80" t="s">
        <v>376</v>
      </c>
      <c r="B1214" s="81" t="str">
        <f t="shared" si="1"/>
        <v>Bulukumba</v>
      </c>
      <c r="C1214" s="81" t="str">
        <f t="array" ref="C1214">XLOOKUP(B1214,Reference!$A$2:$A$152,Reference!$B$2:$B$152)</f>
        <v>Sulawesi Selatan</v>
      </c>
      <c r="D1214" s="82" t="s">
        <v>1653</v>
      </c>
      <c r="E1214" s="83">
        <v>45352.0</v>
      </c>
      <c r="F1214" s="84" t="str">
        <f t="array" ref="F1214">XLOOKUP(G1214,Reference!$F:$F,Reference!$D:$D,"null")</f>
        <v>Pendidikan dan Kesehatan</v>
      </c>
      <c r="G1214" s="85" t="s">
        <v>98</v>
      </c>
      <c r="H1214" s="86">
        <v>104.24</v>
      </c>
      <c r="I1214" s="86">
        <v>104.17</v>
      </c>
      <c r="J1214" s="87">
        <f t="shared" si="2"/>
        <v>0.06719784967</v>
      </c>
      <c r="K1214" s="84" t="str">
        <f t="shared" si="3"/>
        <v>Inflasi Normal</v>
      </c>
      <c r="L1214" s="84">
        <f t="shared" si="4"/>
        <v>0.07</v>
      </c>
      <c r="M1214" s="88" t="str">
        <f t="shared" si="5"/>
        <v>Perubahan Normal</v>
      </c>
    </row>
    <row r="1215" ht="18.75" customHeight="1">
      <c r="A1215" s="80" t="s">
        <v>374</v>
      </c>
      <c r="B1215" s="81" t="str">
        <f t="shared" si="1"/>
        <v>Kab Majalengka</v>
      </c>
      <c r="C1215" s="81" t="str">
        <f t="array" ref="C1215">XLOOKUP(B1215,Reference!$A$2:$A$152,Reference!$B$2:$B$152)</f>
        <v>Jawa Barat</v>
      </c>
      <c r="D1215" s="82" t="s">
        <v>1654</v>
      </c>
      <c r="E1215" s="83">
        <v>45323.0</v>
      </c>
      <c r="F1215" s="84" t="str">
        <f t="array" ref="F1215">XLOOKUP(G1215,Reference!$F:$F,Reference!$D:$D,"null")</f>
        <v>Rekreasi dan Kendaraan</v>
      </c>
      <c r="G1215" s="85" t="s">
        <v>102</v>
      </c>
      <c r="H1215" s="86">
        <v>100.43</v>
      </c>
      <c r="I1215" s="86">
        <v>100.46</v>
      </c>
      <c r="J1215" s="87">
        <f t="shared" si="2"/>
        <v>-0.02986263189</v>
      </c>
      <c r="K1215" s="84" t="str">
        <f t="shared" si="3"/>
        <v>Deflasi</v>
      </c>
      <c r="L1215" s="84">
        <f t="shared" si="4"/>
        <v>-0.03</v>
      </c>
      <c r="M1215" s="88" t="str">
        <f t="shared" si="5"/>
        <v>Perubahan Normal</v>
      </c>
    </row>
    <row r="1216" ht="18.75" customHeight="1">
      <c r="A1216" s="80" t="s">
        <v>495</v>
      </c>
      <c r="B1216" s="81" t="str">
        <f t="shared" si="1"/>
        <v>Kota Medan</v>
      </c>
      <c r="C1216" s="81" t="str">
        <f t="array" ref="C1216">XLOOKUP(B1216,Reference!$A$2:$A$152,Reference!$B$2:$B$152)</f>
        <v>Sumatera Utara</v>
      </c>
      <c r="D1216" s="82" t="s">
        <v>1655</v>
      </c>
      <c r="E1216" s="83">
        <v>45323.0</v>
      </c>
      <c r="F1216" s="84" t="str">
        <f t="array" ref="F1216">XLOOKUP(G1216,Reference!$F:$F,Reference!$D:$D,"null")</f>
        <v>Makanan dan Pakaian </v>
      </c>
      <c r="G1216" s="85" t="s">
        <v>72</v>
      </c>
      <c r="H1216" s="86">
        <v>101.55</v>
      </c>
      <c r="I1216" s="86">
        <v>101.55</v>
      </c>
      <c r="J1216" s="87">
        <f t="shared" si="2"/>
        <v>0</v>
      </c>
      <c r="K1216" s="84" t="str">
        <f t="shared" si="3"/>
        <v>Stabil</v>
      </c>
      <c r="L1216" s="84">
        <f t="shared" si="4"/>
        <v>0</v>
      </c>
      <c r="M1216" s="88" t="str">
        <f t="shared" si="5"/>
        <v>Perubahan Normal</v>
      </c>
    </row>
    <row r="1217" ht="18.75" customHeight="1">
      <c r="A1217" s="80" t="s">
        <v>314</v>
      </c>
      <c r="B1217" s="81" t="str">
        <f t="shared" si="1"/>
        <v>Kota Jayapura</v>
      </c>
      <c r="C1217" s="81" t="str">
        <f t="array" ref="C1217">XLOOKUP(B1217,Reference!$A$2:$A$152,Reference!$B$2:$B$152)</f>
        <v>Papua</v>
      </c>
      <c r="D1217" s="82" t="s">
        <v>1656</v>
      </c>
      <c r="E1217" s="83">
        <v>45352.0</v>
      </c>
      <c r="F1217" s="84" t="str">
        <f t="array" ref="F1217">XLOOKUP(G1217,Reference!$F:$F,Reference!$D:$D,"null")</f>
        <v>Makanan dan Pakaian </v>
      </c>
      <c r="G1217" s="85" t="s">
        <v>64</v>
      </c>
      <c r="H1217" s="86">
        <v>100.27</v>
      </c>
      <c r="I1217" s="86">
        <v>100.24</v>
      </c>
      <c r="J1217" s="87">
        <f t="shared" si="2"/>
        <v>0.02992817239</v>
      </c>
      <c r="K1217" s="84" t="str">
        <f t="shared" si="3"/>
        <v>Inflasi Normal</v>
      </c>
      <c r="L1217" s="84">
        <f t="shared" si="4"/>
        <v>0.03</v>
      </c>
      <c r="M1217" s="88" t="str">
        <f t="shared" si="5"/>
        <v>Perubahan Normal</v>
      </c>
    </row>
    <row r="1218" ht="18.75" customHeight="1">
      <c r="A1218" s="80" t="s">
        <v>539</v>
      </c>
      <c r="B1218" s="81" t="str">
        <f t="shared" si="1"/>
        <v>Kab Sorong Selatan</v>
      </c>
      <c r="C1218" s="81" t="str">
        <f t="array" ref="C1218">XLOOKUP(B1218,Reference!$A$2:$A$152,Reference!$B$2:$B$152)</f>
        <v>Papua Barat Daya</v>
      </c>
      <c r="D1218" s="82" t="s">
        <v>1657</v>
      </c>
      <c r="E1218" s="83">
        <v>45323.0</v>
      </c>
      <c r="F1218" s="84" t="str">
        <f t="array" ref="F1218">XLOOKUP(G1218,Reference!$F:$F,Reference!$D:$D,"null")</f>
        <v>Rumah Tangga</v>
      </c>
      <c r="G1218" s="85" t="s">
        <v>89</v>
      </c>
      <c r="H1218" s="86">
        <v>100.23</v>
      </c>
      <c r="I1218" s="86">
        <v>100.23</v>
      </c>
      <c r="J1218" s="87">
        <f t="shared" si="2"/>
        <v>0</v>
      </c>
      <c r="K1218" s="84" t="str">
        <f t="shared" si="3"/>
        <v>Stabil</v>
      </c>
      <c r="L1218" s="84">
        <f t="shared" si="4"/>
        <v>0</v>
      </c>
      <c r="M1218" s="88" t="str">
        <f t="shared" si="5"/>
        <v>Perubahan Normal</v>
      </c>
    </row>
    <row r="1219" ht="18.75" customHeight="1">
      <c r="A1219" s="80" t="s">
        <v>631</v>
      </c>
      <c r="B1219" s="81" t="str">
        <f t="shared" si="1"/>
        <v>Kab Toli Toli</v>
      </c>
      <c r="C1219" s="81" t="str">
        <f t="array" ref="C1219">XLOOKUP(B1219,Reference!$A$2:$A$152,Reference!$B$2:$B$152)</f>
        <v>Sulawesi Tengah</v>
      </c>
      <c r="D1219" s="82" t="s">
        <v>1658</v>
      </c>
      <c r="E1219" s="83">
        <v>45323.0</v>
      </c>
      <c r="F1219" s="84" t="str">
        <f t="array" ref="F1219">XLOOKUP(G1219,Reference!$F:$F,Reference!$D:$D,"null")</f>
        <v>Makanan dan Pakaian </v>
      </c>
      <c r="G1219" s="85" t="s">
        <v>48</v>
      </c>
      <c r="H1219" s="86">
        <v>118.94</v>
      </c>
      <c r="I1219" s="86">
        <v>118.14</v>
      </c>
      <c r="J1219" s="87">
        <f t="shared" si="2"/>
        <v>0.6771626883</v>
      </c>
      <c r="K1219" s="84" t="str">
        <f t="shared" si="3"/>
        <v>Inflasi Tinggi</v>
      </c>
      <c r="L1219" s="84">
        <f t="shared" si="4"/>
        <v>0.8</v>
      </c>
      <c r="M1219" s="88" t="str">
        <f t="shared" si="5"/>
        <v>Akselerasi Persentase</v>
      </c>
    </row>
    <row r="1220" ht="18.75" customHeight="1">
      <c r="A1220" s="80" t="s">
        <v>331</v>
      </c>
      <c r="B1220" s="81" t="str">
        <f t="shared" si="1"/>
        <v>Kota Lhokseumawe</v>
      </c>
      <c r="C1220" s="81" t="str">
        <f t="array" ref="C1220">XLOOKUP(B1220,Reference!$A$2:$A$152,Reference!$B$2:$B$152)</f>
        <v>Aceh</v>
      </c>
      <c r="D1220" s="82" t="s">
        <v>1659</v>
      </c>
      <c r="E1220" s="83">
        <v>45323.0</v>
      </c>
      <c r="F1220" s="84" t="str">
        <f t="array" ref="F1220">XLOOKUP(G1220,Reference!$F:$F,Reference!$D:$D,"null")</f>
        <v>Makanan dan Pakaian </v>
      </c>
      <c r="G1220" s="85" t="s">
        <v>48</v>
      </c>
      <c r="H1220" s="86">
        <v>106.96</v>
      </c>
      <c r="I1220" s="86">
        <v>104.97</v>
      </c>
      <c r="J1220" s="87">
        <f t="shared" si="2"/>
        <v>1.895779747</v>
      </c>
      <c r="K1220" s="84" t="str">
        <f t="shared" si="3"/>
        <v>Inflasi Tinggi</v>
      </c>
      <c r="L1220" s="84">
        <f t="shared" si="4"/>
        <v>1.99</v>
      </c>
      <c r="M1220" s="88" t="str">
        <f t="shared" si="5"/>
        <v>Akselerasi Persentase</v>
      </c>
    </row>
    <row r="1221" ht="18.75" customHeight="1">
      <c r="A1221" s="80" t="s">
        <v>468</v>
      </c>
      <c r="B1221" s="81" t="str">
        <f t="shared" si="1"/>
        <v>Timika</v>
      </c>
      <c r="C1221" s="81" t="str">
        <f t="array" ref="C1221">XLOOKUP(B1221,Reference!$A$2:$A$152,Reference!$B$2:$B$152)</f>
        <v>Papua</v>
      </c>
      <c r="D1221" s="82" t="s">
        <v>1660</v>
      </c>
      <c r="E1221" s="83">
        <v>45352.0</v>
      </c>
      <c r="F1221" s="84" t="str">
        <f t="array" ref="F1221">XLOOKUP(G1221,Reference!$F:$F,Reference!$D:$D,"null")</f>
        <v>Rumah Tangga</v>
      </c>
      <c r="G1221" s="85" t="s">
        <v>80</v>
      </c>
      <c r="H1221" s="86">
        <v>101.35</v>
      </c>
      <c r="I1221" s="86">
        <v>101.35</v>
      </c>
      <c r="J1221" s="87">
        <f t="shared" si="2"/>
        <v>0</v>
      </c>
      <c r="K1221" s="84" t="str">
        <f t="shared" si="3"/>
        <v>Stabil</v>
      </c>
      <c r="L1221" s="84">
        <f t="shared" si="4"/>
        <v>0</v>
      </c>
      <c r="M1221" s="88" t="str">
        <f t="shared" si="5"/>
        <v>Perubahan Normal</v>
      </c>
    </row>
    <row r="1222" ht="18.75" customHeight="1">
      <c r="A1222" s="80" t="s">
        <v>658</v>
      </c>
      <c r="B1222" s="81" t="str">
        <f t="shared" si="1"/>
        <v>Kota Mataram</v>
      </c>
      <c r="C1222" s="81" t="str">
        <f t="array" ref="C1222">XLOOKUP(B1222,Reference!$A$2:$A$152,Reference!$B$2:$B$152)</f>
        <v>Nusa Tenggara Barat (NTB)</v>
      </c>
      <c r="D1222" s="82" t="s">
        <v>1661</v>
      </c>
      <c r="E1222" s="83">
        <v>45352.0</v>
      </c>
      <c r="F1222" s="84" t="str">
        <f t="array" ref="F1222">XLOOKUP(G1222,Reference!$F:$F,Reference!$D:$D,"null")</f>
        <v>Makanan dan Pakaian </v>
      </c>
      <c r="G1222" s="85" t="s">
        <v>56</v>
      </c>
      <c r="H1222" s="86">
        <v>106.92</v>
      </c>
      <c r="I1222" s="86">
        <v>106.79</v>
      </c>
      <c r="J1222" s="87">
        <f t="shared" si="2"/>
        <v>0.1217342448</v>
      </c>
      <c r="K1222" s="84" t="str">
        <f t="shared" si="3"/>
        <v>Inflasi Normal</v>
      </c>
      <c r="L1222" s="84">
        <f t="shared" si="4"/>
        <v>0.13</v>
      </c>
      <c r="M1222" s="88" t="str">
        <f t="shared" si="5"/>
        <v>Perubahan Normal</v>
      </c>
    </row>
    <row r="1223" ht="18.75" customHeight="1">
      <c r="A1223" s="80" t="s">
        <v>548</v>
      </c>
      <c r="B1223" s="81" t="str">
        <f t="shared" si="1"/>
        <v>Kota Metro</v>
      </c>
      <c r="C1223" s="81" t="str">
        <f t="array" ref="C1223">XLOOKUP(B1223,Reference!$A$2:$A$152,Reference!$B$2:$B$152)</f>
        <v>Lampung</v>
      </c>
      <c r="D1223" s="82" t="s">
        <v>1662</v>
      </c>
      <c r="E1223" s="83">
        <v>45352.0</v>
      </c>
      <c r="F1223" s="84" t="str">
        <f t="array" ref="F1223">XLOOKUP(G1223,Reference!$F:$F,Reference!$D:$D,"null")</f>
        <v>Pendidikan dan Kesehatan</v>
      </c>
      <c r="G1223" s="85" t="s">
        <v>98</v>
      </c>
      <c r="H1223" s="86">
        <v>101.23</v>
      </c>
      <c r="I1223" s="86">
        <v>101.67</v>
      </c>
      <c r="J1223" s="87">
        <f t="shared" si="2"/>
        <v>-0.432772696</v>
      </c>
      <c r="K1223" s="84" t="str">
        <f t="shared" si="3"/>
        <v>Deflasi</v>
      </c>
      <c r="L1223" s="84">
        <f t="shared" si="4"/>
        <v>-0.44</v>
      </c>
      <c r="M1223" s="88" t="str">
        <f t="shared" si="5"/>
        <v>Perubahan Normal</v>
      </c>
    </row>
    <row r="1224" ht="18.75" customHeight="1">
      <c r="A1224" s="80" t="s">
        <v>391</v>
      </c>
      <c r="B1224" s="81" t="str">
        <f t="shared" si="1"/>
        <v>Kota Batam</v>
      </c>
      <c r="C1224" s="81" t="str">
        <f t="array" ref="C1224">XLOOKUP(B1224,Reference!$A$2:$A$152,Reference!$B$2:$B$152)</f>
        <v>Kepulauan Riau</v>
      </c>
      <c r="D1224" s="82" t="s">
        <v>1663</v>
      </c>
      <c r="E1224" s="83">
        <v>45323.0</v>
      </c>
      <c r="F1224" s="84" t="str">
        <f t="array" ref="F1224">XLOOKUP(G1224,Reference!$F:$F,Reference!$D:$D,"null")</f>
        <v>Rumah Tangga</v>
      </c>
      <c r="G1224" s="85" t="s">
        <v>89</v>
      </c>
      <c r="H1224" s="86">
        <v>101.36</v>
      </c>
      <c r="I1224" s="86">
        <v>101.36</v>
      </c>
      <c r="J1224" s="87">
        <f t="shared" si="2"/>
        <v>0</v>
      </c>
      <c r="K1224" s="84" t="str">
        <f t="shared" si="3"/>
        <v>Stabil</v>
      </c>
      <c r="L1224" s="84">
        <f t="shared" si="4"/>
        <v>0</v>
      </c>
      <c r="M1224" s="88" t="str">
        <f t="shared" si="5"/>
        <v>Perubahan Normal</v>
      </c>
    </row>
    <row r="1225" ht="18.75" customHeight="1">
      <c r="A1225" s="80" t="s">
        <v>316</v>
      </c>
      <c r="B1225" s="81" t="str">
        <f t="shared" si="1"/>
        <v>Singaraja</v>
      </c>
      <c r="C1225" s="81" t="str">
        <f t="array" ref="C1225">XLOOKUP(B1225,Reference!$A$2:$A$152,Reference!$B$2:$B$152)</f>
        <v>Bali</v>
      </c>
      <c r="D1225" s="82" t="s">
        <v>1664</v>
      </c>
      <c r="E1225" s="83">
        <v>45323.0</v>
      </c>
      <c r="F1225" s="84" t="str">
        <f t="array" ref="F1225">XLOOKUP(G1225,Reference!$F:$F,Reference!$D:$D,"null")</f>
        <v>Rumah Tangga</v>
      </c>
      <c r="G1225" s="89" t="s">
        <v>84</v>
      </c>
      <c r="H1225" s="90">
        <v>104.28</v>
      </c>
      <c r="I1225" s="90">
        <v>104.28</v>
      </c>
      <c r="J1225" s="87">
        <f t="shared" si="2"/>
        <v>0</v>
      </c>
      <c r="K1225" s="84" t="str">
        <f t="shared" si="3"/>
        <v>Stabil</v>
      </c>
      <c r="L1225" s="91">
        <f t="shared" si="4"/>
        <v>0</v>
      </c>
      <c r="M1225" s="88" t="str">
        <f t="shared" si="5"/>
        <v>Perubahan Normal</v>
      </c>
    </row>
    <row r="1226" ht="18.75" customHeight="1">
      <c r="A1226" s="80" t="s">
        <v>462</v>
      </c>
      <c r="B1226" s="81" t="str">
        <f t="shared" si="1"/>
        <v>Kota Probolinggo</v>
      </c>
      <c r="C1226" s="81" t="str">
        <f t="array" ref="C1226">XLOOKUP(B1226,Reference!$A$2:$A$152,Reference!$B$2:$B$152)</f>
        <v>Jawa Timur</v>
      </c>
      <c r="D1226" s="82" t="s">
        <v>1665</v>
      </c>
      <c r="E1226" s="83">
        <v>45323.0</v>
      </c>
      <c r="F1226" s="84" t="str">
        <f t="array" ref="F1226">XLOOKUP(G1226,Reference!$F:$F,Reference!$D:$D,"null")</f>
        <v>Makanan dan Pakaian </v>
      </c>
      <c r="G1226" s="85" t="s">
        <v>48</v>
      </c>
      <c r="H1226" s="86">
        <v>108.19</v>
      </c>
      <c r="I1226" s="86">
        <v>106.24</v>
      </c>
      <c r="J1226" s="87">
        <f t="shared" si="2"/>
        <v>1.835466867</v>
      </c>
      <c r="K1226" s="84" t="str">
        <f t="shared" si="3"/>
        <v>Inflasi Tinggi</v>
      </c>
      <c r="L1226" s="84">
        <f t="shared" si="4"/>
        <v>1.95</v>
      </c>
      <c r="M1226" s="88" t="str">
        <f t="shared" si="5"/>
        <v>Akselerasi Persentase</v>
      </c>
    </row>
    <row r="1227" ht="18.75" customHeight="1">
      <c r="A1227" s="80" t="s">
        <v>586</v>
      </c>
      <c r="B1227" s="81" t="str">
        <f t="shared" si="1"/>
        <v>Kab Karimun</v>
      </c>
      <c r="C1227" s="81" t="str">
        <f t="array" ref="C1227">XLOOKUP(B1227,Reference!$A$2:$A$152,Reference!$B$2:$B$152)</f>
        <v>Kepulauan Riau</v>
      </c>
      <c r="D1227" s="82" t="s">
        <v>1666</v>
      </c>
      <c r="E1227" s="83">
        <v>45323.0</v>
      </c>
      <c r="F1227" s="84" t="str">
        <f t="array" ref="F1227">XLOOKUP(G1227,Reference!$F:$F,Reference!$D:$D,"null")</f>
        <v>Rekreasi dan Kendaraan</v>
      </c>
      <c r="G1227" s="85" t="s">
        <v>102</v>
      </c>
      <c r="H1227" s="86">
        <v>103.21</v>
      </c>
      <c r="I1227" s="86">
        <v>103.09</v>
      </c>
      <c r="J1227" s="87">
        <f t="shared" si="2"/>
        <v>0.1164031429</v>
      </c>
      <c r="K1227" s="84" t="str">
        <f t="shared" si="3"/>
        <v>Inflasi Normal</v>
      </c>
      <c r="L1227" s="84">
        <f t="shared" si="4"/>
        <v>0.12</v>
      </c>
      <c r="M1227" s="88" t="str">
        <f t="shared" si="5"/>
        <v>Perubahan Normal</v>
      </c>
    </row>
    <row r="1228" ht="18.75" customHeight="1">
      <c r="A1228" s="80" t="s">
        <v>526</v>
      </c>
      <c r="B1228" s="81" t="str">
        <f t="shared" si="1"/>
        <v>Maumere</v>
      </c>
      <c r="C1228" s="81" t="str">
        <f t="array" ref="C1228">XLOOKUP(B1228,Reference!$A$2:$A$152,Reference!$B$2:$B$152)</f>
        <v>Nusa Tenggara Timur (NTT)</v>
      </c>
      <c r="D1228" s="82" t="s">
        <v>1667</v>
      </c>
      <c r="E1228" s="83">
        <v>45352.0</v>
      </c>
      <c r="F1228" s="84" t="str">
        <f t="array" ref="F1228">XLOOKUP(G1228,Reference!$F:$F,Reference!$D:$D,"null")</f>
        <v>Rumah Tangga</v>
      </c>
      <c r="G1228" s="85" t="s">
        <v>89</v>
      </c>
      <c r="H1228" s="86">
        <v>101.24</v>
      </c>
      <c r="I1228" s="86">
        <v>101.24</v>
      </c>
      <c r="J1228" s="87">
        <f t="shared" si="2"/>
        <v>0</v>
      </c>
      <c r="K1228" s="84" t="str">
        <f t="shared" si="3"/>
        <v>Stabil</v>
      </c>
      <c r="L1228" s="84">
        <f t="shared" si="4"/>
        <v>0</v>
      </c>
      <c r="M1228" s="88" t="str">
        <f t="shared" si="5"/>
        <v>Perubahan Normal</v>
      </c>
    </row>
    <row r="1229" ht="18.75" customHeight="1">
      <c r="A1229" s="80" t="s">
        <v>618</v>
      </c>
      <c r="B1229" s="81" t="str">
        <f t="shared" si="1"/>
        <v>Kota Tangerang</v>
      </c>
      <c r="C1229" s="81" t="str">
        <f t="array" ref="C1229">XLOOKUP(B1229,Reference!$A$2:$A$152,Reference!$B$2:$B$152)</f>
        <v>Banten</v>
      </c>
      <c r="D1229" s="82" t="s">
        <v>1668</v>
      </c>
      <c r="E1229" s="83">
        <v>45323.0</v>
      </c>
      <c r="F1229" s="84" t="str">
        <f t="array" ref="F1229">XLOOKUP(G1229,Reference!$F:$F,Reference!$D:$D,"null")</f>
        <v>Rumah Tangga</v>
      </c>
      <c r="G1229" s="85" t="s">
        <v>84</v>
      </c>
      <c r="H1229" s="86">
        <v>100.84</v>
      </c>
      <c r="I1229" s="86">
        <v>100.84</v>
      </c>
      <c r="J1229" s="87">
        <f t="shared" si="2"/>
        <v>0</v>
      </c>
      <c r="K1229" s="84" t="str">
        <f t="shared" si="3"/>
        <v>Stabil</v>
      </c>
      <c r="L1229" s="84">
        <f t="shared" si="4"/>
        <v>0</v>
      </c>
      <c r="M1229" s="88" t="str">
        <f t="shared" si="5"/>
        <v>Perubahan Normal</v>
      </c>
    </row>
    <row r="1230" ht="18.75" customHeight="1">
      <c r="A1230" s="80" t="s">
        <v>508</v>
      </c>
      <c r="B1230" s="81" t="str">
        <f t="shared" si="1"/>
        <v>Kab Minahasa Selatan</v>
      </c>
      <c r="C1230" s="81" t="str">
        <f t="array" ref="C1230">XLOOKUP(B1230,Reference!$A$2:$A$152,Reference!$B$2:$B$152)</f>
        <v>Sulawesi Utara</v>
      </c>
      <c r="D1230" s="82" t="s">
        <v>1669</v>
      </c>
      <c r="E1230" s="83">
        <v>45352.0</v>
      </c>
      <c r="F1230" s="84" t="str">
        <f t="array" ref="F1230">XLOOKUP(G1230,Reference!$F:$F,Reference!$D:$D,"null")</f>
        <v>Pendidikan dan Kesehatan</v>
      </c>
      <c r="G1230" s="85" t="s">
        <v>98</v>
      </c>
      <c r="H1230" s="86">
        <v>101.55</v>
      </c>
      <c r="I1230" s="86">
        <v>101.55</v>
      </c>
      <c r="J1230" s="87">
        <f t="shared" si="2"/>
        <v>0</v>
      </c>
      <c r="K1230" s="84" t="str">
        <f t="shared" si="3"/>
        <v>Stabil</v>
      </c>
      <c r="L1230" s="84">
        <f t="shared" si="4"/>
        <v>0</v>
      </c>
      <c r="M1230" s="88" t="str">
        <f t="shared" si="5"/>
        <v>Perubahan Normal</v>
      </c>
    </row>
    <row r="1231" ht="18.75" customHeight="1">
      <c r="A1231" s="80" t="s">
        <v>333</v>
      </c>
      <c r="B1231" s="81" t="str">
        <f t="shared" si="1"/>
        <v>Kab Pasaman Barat</v>
      </c>
      <c r="C1231" s="81" t="str">
        <f t="array" ref="C1231">XLOOKUP(B1231,Reference!$A$2:$A$152,Reference!$B$2:$B$152)</f>
        <v>Sumatera Barat</v>
      </c>
      <c r="D1231" s="82" t="s">
        <v>1670</v>
      </c>
      <c r="E1231" s="83">
        <v>45352.0</v>
      </c>
      <c r="F1231" s="84" t="str">
        <f t="array" ref="F1231">XLOOKUP(G1231,Reference!$F:$F,Reference!$D:$D,"null")</f>
        <v>Rumah Tangga</v>
      </c>
      <c r="G1231" s="85" t="s">
        <v>89</v>
      </c>
      <c r="H1231" s="86">
        <v>120.98</v>
      </c>
      <c r="I1231" s="86">
        <v>120.98</v>
      </c>
      <c r="J1231" s="87">
        <f t="shared" si="2"/>
        <v>0</v>
      </c>
      <c r="K1231" s="84" t="str">
        <f t="shared" si="3"/>
        <v>Stabil</v>
      </c>
      <c r="L1231" s="84">
        <f t="shared" si="4"/>
        <v>0</v>
      </c>
      <c r="M1231" s="88" t="str">
        <f t="shared" si="5"/>
        <v>Perubahan Normal</v>
      </c>
    </row>
    <row r="1232" ht="18.75" customHeight="1">
      <c r="A1232" s="80" t="s">
        <v>542</v>
      </c>
      <c r="B1232" s="81" t="str">
        <f t="shared" si="1"/>
        <v>Kab Karo</v>
      </c>
      <c r="C1232" s="81" t="str">
        <f t="array" ref="C1232">XLOOKUP(B1232,Reference!$A$2:$A$152,Reference!$B$2:$B$152)</f>
        <v>Sumatera Utara</v>
      </c>
      <c r="D1232" s="82" t="s">
        <v>1671</v>
      </c>
      <c r="E1232" s="83">
        <v>45323.0</v>
      </c>
      <c r="F1232" s="84" t="str">
        <f t="array" ref="F1232">XLOOKUP(G1232,Reference!$F:$F,Reference!$D:$D,"null")</f>
        <v>Rekreasi dan Kendaraan</v>
      </c>
      <c r="G1232" s="85" t="s">
        <v>102</v>
      </c>
      <c r="H1232" s="86">
        <v>107.21</v>
      </c>
      <c r="I1232" s="86">
        <v>107.52</v>
      </c>
      <c r="J1232" s="87">
        <f t="shared" si="2"/>
        <v>-0.2883184524</v>
      </c>
      <c r="K1232" s="84" t="str">
        <f t="shared" si="3"/>
        <v>Deflasi</v>
      </c>
      <c r="L1232" s="84">
        <f t="shared" si="4"/>
        <v>-0.31</v>
      </c>
      <c r="M1232" s="88" t="str">
        <f t="shared" si="5"/>
        <v>Perubahan Normal</v>
      </c>
    </row>
    <row r="1233" ht="18.75" customHeight="1">
      <c r="A1233" s="80" t="s">
        <v>355</v>
      </c>
      <c r="B1233" s="81" t="str">
        <f t="shared" si="1"/>
        <v>Kota Gorontalo</v>
      </c>
      <c r="C1233" s="81" t="str">
        <f t="array" ref="C1233">XLOOKUP(B1233,Reference!$A$2:$A$152,Reference!$B$2:$B$152)</f>
        <v>Gorontalo</v>
      </c>
      <c r="D1233" s="82" t="s">
        <v>1672</v>
      </c>
      <c r="E1233" s="83">
        <v>45323.0</v>
      </c>
      <c r="F1233" s="84" t="str">
        <f t="array" ref="F1233">XLOOKUP(G1233,Reference!$F:$F,Reference!$D:$D,"null")</f>
        <v>Makanan dan Pakaian </v>
      </c>
      <c r="G1233" s="89" t="s">
        <v>56</v>
      </c>
      <c r="H1233" s="90">
        <v>103.39</v>
      </c>
      <c r="I1233" s="90">
        <v>103.16</v>
      </c>
      <c r="J1233" s="87">
        <f t="shared" si="2"/>
        <v>0.2229546336</v>
      </c>
      <c r="K1233" s="84" t="str">
        <f t="shared" si="3"/>
        <v>Inflasi Normal</v>
      </c>
      <c r="L1233" s="91">
        <f t="shared" si="4"/>
        <v>0.23</v>
      </c>
      <c r="M1233" s="88" t="str">
        <f t="shared" si="5"/>
        <v>Perubahan Normal</v>
      </c>
    </row>
    <row r="1234" ht="18.75" customHeight="1">
      <c r="A1234" s="80" t="s">
        <v>380</v>
      </c>
      <c r="B1234" s="81" t="str">
        <f t="shared" si="1"/>
        <v>Kota Bengkulu</v>
      </c>
      <c r="C1234" s="81" t="str">
        <f t="array" ref="C1234">XLOOKUP(B1234,Reference!$A$2:$A$152,Reference!$B$2:$B$152)</f>
        <v>Bengkulu</v>
      </c>
      <c r="D1234" s="82" t="s">
        <v>1673</v>
      </c>
      <c r="E1234" s="83">
        <v>45323.0</v>
      </c>
      <c r="F1234" s="84" t="str">
        <f t="array" ref="F1234">XLOOKUP(G1234,Reference!$F:$F,Reference!$D:$D,"null")</f>
        <v>Rekreasi dan Kendaraan</v>
      </c>
      <c r="G1234" s="85" t="s">
        <v>105</v>
      </c>
      <c r="H1234" s="86">
        <v>105.92</v>
      </c>
      <c r="I1234" s="86">
        <v>105.53</v>
      </c>
      <c r="J1234" s="87">
        <f t="shared" si="2"/>
        <v>0.3695631574</v>
      </c>
      <c r="K1234" s="84" t="str">
        <f t="shared" si="3"/>
        <v>Inflasi Normal</v>
      </c>
      <c r="L1234" s="84">
        <f t="shared" si="4"/>
        <v>0.39</v>
      </c>
      <c r="M1234" s="88" t="str">
        <f t="shared" si="5"/>
        <v>Perubahan Normal</v>
      </c>
    </row>
    <row r="1235" ht="18.75" customHeight="1">
      <c r="A1235" s="80" t="s">
        <v>408</v>
      </c>
      <c r="B1235" s="81" t="str">
        <f t="shared" si="1"/>
        <v>Manokwari</v>
      </c>
      <c r="C1235" s="81" t="str">
        <f t="array" ref="C1235">XLOOKUP(B1235,Reference!$A$2:$A$152,Reference!$B$2:$B$152)</f>
        <v>Papua Barat Daya</v>
      </c>
      <c r="D1235" s="82" t="s">
        <v>1674</v>
      </c>
      <c r="E1235" s="83">
        <v>45323.0</v>
      </c>
      <c r="F1235" s="84" t="str">
        <f t="array" ref="F1235">XLOOKUP(G1235,Reference!$F:$F,Reference!$D:$D,"null")</f>
        <v>Rekreasi dan Kendaraan</v>
      </c>
      <c r="G1235" s="85" t="s">
        <v>105</v>
      </c>
      <c r="H1235" s="86">
        <v>102.98</v>
      </c>
      <c r="I1235" s="86">
        <v>102.98</v>
      </c>
      <c r="J1235" s="87">
        <f t="shared" si="2"/>
        <v>0</v>
      </c>
      <c r="K1235" s="84" t="str">
        <f t="shared" si="3"/>
        <v>Stabil</v>
      </c>
      <c r="L1235" s="84">
        <f t="shared" si="4"/>
        <v>0</v>
      </c>
      <c r="M1235" s="88" t="str">
        <f t="shared" si="5"/>
        <v>Perubahan Normal</v>
      </c>
    </row>
    <row r="1236" ht="18.75" customHeight="1">
      <c r="A1236" s="80" t="s">
        <v>445</v>
      </c>
      <c r="B1236" s="81" t="str">
        <f t="shared" si="1"/>
        <v>Kab Bangka Barat</v>
      </c>
      <c r="C1236" s="81" t="str">
        <f t="array" ref="C1236">XLOOKUP(B1236,Reference!$A$2:$A$152,Reference!$B$2:$B$152)</f>
        <v>Kepulauan Bangka Belitung</v>
      </c>
      <c r="D1236" s="82" t="s">
        <v>1675</v>
      </c>
      <c r="E1236" s="83">
        <v>45352.0</v>
      </c>
      <c r="F1236" s="84" t="str">
        <f t="array" ref="F1236">XLOOKUP(G1236,Reference!$F:$F,Reference!$D:$D,"null")</f>
        <v>Rumah Tangga</v>
      </c>
      <c r="G1236" s="85" t="s">
        <v>80</v>
      </c>
      <c r="H1236" s="86">
        <v>101.21</v>
      </c>
      <c r="I1236" s="86">
        <v>101.21</v>
      </c>
      <c r="J1236" s="87">
        <f t="shared" si="2"/>
        <v>0</v>
      </c>
      <c r="K1236" s="84" t="str">
        <f t="shared" si="3"/>
        <v>Stabil</v>
      </c>
      <c r="L1236" s="84">
        <f t="shared" si="4"/>
        <v>0</v>
      </c>
      <c r="M1236" s="88" t="str">
        <f t="shared" si="5"/>
        <v>Perubahan Normal</v>
      </c>
    </row>
    <row r="1237" ht="18.75" customHeight="1">
      <c r="A1237" s="80" t="s">
        <v>654</v>
      </c>
      <c r="B1237" s="81" t="str">
        <f t="shared" si="1"/>
        <v>Kab Aceh Tengah</v>
      </c>
      <c r="C1237" s="81" t="str">
        <f t="array" ref="C1237">XLOOKUP(B1237,Reference!$A$2:$A$152,Reference!$B$2:$B$152)</f>
        <v>Aceh</v>
      </c>
      <c r="D1237" s="82" t="s">
        <v>1676</v>
      </c>
      <c r="E1237" s="83">
        <v>45323.0</v>
      </c>
      <c r="F1237" s="84" t="str">
        <f t="array" ref="F1237">XLOOKUP(G1237,Reference!$F:$F,Reference!$D:$D,"null")</f>
        <v>Rumah Tangga</v>
      </c>
      <c r="G1237" s="89" t="s">
        <v>80</v>
      </c>
      <c r="H1237" s="90">
        <v>103.56</v>
      </c>
      <c r="I1237" s="90">
        <v>103.23</v>
      </c>
      <c r="J1237" s="87">
        <f t="shared" si="2"/>
        <v>0.3196745132</v>
      </c>
      <c r="K1237" s="84" t="str">
        <f t="shared" si="3"/>
        <v>Inflasi Normal</v>
      </c>
      <c r="L1237" s="91">
        <f t="shared" si="4"/>
        <v>0.33</v>
      </c>
      <c r="M1237" s="88" t="str">
        <f t="shared" si="5"/>
        <v>Perubahan Normal</v>
      </c>
    </row>
    <row r="1238" ht="18.75" customHeight="1">
      <c r="A1238" s="80" t="s">
        <v>308</v>
      </c>
      <c r="B1238" s="81" t="str">
        <f t="shared" si="1"/>
        <v>Kab Sukamara</v>
      </c>
      <c r="C1238" s="81" t="str">
        <f t="array" ref="C1238">XLOOKUP(B1238,Reference!$A$2:$A$152,Reference!$B$2:$B$152)</f>
        <v>Kalimantan Tengah</v>
      </c>
      <c r="D1238" s="82" t="s">
        <v>1677</v>
      </c>
      <c r="E1238" s="83">
        <v>45352.0</v>
      </c>
      <c r="F1238" s="84" t="str">
        <f t="array" ref="F1238">XLOOKUP(G1238,Reference!$F:$F,Reference!$D:$D,"null")</f>
        <v>Rumah Tangga</v>
      </c>
      <c r="G1238" s="85" t="s">
        <v>89</v>
      </c>
      <c r="H1238" s="86">
        <v>101.99</v>
      </c>
      <c r="I1238" s="86">
        <v>101.99</v>
      </c>
      <c r="J1238" s="87">
        <f t="shared" si="2"/>
        <v>0</v>
      </c>
      <c r="K1238" s="84" t="str">
        <f t="shared" si="3"/>
        <v>Stabil</v>
      </c>
      <c r="L1238" s="84">
        <f t="shared" si="4"/>
        <v>0</v>
      </c>
      <c r="M1238" s="88" t="str">
        <f t="shared" si="5"/>
        <v>Perubahan Normal</v>
      </c>
    </row>
    <row r="1239" ht="18.75" customHeight="1">
      <c r="A1239" s="80" t="s">
        <v>355</v>
      </c>
      <c r="B1239" s="81" t="str">
        <f t="shared" si="1"/>
        <v>Kota Gorontalo</v>
      </c>
      <c r="C1239" s="81" t="str">
        <f t="array" ref="C1239">XLOOKUP(B1239,Reference!$A$2:$A$152,Reference!$B$2:$B$152)</f>
        <v>Gorontalo</v>
      </c>
      <c r="D1239" s="82" t="s">
        <v>1678</v>
      </c>
      <c r="E1239" s="83">
        <v>45352.0</v>
      </c>
      <c r="F1239" s="84" t="str">
        <f t="array" ref="F1239">XLOOKUP(G1239,Reference!$F:$F,Reference!$D:$D,"null")</f>
        <v>Rumah Tangga</v>
      </c>
      <c r="G1239" s="85" t="s">
        <v>84</v>
      </c>
      <c r="H1239" s="86">
        <v>100.24</v>
      </c>
      <c r="I1239" s="86">
        <v>100.24</v>
      </c>
      <c r="J1239" s="87">
        <f t="shared" si="2"/>
        <v>0</v>
      </c>
      <c r="K1239" s="84" t="str">
        <f t="shared" si="3"/>
        <v>Stabil</v>
      </c>
      <c r="L1239" s="84">
        <f t="shared" si="4"/>
        <v>0</v>
      </c>
      <c r="M1239" s="88" t="str">
        <f t="shared" si="5"/>
        <v>Perubahan Normal</v>
      </c>
    </row>
    <row r="1240" ht="18.75" customHeight="1">
      <c r="A1240" s="80" t="s">
        <v>905</v>
      </c>
      <c r="B1240" s="81" t="str">
        <f t="shared" si="1"/>
        <v>Kota Ambon</v>
      </c>
      <c r="C1240" s="81" t="str">
        <f t="array" ref="C1240">XLOOKUP(B1240,Reference!$A$2:$A$152,Reference!$B$2:$B$152)</f>
        <v>Maluku</v>
      </c>
      <c r="D1240" s="82" t="s">
        <v>1679</v>
      </c>
      <c r="E1240" s="83">
        <v>45352.0</v>
      </c>
      <c r="F1240" s="84" t="str">
        <f t="array" ref="F1240">XLOOKUP(G1240,Reference!$F:$F,Reference!$D:$D,"null")</f>
        <v>Rekreasi dan Kendaraan</v>
      </c>
      <c r="G1240" s="85" t="s">
        <v>105</v>
      </c>
      <c r="H1240" s="86">
        <v>106.15</v>
      </c>
      <c r="I1240" s="86">
        <v>106.15</v>
      </c>
      <c r="J1240" s="87">
        <f t="shared" si="2"/>
        <v>0</v>
      </c>
      <c r="K1240" s="84" t="str">
        <f t="shared" si="3"/>
        <v>Stabil</v>
      </c>
      <c r="L1240" s="84">
        <f t="shared" si="4"/>
        <v>0</v>
      </c>
      <c r="M1240" s="88" t="str">
        <f t="shared" si="5"/>
        <v>Perubahan Normal</v>
      </c>
    </row>
    <row r="1241" ht="18.75" customHeight="1">
      <c r="A1241" s="80" t="s">
        <v>535</v>
      </c>
      <c r="B1241" s="81" t="str">
        <f t="shared" si="1"/>
        <v>Kota Tarakan</v>
      </c>
      <c r="C1241" s="81" t="str">
        <f t="array" ref="C1241">XLOOKUP(B1241,Reference!$A$2:$A$152,Reference!$B$2:$B$152)</f>
        <v>Kalimantan Utara</v>
      </c>
      <c r="D1241" s="82" t="s">
        <v>1680</v>
      </c>
      <c r="E1241" s="83">
        <v>45352.0</v>
      </c>
      <c r="F1241" s="84" t="str">
        <f t="array" ref="F1241">XLOOKUP(G1241,Reference!$F:$F,Reference!$D:$D,"null")</f>
        <v>Makanan dan Pakaian </v>
      </c>
      <c r="G1241" s="85" t="s">
        <v>72</v>
      </c>
      <c r="H1241" s="86">
        <v>100.02</v>
      </c>
      <c r="I1241" s="86">
        <v>100.02</v>
      </c>
      <c r="J1241" s="87">
        <f t="shared" si="2"/>
        <v>0</v>
      </c>
      <c r="K1241" s="84" t="str">
        <f t="shared" si="3"/>
        <v>Stabil</v>
      </c>
      <c r="L1241" s="84">
        <f t="shared" si="4"/>
        <v>0</v>
      </c>
      <c r="M1241" s="88" t="str">
        <f t="shared" si="5"/>
        <v>Perubahan Normal</v>
      </c>
    </row>
    <row r="1242" ht="18.75" customHeight="1">
      <c r="A1242" s="80" t="s">
        <v>618</v>
      </c>
      <c r="B1242" s="81" t="str">
        <f t="shared" si="1"/>
        <v>Kota Tangerang</v>
      </c>
      <c r="C1242" s="81" t="str">
        <f t="array" ref="C1242">XLOOKUP(B1242,Reference!$A$2:$A$152,Reference!$B$2:$B$152)</f>
        <v>Banten</v>
      </c>
      <c r="D1242" s="82" t="s">
        <v>1681</v>
      </c>
      <c r="E1242" s="83">
        <v>45352.0</v>
      </c>
      <c r="F1242" s="84" t="str">
        <f t="array" ref="F1242">XLOOKUP(G1242,Reference!$F:$F,Reference!$D:$D,"null")</f>
        <v>Rumah Tangga</v>
      </c>
      <c r="G1242" s="85" t="s">
        <v>84</v>
      </c>
      <c r="H1242" s="86">
        <v>100.83</v>
      </c>
      <c r="I1242" s="86">
        <v>100.84</v>
      </c>
      <c r="J1242" s="87">
        <f t="shared" si="2"/>
        <v>-0.009916699722</v>
      </c>
      <c r="K1242" s="84" t="str">
        <f t="shared" si="3"/>
        <v>Deflasi</v>
      </c>
      <c r="L1242" s="84">
        <f t="shared" si="4"/>
        <v>-0.01</v>
      </c>
      <c r="M1242" s="88" t="str">
        <f t="shared" si="5"/>
        <v>Perubahan Normal</v>
      </c>
    </row>
    <row r="1243" ht="18.75" customHeight="1">
      <c r="A1243" s="80" t="s">
        <v>312</v>
      </c>
      <c r="B1243" s="81" t="str">
        <f t="shared" si="1"/>
        <v>Kab Jayawijaya</v>
      </c>
      <c r="C1243" s="81" t="str">
        <f t="array" ref="C1243">XLOOKUP(B1243,Reference!$A$2:$A$152,Reference!$B$2:$B$152)</f>
        <v>Papua</v>
      </c>
      <c r="D1243" s="82" t="s">
        <v>1682</v>
      </c>
      <c r="E1243" s="83">
        <v>45352.0</v>
      </c>
      <c r="F1243" s="84" t="str">
        <f t="array" ref="F1243">XLOOKUP(G1243,Reference!$F:$F,Reference!$D:$D,"null")</f>
        <v>Makanan dan Pakaian </v>
      </c>
      <c r="G1243" s="85" t="s">
        <v>64</v>
      </c>
      <c r="H1243" s="86">
        <v>104.0</v>
      </c>
      <c r="I1243" s="86">
        <v>103.99</v>
      </c>
      <c r="J1243" s="87">
        <f t="shared" si="2"/>
        <v>0.009616309261</v>
      </c>
      <c r="K1243" s="84" t="str">
        <f t="shared" si="3"/>
        <v>Inflasi Normal</v>
      </c>
      <c r="L1243" s="84">
        <f t="shared" si="4"/>
        <v>0.01</v>
      </c>
      <c r="M1243" s="88" t="str">
        <f t="shared" si="5"/>
        <v>Perubahan Normal</v>
      </c>
    </row>
    <row r="1244" ht="18.75" customHeight="1">
      <c r="A1244" s="80" t="s">
        <v>355</v>
      </c>
      <c r="B1244" s="81" t="str">
        <f t="shared" si="1"/>
        <v>Kota Gorontalo</v>
      </c>
      <c r="C1244" s="81" t="str">
        <f t="array" ref="C1244">XLOOKUP(B1244,Reference!$A$2:$A$152,Reference!$B$2:$B$152)</f>
        <v>Gorontalo</v>
      </c>
      <c r="D1244" s="82" t="s">
        <v>1683</v>
      </c>
      <c r="E1244" s="83">
        <v>45323.0</v>
      </c>
      <c r="F1244" s="84" t="str">
        <f t="array" ref="F1244">XLOOKUP(G1244,Reference!$F:$F,Reference!$D:$D,"null")</f>
        <v>Rumah Tangga</v>
      </c>
      <c r="G1244" s="85" t="s">
        <v>80</v>
      </c>
      <c r="H1244" s="86">
        <v>100.43</v>
      </c>
      <c r="I1244" s="86">
        <v>100.43</v>
      </c>
      <c r="J1244" s="87">
        <f t="shared" si="2"/>
        <v>0</v>
      </c>
      <c r="K1244" s="84" t="str">
        <f t="shared" si="3"/>
        <v>Stabil</v>
      </c>
      <c r="L1244" s="84">
        <f t="shared" si="4"/>
        <v>0</v>
      </c>
      <c r="M1244" s="88" t="str">
        <f t="shared" si="5"/>
        <v>Perubahan Normal</v>
      </c>
    </row>
    <row r="1245" ht="18.75" customHeight="1">
      <c r="A1245" s="80" t="s">
        <v>433</v>
      </c>
      <c r="B1245" s="81" t="str">
        <f t="shared" si="1"/>
        <v>Kab Tulungagung</v>
      </c>
      <c r="C1245" s="81" t="str">
        <f t="array" ref="C1245">XLOOKUP(B1245,Reference!$A$2:$A$152,Reference!$B$2:$B$152)</f>
        <v>Jawa Timur</v>
      </c>
      <c r="D1245" s="82" t="s">
        <v>1684</v>
      </c>
      <c r="E1245" s="83">
        <v>45323.0</v>
      </c>
      <c r="F1245" s="84" t="str">
        <f t="array" ref="F1245">XLOOKUP(G1245,Reference!$F:$F,Reference!$D:$D,"null")</f>
        <v>Makanan dan Pakaian </v>
      </c>
      <c r="G1245" s="85" t="s">
        <v>64</v>
      </c>
      <c r="H1245" s="86">
        <v>105.12</v>
      </c>
      <c r="I1245" s="86">
        <v>105.12</v>
      </c>
      <c r="J1245" s="87">
        <f t="shared" si="2"/>
        <v>0</v>
      </c>
      <c r="K1245" s="84" t="str">
        <f t="shared" si="3"/>
        <v>Stabil</v>
      </c>
      <c r="L1245" s="84">
        <f t="shared" si="4"/>
        <v>0</v>
      </c>
      <c r="M1245" s="88" t="str">
        <f t="shared" si="5"/>
        <v>Perubahan Normal</v>
      </c>
    </row>
    <row r="1246" ht="18.75" customHeight="1">
      <c r="A1246" s="80" t="s">
        <v>485</v>
      </c>
      <c r="B1246" s="81" t="str">
        <f t="shared" si="1"/>
        <v>Banyuwangi</v>
      </c>
      <c r="C1246" s="81" t="str">
        <f t="array" ref="C1246">XLOOKUP(B1246,Reference!$A$2:$A$152,Reference!$B$2:$B$152)</f>
        <v>Jawa Timur</v>
      </c>
      <c r="D1246" s="82" t="s">
        <v>1685</v>
      </c>
      <c r="E1246" s="83">
        <v>45352.0</v>
      </c>
      <c r="F1246" s="84" t="str">
        <f t="array" ref="F1246">XLOOKUP(G1246,Reference!$F:$F,Reference!$D:$D,"null")</f>
        <v>Makanan dan Pakaian </v>
      </c>
      <c r="G1246" s="85" t="s">
        <v>64</v>
      </c>
      <c r="H1246" s="86">
        <v>103.78</v>
      </c>
      <c r="I1246" s="86">
        <v>103.02</v>
      </c>
      <c r="J1246" s="87">
        <f t="shared" si="2"/>
        <v>0.7377208309</v>
      </c>
      <c r="K1246" s="84" t="str">
        <f t="shared" si="3"/>
        <v>Inflasi Tinggi</v>
      </c>
      <c r="L1246" s="84">
        <f t="shared" si="4"/>
        <v>0.76</v>
      </c>
      <c r="M1246" s="88" t="str">
        <f t="shared" si="5"/>
        <v>Akselerasi Persentase</v>
      </c>
    </row>
    <row r="1247" ht="18.75" customHeight="1">
      <c r="A1247" s="80" t="s">
        <v>384</v>
      </c>
      <c r="B1247" s="81" t="str">
        <f t="shared" si="1"/>
        <v>Kab Lebak</v>
      </c>
      <c r="C1247" s="81" t="str">
        <f t="array" ref="C1247">XLOOKUP(B1247,Reference!$A$2:$A$152,Reference!$B$2:$B$152)</f>
        <v>Banten</v>
      </c>
      <c r="D1247" s="82" t="s">
        <v>1686</v>
      </c>
      <c r="E1247" s="83">
        <v>45352.0</v>
      </c>
      <c r="F1247" s="84" t="str">
        <f t="array" ref="F1247">XLOOKUP(G1247,Reference!$F:$F,Reference!$D:$D,"null")</f>
        <v>Pendidikan dan Kesehatan</v>
      </c>
      <c r="G1247" s="85" t="s">
        <v>95</v>
      </c>
      <c r="H1247" s="86">
        <v>100.0</v>
      </c>
      <c r="I1247" s="86">
        <v>100.0</v>
      </c>
      <c r="J1247" s="87">
        <f t="shared" si="2"/>
        <v>0</v>
      </c>
      <c r="K1247" s="84" t="str">
        <f t="shared" si="3"/>
        <v>Stabil</v>
      </c>
      <c r="L1247" s="84">
        <f t="shared" si="4"/>
        <v>0</v>
      </c>
      <c r="M1247" s="88" t="str">
        <f t="shared" si="5"/>
        <v>Perubahan Normal</v>
      </c>
    </row>
    <row r="1248" ht="18.75" customHeight="1">
      <c r="A1248" s="80" t="s">
        <v>314</v>
      </c>
      <c r="B1248" s="81" t="str">
        <f t="shared" si="1"/>
        <v>Kota Jayapura</v>
      </c>
      <c r="C1248" s="81" t="str">
        <f t="array" ref="C1248">XLOOKUP(B1248,Reference!$A$2:$A$152,Reference!$B$2:$B$152)</f>
        <v>Papua</v>
      </c>
      <c r="D1248" s="82" t="s">
        <v>1687</v>
      </c>
      <c r="E1248" s="83">
        <v>45352.0</v>
      </c>
      <c r="F1248" s="84" t="str">
        <f t="array" ref="F1248">XLOOKUP(G1248,Reference!$F:$F,Reference!$D:$D,"null")</f>
        <v>Rumah Tangga</v>
      </c>
      <c r="G1248" s="85" t="s">
        <v>84</v>
      </c>
      <c r="H1248" s="86">
        <v>97.61</v>
      </c>
      <c r="I1248" s="86">
        <v>97.61</v>
      </c>
      <c r="J1248" s="87">
        <f t="shared" si="2"/>
        <v>0</v>
      </c>
      <c r="K1248" s="84" t="str">
        <f t="shared" si="3"/>
        <v>Stabil</v>
      </c>
      <c r="L1248" s="84">
        <f t="shared" si="4"/>
        <v>0</v>
      </c>
      <c r="M1248" s="88" t="str">
        <f t="shared" si="5"/>
        <v>Perubahan Normal</v>
      </c>
    </row>
    <row r="1249" ht="18.75" customHeight="1">
      <c r="A1249" s="80" t="s">
        <v>550</v>
      </c>
      <c r="B1249" s="81" t="str">
        <f t="shared" si="1"/>
        <v>Kota Sukabumi</v>
      </c>
      <c r="C1249" s="81" t="str">
        <f t="array" ref="C1249">XLOOKUP(B1249,Reference!$A$2:$A$152,Reference!$B$2:$B$152)</f>
        <v>Jawa Barat</v>
      </c>
      <c r="D1249" s="82" t="s">
        <v>1688</v>
      </c>
      <c r="E1249" s="83">
        <v>45352.0</v>
      </c>
      <c r="F1249" s="84" t="str">
        <f t="array" ref="F1249">XLOOKUP(G1249,Reference!$F:$F,Reference!$D:$D,"null")</f>
        <v>Rekreasi dan Kendaraan</v>
      </c>
      <c r="G1249" s="85" t="s">
        <v>105</v>
      </c>
      <c r="H1249" s="86">
        <v>103.81</v>
      </c>
      <c r="I1249" s="86">
        <v>103.81</v>
      </c>
      <c r="J1249" s="87">
        <f t="shared" si="2"/>
        <v>0</v>
      </c>
      <c r="K1249" s="84" t="str">
        <f t="shared" si="3"/>
        <v>Stabil</v>
      </c>
      <c r="L1249" s="84">
        <f t="shared" si="4"/>
        <v>0</v>
      </c>
      <c r="M1249" s="88" t="str">
        <f t="shared" si="5"/>
        <v>Perubahan Normal</v>
      </c>
    </row>
    <row r="1250" ht="18.75" customHeight="1">
      <c r="A1250" s="80" t="s">
        <v>316</v>
      </c>
      <c r="B1250" s="81" t="str">
        <f t="shared" si="1"/>
        <v>Singaraja</v>
      </c>
      <c r="C1250" s="81" t="str">
        <f t="array" ref="C1250">XLOOKUP(B1250,Reference!$A$2:$A$152,Reference!$B$2:$B$152)</f>
        <v>Bali</v>
      </c>
      <c r="D1250" s="82" t="s">
        <v>1689</v>
      </c>
      <c r="E1250" s="83">
        <v>45323.0</v>
      </c>
      <c r="F1250" s="84" t="str">
        <f t="array" ref="F1250">XLOOKUP(G1250,Reference!$F:$F,Reference!$D:$D,"null")</f>
        <v>Rekreasi dan Kendaraan</v>
      </c>
      <c r="G1250" s="85" t="s">
        <v>102</v>
      </c>
      <c r="H1250" s="86">
        <v>108.11</v>
      </c>
      <c r="I1250" s="86">
        <v>108.11</v>
      </c>
      <c r="J1250" s="87">
        <f t="shared" si="2"/>
        <v>0</v>
      </c>
      <c r="K1250" s="84" t="str">
        <f t="shared" si="3"/>
        <v>Stabil</v>
      </c>
      <c r="L1250" s="84">
        <f t="shared" si="4"/>
        <v>0</v>
      </c>
      <c r="M1250" s="88" t="str">
        <f t="shared" si="5"/>
        <v>Perubahan Normal</v>
      </c>
    </row>
    <row r="1251" ht="18.75" customHeight="1">
      <c r="A1251" s="80" t="s">
        <v>841</v>
      </c>
      <c r="B1251" s="81" t="str">
        <f t="shared" si="1"/>
        <v>Kab Morowali</v>
      </c>
      <c r="C1251" s="81" t="str">
        <f t="array" ref="C1251">XLOOKUP(B1251,Reference!$A$2:$A$152,Reference!$B$2:$B$152)</f>
        <v>Sulawesi Tengah</v>
      </c>
      <c r="D1251" s="82" t="s">
        <v>1690</v>
      </c>
      <c r="E1251" s="83">
        <v>45352.0</v>
      </c>
      <c r="F1251" s="84" t="str">
        <f t="array" ref="F1251">XLOOKUP(G1251,Reference!$F:$F,Reference!$D:$D,"null")</f>
        <v>Makanan dan Pakaian </v>
      </c>
      <c r="G1251" s="85" t="s">
        <v>56</v>
      </c>
      <c r="H1251" s="86">
        <v>100.98</v>
      </c>
      <c r="I1251" s="86">
        <v>100.98</v>
      </c>
      <c r="J1251" s="87">
        <f t="shared" si="2"/>
        <v>0</v>
      </c>
      <c r="K1251" s="84" t="str">
        <f t="shared" si="3"/>
        <v>Stabil</v>
      </c>
      <c r="L1251" s="84">
        <f t="shared" si="4"/>
        <v>0</v>
      </c>
      <c r="M1251" s="88" t="str">
        <f t="shared" si="5"/>
        <v>Perubahan Normal</v>
      </c>
    </row>
    <row r="1252" ht="18.75" customHeight="1">
      <c r="A1252" s="80" t="s">
        <v>300</v>
      </c>
      <c r="B1252" s="81" t="str">
        <f t="shared" si="1"/>
        <v>Sintang</v>
      </c>
      <c r="C1252" s="81" t="str">
        <f t="array" ref="C1252">XLOOKUP(B1252,Reference!$A$2:$A$152,Reference!$B$2:$B$152)</f>
        <v>Kalimantan Barat</v>
      </c>
      <c r="D1252" s="82" t="s">
        <v>1691</v>
      </c>
      <c r="E1252" s="83">
        <v>45323.0</v>
      </c>
      <c r="F1252" s="84" t="str">
        <f t="array" ref="F1252">XLOOKUP(G1252,Reference!$F:$F,Reference!$D:$D,"null")</f>
        <v>Rumah Tangga</v>
      </c>
      <c r="G1252" s="85" t="s">
        <v>89</v>
      </c>
      <c r="H1252" s="86">
        <v>107.64</v>
      </c>
      <c r="I1252" s="86">
        <v>107.64</v>
      </c>
      <c r="J1252" s="87">
        <f t="shared" si="2"/>
        <v>0</v>
      </c>
      <c r="K1252" s="84" t="str">
        <f t="shared" si="3"/>
        <v>Stabil</v>
      </c>
      <c r="L1252" s="84">
        <f t="shared" si="4"/>
        <v>0</v>
      </c>
      <c r="M1252" s="88" t="str">
        <f t="shared" si="5"/>
        <v>Perubahan Normal</v>
      </c>
    </row>
    <row r="1253" ht="18.75" customHeight="1">
      <c r="A1253" s="80" t="s">
        <v>539</v>
      </c>
      <c r="B1253" s="81" t="str">
        <f t="shared" si="1"/>
        <v>Kab Sorong Selatan</v>
      </c>
      <c r="C1253" s="81" t="str">
        <f t="array" ref="C1253">XLOOKUP(B1253,Reference!$A$2:$A$152,Reference!$B$2:$B$152)</f>
        <v>Papua Barat Daya</v>
      </c>
      <c r="D1253" s="82" t="s">
        <v>1692</v>
      </c>
      <c r="E1253" s="83">
        <v>45323.0</v>
      </c>
      <c r="F1253" s="84" t="str">
        <f t="array" ref="F1253">XLOOKUP(G1253,Reference!$F:$F,Reference!$D:$D,"null")</f>
        <v>Makanan dan Pakaian </v>
      </c>
      <c r="G1253" s="85" t="s">
        <v>56</v>
      </c>
      <c r="H1253" s="86">
        <v>107.94</v>
      </c>
      <c r="I1253" s="86">
        <v>106.66</v>
      </c>
      <c r="J1253" s="87">
        <f t="shared" si="2"/>
        <v>1.200075005</v>
      </c>
      <c r="K1253" s="84" t="str">
        <f t="shared" si="3"/>
        <v>Inflasi Tinggi</v>
      </c>
      <c r="L1253" s="84">
        <f t="shared" si="4"/>
        <v>1.28</v>
      </c>
      <c r="M1253" s="88" t="str">
        <f t="shared" si="5"/>
        <v>Akselerasi Persentase</v>
      </c>
    </row>
    <row r="1254" ht="18.75" customHeight="1">
      <c r="A1254" s="80" t="s">
        <v>841</v>
      </c>
      <c r="B1254" s="81" t="str">
        <f t="shared" si="1"/>
        <v>Kab Morowali</v>
      </c>
      <c r="C1254" s="81" t="str">
        <f t="array" ref="C1254">XLOOKUP(B1254,Reference!$A$2:$A$152,Reference!$B$2:$B$152)</f>
        <v>Sulawesi Tengah</v>
      </c>
      <c r="D1254" s="82" t="s">
        <v>1693</v>
      </c>
      <c r="E1254" s="83">
        <v>45352.0</v>
      </c>
      <c r="F1254" s="84" t="str">
        <f t="array" ref="F1254">XLOOKUP(G1254,Reference!$F:$F,Reference!$D:$D,"null")</f>
        <v>Rumah Tangga</v>
      </c>
      <c r="G1254" s="85" t="s">
        <v>80</v>
      </c>
      <c r="H1254" s="86">
        <v>100.0</v>
      </c>
      <c r="I1254" s="86">
        <v>100.0</v>
      </c>
      <c r="J1254" s="87">
        <f t="shared" si="2"/>
        <v>0</v>
      </c>
      <c r="K1254" s="84" t="str">
        <f t="shared" si="3"/>
        <v>Stabil</v>
      </c>
      <c r="L1254" s="84">
        <f t="shared" si="4"/>
        <v>0</v>
      </c>
      <c r="M1254" s="88" t="str">
        <f t="shared" si="5"/>
        <v>Perubahan Normal</v>
      </c>
    </row>
    <row r="1255" ht="18.75" customHeight="1">
      <c r="A1255" s="80" t="s">
        <v>594</v>
      </c>
      <c r="B1255" s="81" t="str">
        <f t="shared" si="1"/>
        <v>Kota Kendari</v>
      </c>
      <c r="C1255" s="81" t="str">
        <f t="array" ref="C1255">XLOOKUP(B1255,Reference!$A$2:$A$152,Reference!$B$2:$B$152)</f>
        <v>Sulawesi Tenggara</v>
      </c>
      <c r="D1255" s="82" t="s">
        <v>1694</v>
      </c>
      <c r="E1255" s="83">
        <v>45323.0</v>
      </c>
      <c r="F1255" s="84" t="str">
        <f t="array" ref="F1255">XLOOKUP(G1255,Reference!$F:$F,Reference!$D:$D,"null")</f>
        <v>Rekreasi dan Kendaraan</v>
      </c>
      <c r="G1255" s="85" t="s">
        <v>105</v>
      </c>
      <c r="H1255" s="86">
        <v>106.73</v>
      </c>
      <c r="I1255" s="86">
        <v>106.48</v>
      </c>
      <c r="J1255" s="87">
        <f t="shared" si="2"/>
        <v>0.2347858753</v>
      </c>
      <c r="K1255" s="84" t="str">
        <f t="shared" si="3"/>
        <v>Inflasi Normal</v>
      </c>
      <c r="L1255" s="84">
        <f t="shared" si="4"/>
        <v>0.25</v>
      </c>
      <c r="M1255" s="88" t="str">
        <f t="shared" si="5"/>
        <v>Perubahan Normal</v>
      </c>
    </row>
    <row r="1256" ht="18.75" customHeight="1">
      <c r="A1256" s="80" t="s">
        <v>539</v>
      </c>
      <c r="B1256" s="81" t="str">
        <f t="shared" si="1"/>
        <v>Kab Sorong Selatan</v>
      </c>
      <c r="C1256" s="81" t="str">
        <f t="array" ref="C1256">XLOOKUP(B1256,Reference!$A$2:$A$152,Reference!$B$2:$B$152)</f>
        <v>Papua Barat Daya</v>
      </c>
      <c r="D1256" s="82" t="s">
        <v>1695</v>
      </c>
      <c r="E1256" s="83">
        <v>45323.0</v>
      </c>
      <c r="F1256" s="84" t="str">
        <f t="array" ref="F1256">XLOOKUP(G1256,Reference!$F:$F,Reference!$D:$D,"null")</f>
        <v>Makanan dan Pakaian </v>
      </c>
      <c r="G1256" s="85" t="s">
        <v>48</v>
      </c>
      <c r="H1256" s="86">
        <v>108.11</v>
      </c>
      <c r="I1256" s="86">
        <v>107.63</v>
      </c>
      <c r="J1256" s="87">
        <f t="shared" si="2"/>
        <v>0.4459723126</v>
      </c>
      <c r="K1256" s="84" t="str">
        <f t="shared" si="3"/>
        <v>Inflasi Normal</v>
      </c>
      <c r="L1256" s="84">
        <f t="shared" si="4"/>
        <v>0.48</v>
      </c>
      <c r="M1256" s="88" t="str">
        <f t="shared" si="5"/>
        <v>Perubahan Normal</v>
      </c>
    </row>
    <row r="1257" ht="18.75" customHeight="1">
      <c r="A1257" s="80" t="s">
        <v>294</v>
      </c>
      <c r="B1257" s="81" t="str">
        <f t="shared" si="1"/>
        <v>Kab Labuhanbatu</v>
      </c>
      <c r="C1257" s="81" t="str">
        <f t="array" ref="C1257">XLOOKUP(B1257,Reference!$A$2:$A$152,Reference!$B$2:$B$152)</f>
        <v>Sumatera Utara</v>
      </c>
      <c r="D1257" s="82" t="s">
        <v>1696</v>
      </c>
      <c r="E1257" s="83">
        <v>45323.0</v>
      </c>
      <c r="F1257" s="84" t="str">
        <f t="array" ref="F1257">XLOOKUP(G1257,Reference!$F:$F,Reference!$D:$D,"null")</f>
        <v>Rumah Tangga</v>
      </c>
      <c r="G1257" s="85" t="s">
        <v>80</v>
      </c>
      <c r="H1257" s="86">
        <v>100.0</v>
      </c>
      <c r="I1257" s="86">
        <v>100.0</v>
      </c>
      <c r="J1257" s="87">
        <f t="shared" si="2"/>
        <v>0</v>
      </c>
      <c r="K1257" s="84" t="str">
        <f t="shared" si="3"/>
        <v>Stabil</v>
      </c>
      <c r="L1257" s="84">
        <f t="shared" si="4"/>
        <v>0</v>
      </c>
      <c r="M1257" s="88" t="str">
        <f t="shared" si="5"/>
        <v>Perubahan Normal</v>
      </c>
    </row>
    <row r="1258" ht="18.75" customHeight="1">
      <c r="A1258" s="80" t="s">
        <v>934</v>
      </c>
      <c r="B1258" s="81" t="str">
        <f t="shared" si="1"/>
        <v>Kab Kolaka</v>
      </c>
      <c r="C1258" s="81" t="str">
        <f t="array" ref="C1258">XLOOKUP(B1258,Reference!$A$2:$A$152,Reference!$B$2:$B$152)</f>
        <v>Sulawesi Tenggara</v>
      </c>
      <c r="D1258" s="82" t="s">
        <v>1697</v>
      </c>
      <c r="E1258" s="83">
        <v>45323.0</v>
      </c>
      <c r="F1258" s="84" t="str">
        <f t="array" ref="F1258">XLOOKUP(G1258,Reference!$F:$F,Reference!$D:$D,"null")</f>
        <v>Rekreasi dan Kendaraan</v>
      </c>
      <c r="G1258" s="85" t="s">
        <v>102</v>
      </c>
      <c r="H1258" s="86">
        <v>106.08</v>
      </c>
      <c r="I1258" s="86">
        <v>105.25</v>
      </c>
      <c r="J1258" s="87">
        <f t="shared" si="2"/>
        <v>0.7885985748</v>
      </c>
      <c r="K1258" s="84" t="str">
        <f t="shared" si="3"/>
        <v>Inflasi Tinggi</v>
      </c>
      <c r="L1258" s="84">
        <f t="shared" si="4"/>
        <v>0.83</v>
      </c>
      <c r="M1258" s="88" t="str">
        <f t="shared" si="5"/>
        <v>Akselerasi Persentase</v>
      </c>
    </row>
    <row r="1259" ht="18.75" customHeight="1">
      <c r="A1259" s="80" t="s">
        <v>715</v>
      </c>
      <c r="B1259" s="81" t="str">
        <f t="shared" si="1"/>
        <v>Kab Bojonegoro</v>
      </c>
      <c r="C1259" s="81" t="str">
        <f t="array" ref="C1259">XLOOKUP(B1259,Reference!$A$2:$A$152,Reference!$B$2:$B$152)</f>
        <v>Jawa Timur</v>
      </c>
      <c r="D1259" s="82" t="s">
        <v>1698</v>
      </c>
      <c r="E1259" s="83">
        <v>45323.0</v>
      </c>
      <c r="F1259" s="84" t="str">
        <f t="array" ref="F1259">XLOOKUP(G1259,Reference!$F:$F,Reference!$D:$D,"null")</f>
        <v>Rumah Tangga</v>
      </c>
      <c r="G1259" s="85" t="s">
        <v>84</v>
      </c>
      <c r="H1259" s="86">
        <v>100.79</v>
      </c>
      <c r="I1259" s="86">
        <v>100.69</v>
      </c>
      <c r="J1259" s="87">
        <f t="shared" si="2"/>
        <v>0.09931472837</v>
      </c>
      <c r="K1259" s="84" t="str">
        <f t="shared" si="3"/>
        <v>Inflasi Normal</v>
      </c>
      <c r="L1259" s="84">
        <f t="shared" si="4"/>
        <v>0.1</v>
      </c>
      <c r="M1259" s="88" t="str">
        <f t="shared" si="5"/>
        <v>Perubahan Normal</v>
      </c>
    </row>
    <row r="1260" ht="18.75" customHeight="1">
      <c r="A1260" s="80" t="s">
        <v>600</v>
      </c>
      <c r="B1260" s="81" t="str">
        <f t="shared" si="1"/>
        <v>Kota Banda Aceh</v>
      </c>
      <c r="C1260" s="81" t="str">
        <f t="array" ref="C1260">XLOOKUP(B1260,Reference!$A$2:$A$152,Reference!$B$2:$B$152)</f>
        <v>Aceh</v>
      </c>
      <c r="D1260" s="82" t="s">
        <v>1699</v>
      </c>
      <c r="E1260" s="83">
        <v>45352.0</v>
      </c>
      <c r="F1260" s="84" t="str">
        <f t="array" ref="F1260">XLOOKUP(G1260,Reference!$F:$F,Reference!$D:$D,"null")</f>
        <v>Makanan dan Pakaian </v>
      </c>
      <c r="G1260" s="89" t="s">
        <v>48</v>
      </c>
      <c r="H1260" s="90">
        <v>110.8</v>
      </c>
      <c r="I1260" s="90">
        <v>110.0</v>
      </c>
      <c r="J1260" s="87">
        <f t="shared" si="2"/>
        <v>0.7272727273</v>
      </c>
      <c r="K1260" s="84" t="str">
        <f t="shared" si="3"/>
        <v>Inflasi Tinggi</v>
      </c>
      <c r="L1260" s="91">
        <f t="shared" si="4"/>
        <v>0.8</v>
      </c>
      <c r="M1260" s="88" t="str">
        <f t="shared" si="5"/>
        <v>Akselerasi Persentase</v>
      </c>
    </row>
    <row r="1261" ht="18.75" customHeight="1">
      <c r="A1261" s="80" t="s">
        <v>412</v>
      </c>
      <c r="B1261" s="81" t="str">
        <f t="shared" si="1"/>
        <v>Cilacap</v>
      </c>
      <c r="C1261" s="81" t="str">
        <f t="array" ref="C1261">XLOOKUP(B1261,Reference!$A$2:$A$152,Reference!$B$2:$B$152)</f>
        <v>Jawa Tengah</v>
      </c>
      <c r="D1261" s="82" t="s">
        <v>1700</v>
      </c>
      <c r="E1261" s="83">
        <v>45323.0</v>
      </c>
      <c r="F1261" s="84" t="str">
        <f t="array" ref="F1261">XLOOKUP(G1261,Reference!$F:$F,Reference!$D:$D,"null")</f>
        <v>Rumah Tangga</v>
      </c>
      <c r="G1261" s="85" t="s">
        <v>80</v>
      </c>
      <c r="H1261" s="86">
        <v>102.03</v>
      </c>
      <c r="I1261" s="86">
        <v>102.03</v>
      </c>
      <c r="J1261" s="87">
        <f t="shared" si="2"/>
        <v>0</v>
      </c>
      <c r="K1261" s="84" t="str">
        <f t="shared" si="3"/>
        <v>Stabil</v>
      </c>
      <c r="L1261" s="84">
        <f t="shared" si="4"/>
        <v>0</v>
      </c>
      <c r="M1261" s="88" t="str">
        <f t="shared" si="5"/>
        <v>Perubahan Normal</v>
      </c>
    </row>
    <row r="1262" ht="18.75" customHeight="1">
      <c r="A1262" s="80" t="s">
        <v>634</v>
      </c>
      <c r="B1262" s="81" t="str">
        <f t="shared" si="1"/>
        <v>Kota Depok</v>
      </c>
      <c r="C1262" s="81" t="str">
        <f t="array" ref="C1262">XLOOKUP(B1262,Reference!$A$2:$A$152,Reference!$B$2:$B$152)</f>
        <v>Jawa Barat</v>
      </c>
      <c r="D1262" s="82" t="s">
        <v>1701</v>
      </c>
      <c r="E1262" s="83">
        <v>45323.0</v>
      </c>
      <c r="F1262" s="84" t="str">
        <f t="array" ref="F1262">XLOOKUP(G1262,Reference!$F:$F,Reference!$D:$D,"null")</f>
        <v>Pendidikan dan Kesehatan</v>
      </c>
      <c r="G1262" s="85" t="s">
        <v>95</v>
      </c>
      <c r="H1262" s="86">
        <v>105.31</v>
      </c>
      <c r="I1262" s="86">
        <v>105.31</v>
      </c>
      <c r="J1262" s="87">
        <f t="shared" si="2"/>
        <v>0</v>
      </c>
      <c r="K1262" s="84" t="str">
        <f t="shared" si="3"/>
        <v>Stabil</v>
      </c>
      <c r="L1262" s="84">
        <f t="shared" si="4"/>
        <v>0</v>
      </c>
      <c r="M1262" s="88" t="str">
        <f t="shared" si="5"/>
        <v>Perubahan Normal</v>
      </c>
    </row>
    <row r="1263" ht="18.75" customHeight="1">
      <c r="A1263" s="80" t="s">
        <v>342</v>
      </c>
      <c r="B1263" s="81" t="str">
        <f t="shared" si="1"/>
        <v>Kab Bandung</v>
      </c>
      <c r="C1263" s="81" t="str">
        <f t="array" ref="C1263">XLOOKUP(B1263,Reference!$A$2:$A$152,Reference!$B$2:$B$152)</f>
        <v>Jawa Barat</v>
      </c>
      <c r="D1263" s="82" t="s">
        <v>1702</v>
      </c>
      <c r="E1263" s="83">
        <v>45323.0</v>
      </c>
      <c r="F1263" s="84" t="str">
        <f t="array" ref="F1263">XLOOKUP(G1263,Reference!$F:$F,Reference!$D:$D,"null")</f>
        <v>Makanan dan Pakaian </v>
      </c>
      <c r="G1263" s="85" t="s">
        <v>56</v>
      </c>
      <c r="H1263" s="86">
        <v>112.74</v>
      </c>
      <c r="I1263" s="86">
        <v>112.74</v>
      </c>
      <c r="J1263" s="87">
        <f t="shared" si="2"/>
        <v>0</v>
      </c>
      <c r="K1263" s="84" t="str">
        <f t="shared" si="3"/>
        <v>Stabil</v>
      </c>
      <c r="L1263" s="84">
        <f t="shared" si="4"/>
        <v>0</v>
      </c>
      <c r="M1263" s="88" t="str">
        <f t="shared" si="5"/>
        <v>Perubahan Normal</v>
      </c>
    </row>
    <row r="1264" ht="18.75" customHeight="1">
      <c r="A1264" s="80" t="s">
        <v>454</v>
      </c>
      <c r="B1264" s="81" t="str">
        <f t="shared" si="1"/>
        <v>Kab Ketapang</v>
      </c>
      <c r="C1264" s="81" t="str">
        <f t="array" ref="C1264">XLOOKUP(B1264,Reference!$A$2:$A$152,Reference!$B$2:$B$152)</f>
        <v>Kalimantan Barat</v>
      </c>
      <c r="D1264" s="82" t="s">
        <v>1703</v>
      </c>
      <c r="E1264" s="83">
        <v>45352.0</v>
      </c>
      <c r="F1264" s="84" t="str">
        <f t="array" ref="F1264">XLOOKUP(G1264,Reference!$F:$F,Reference!$D:$D,"null")</f>
        <v>Makanan dan Pakaian </v>
      </c>
      <c r="G1264" s="89" t="s">
        <v>56</v>
      </c>
      <c r="H1264" s="90">
        <v>109.12</v>
      </c>
      <c r="I1264" s="90">
        <v>109.53</v>
      </c>
      <c r="J1264" s="87">
        <f t="shared" si="2"/>
        <v>-0.3743266685</v>
      </c>
      <c r="K1264" s="84" t="str">
        <f t="shared" si="3"/>
        <v>Deflasi</v>
      </c>
      <c r="L1264" s="91">
        <f t="shared" si="4"/>
        <v>-0.41</v>
      </c>
      <c r="M1264" s="88" t="str">
        <f t="shared" si="5"/>
        <v>Perubahan Normal</v>
      </c>
    </row>
    <row r="1265" ht="18.75" customHeight="1">
      <c r="A1265" s="80" t="s">
        <v>672</v>
      </c>
      <c r="B1265" s="81" t="str">
        <f t="shared" si="1"/>
        <v>Kab Ogan Komering Ilir</v>
      </c>
      <c r="C1265" s="81" t="str">
        <f t="array" ref="C1265">XLOOKUP(B1265,Reference!$A$2:$A$152,Reference!$B$2:$B$152)</f>
        <v>Sumatera Selatan</v>
      </c>
      <c r="D1265" s="82" t="s">
        <v>1704</v>
      </c>
      <c r="E1265" s="83">
        <v>45323.0</v>
      </c>
      <c r="F1265" s="84" t="str">
        <f t="array" ref="F1265">XLOOKUP(G1265,Reference!$F:$F,Reference!$D:$D,"null")</f>
        <v>Rekreasi dan Kendaraan</v>
      </c>
      <c r="G1265" s="85" t="s">
        <v>102</v>
      </c>
      <c r="H1265" s="86">
        <v>105.78</v>
      </c>
      <c r="I1265" s="86">
        <v>106.81</v>
      </c>
      <c r="J1265" s="87">
        <f t="shared" si="2"/>
        <v>-0.9643291827</v>
      </c>
      <c r="K1265" s="84" t="str">
        <f t="shared" si="3"/>
        <v>Deflasi</v>
      </c>
      <c r="L1265" s="84">
        <f t="shared" si="4"/>
        <v>-1.03</v>
      </c>
      <c r="M1265" s="88" t="str">
        <f t="shared" si="5"/>
        <v>Perubahan Normal</v>
      </c>
    </row>
    <row r="1266" ht="18.75" customHeight="1">
      <c r="A1266" s="80" t="s">
        <v>306</v>
      </c>
      <c r="B1266" s="81" t="str">
        <f t="shared" si="1"/>
        <v>Kota Padang</v>
      </c>
      <c r="C1266" s="81" t="str">
        <f t="array" ref="C1266">XLOOKUP(B1266,Reference!$A$2:$A$152,Reference!$B$2:$B$152)</f>
        <v>Sumatera Barat</v>
      </c>
      <c r="D1266" s="82" t="s">
        <v>1705</v>
      </c>
      <c r="E1266" s="83">
        <v>45323.0</v>
      </c>
      <c r="F1266" s="84" t="str">
        <f t="array" ref="F1266">XLOOKUP(G1266,Reference!$F:$F,Reference!$D:$D,"null")</f>
        <v>Rumah Tangga</v>
      </c>
      <c r="G1266" s="85" t="s">
        <v>89</v>
      </c>
      <c r="H1266" s="86">
        <v>105.77</v>
      </c>
      <c r="I1266" s="86">
        <v>105.77</v>
      </c>
      <c r="J1266" s="87">
        <f t="shared" si="2"/>
        <v>0</v>
      </c>
      <c r="K1266" s="84" t="str">
        <f t="shared" si="3"/>
        <v>Stabil</v>
      </c>
      <c r="L1266" s="84">
        <f t="shared" si="4"/>
        <v>0</v>
      </c>
      <c r="M1266" s="88" t="str">
        <f t="shared" si="5"/>
        <v>Perubahan Normal</v>
      </c>
    </row>
    <row r="1267" ht="18.75" customHeight="1">
      <c r="A1267" s="80" t="s">
        <v>442</v>
      </c>
      <c r="B1267" s="81" t="str">
        <f t="shared" si="1"/>
        <v>Kota Cirebon</v>
      </c>
      <c r="C1267" s="81" t="str">
        <f t="array" ref="C1267">XLOOKUP(B1267,Reference!$A$2:$A$152,Reference!$B$2:$B$152)</f>
        <v>Jawa Barat</v>
      </c>
      <c r="D1267" s="82" t="s">
        <v>1706</v>
      </c>
      <c r="E1267" s="83">
        <v>45323.0</v>
      </c>
      <c r="F1267" s="84" t="str">
        <f t="array" ref="F1267">XLOOKUP(G1267,Reference!$F:$F,Reference!$D:$D,"null")</f>
        <v>Rumah Tangga</v>
      </c>
      <c r="G1267" s="85" t="s">
        <v>80</v>
      </c>
      <c r="H1267" s="86">
        <v>100.95</v>
      </c>
      <c r="I1267" s="86">
        <v>100.95</v>
      </c>
      <c r="J1267" s="87">
        <f t="shared" si="2"/>
        <v>0</v>
      </c>
      <c r="K1267" s="84" t="str">
        <f t="shared" si="3"/>
        <v>Stabil</v>
      </c>
      <c r="L1267" s="84">
        <f t="shared" si="4"/>
        <v>0</v>
      </c>
      <c r="M1267" s="88" t="str">
        <f t="shared" si="5"/>
        <v>Perubahan Normal</v>
      </c>
    </row>
    <row r="1268" ht="18.75" customHeight="1">
      <c r="A1268" s="80" t="s">
        <v>731</v>
      </c>
      <c r="B1268" s="81" t="str">
        <f t="shared" si="1"/>
        <v>Kab Hulu Sungai Tengah</v>
      </c>
      <c r="C1268" s="81" t="str">
        <f t="array" ref="C1268">XLOOKUP(B1268,Reference!$A$2:$A$152,Reference!$B$2:$B$152)</f>
        <v>Kalimantan Selatan</v>
      </c>
      <c r="D1268" s="82" t="s">
        <v>1707</v>
      </c>
      <c r="E1268" s="83">
        <v>45323.0</v>
      </c>
      <c r="F1268" s="84" t="str">
        <f t="array" ref="F1268">XLOOKUP(G1268,Reference!$F:$F,Reference!$D:$D,"null")</f>
        <v>Pendidikan dan Kesehatan</v>
      </c>
      <c r="G1268" s="85" t="s">
        <v>95</v>
      </c>
      <c r="H1268" s="86">
        <v>100.0</v>
      </c>
      <c r="I1268" s="86">
        <v>100.0</v>
      </c>
      <c r="J1268" s="87">
        <f t="shared" si="2"/>
        <v>0</v>
      </c>
      <c r="K1268" s="84" t="str">
        <f t="shared" si="3"/>
        <v>Stabil</v>
      </c>
      <c r="L1268" s="84">
        <f t="shared" si="4"/>
        <v>0</v>
      </c>
      <c r="M1268" s="88" t="str">
        <f t="shared" si="5"/>
        <v>Perubahan Normal</v>
      </c>
    </row>
    <row r="1269" ht="18.75" customHeight="1">
      <c r="A1269" s="80" t="s">
        <v>905</v>
      </c>
      <c r="B1269" s="81" t="str">
        <f t="shared" si="1"/>
        <v>Kota Ambon</v>
      </c>
      <c r="C1269" s="81" t="str">
        <f t="array" ref="C1269">XLOOKUP(B1269,Reference!$A$2:$A$152,Reference!$B$2:$B$152)</f>
        <v>Maluku</v>
      </c>
      <c r="D1269" s="82" t="s">
        <v>1708</v>
      </c>
      <c r="E1269" s="83">
        <v>45323.0</v>
      </c>
      <c r="F1269" s="84" t="str">
        <f t="array" ref="F1269">XLOOKUP(G1269,Reference!$F:$F,Reference!$D:$D,"null")</f>
        <v>Makanan dan Pakaian </v>
      </c>
      <c r="G1269" s="85" t="s">
        <v>56</v>
      </c>
      <c r="H1269" s="86">
        <v>104.68</v>
      </c>
      <c r="I1269" s="86">
        <v>104.53</v>
      </c>
      <c r="J1269" s="87">
        <f t="shared" si="2"/>
        <v>0.1434994738</v>
      </c>
      <c r="K1269" s="84" t="str">
        <f t="shared" si="3"/>
        <v>Inflasi Normal</v>
      </c>
      <c r="L1269" s="84">
        <f t="shared" si="4"/>
        <v>0.15</v>
      </c>
      <c r="M1269" s="88" t="str">
        <f t="shared" si="5"/>
        <v>Perubahan Normal</v>
      </c>
    </row>
    <row r="1270" ht="18.75" customHeight="1">
      <c r="A1270" s="80" t="s">
        <v>497</v>
      </c>
      <c r="B1270" s="81" t="str">
        <f t="shared" si="1"/>
        <v>Tanjung Pandan</v>
      </c>
      <c r="C1270" s="81" t="str">
        <f t="array" ref="C1270">XLOOKUP(B1270,Reference!$A$2:$A$152,Reference!$B$2:$B$152)</f>
        <v>Kepulauan Bangka Belitung</v>
      </c>
      <c r="D1270" s="82" t="s">
        <v>1709</v>
      </c>
      <c r="E1270" s="83">
        <v>45352.0</v>
      </c>
      <c r="F1270" s="84" t="str">
        <f t="array" ref="F1270">XLOOKUP(G1270,Reference!$F:$F,Reference!$D:$D,"null")</f>
        <v>Makanan dan Pakaian </v>
      </c>
      <c r="G1270" s="85" t="s">
        <v>64</v>
      </c>
      <c r="H1270" s="86">
        <v>103.37</v>
      </c>
      <c r="I1270" s="86">
        <v>103.0</v>
      </c>
      <c r="J1270" s="87">
        <f t="shared" si="2"/>
        <v>0.359223301</v>
      </c>
      <c r="K1270" s="84" t="str">
        <f t="shared" si="3"/>
        <v>Inflasi Normal</v>
      </c>
      <c r="L1270" s="84">
        <f t="shared" si="4"/>
        <v>0.37</v>
      </c>
      <c r="M1270" s="88" t="str">
        <f t="shared" si="5"/>
        <v>Perubahan Normal</v>
      </c>
    </row>
    <row r="1271" ht="18.75" customHeight="1">
      <c r="A1271" s="80" t="s">
        <v>429</v>
      </c>
      <c r="B1271" s="81" t="str">
        <f t="shared" si="1"/>
        <v>Kab Nabire</v>
      </c>
      <c r="C1271" s="81" t="str">
        <f t="array" ref="C1271">XLOOKUP(B1271,Reference!$A$2:$A$152,Reference!$B$2:$B$152)</f>
        <v>Papua</v>
      </c>
      <c r="D1271" s="82" t="s">
        <v>1710</v>
      </c>
      <c r="E1271" s="83">
        <v>45352.0</v>
      </c>
      <c r="F1271" s="84" t="str">
        <f t="array" ref="F1271">XLOOKUP(G1271,Reference!$F:$F,Reference!$D:$D,"null")</f>
        <v>Pendidikan dan Kesehatan</v>
      </c>
      <c r="G1271" s="85" t="s">
        <v>98</v>
      </c>
      <c r="H1271" s="86">
        <v>99.93</v>
      </c>
      <c r="I1271" s="86">
        <v>99.93</v>
      </c>
      <c r="J1271" s="87">
        <f t="shared" si="2"/>
        <v>0</v>
      </c>
      <c r="K1271" s="84" t="str">
        <f t="shared" si="3"/>
        <v>Stabil</v>
      </c>
      <c r="L1271" s="84">
        <f t="shared" si="4"/>
        <v>0</v>
      </c>
      <c r="M1271" s="88" t="str">
        <f t="shared" si="5"/>
        <v>Perubahan Normal</v>
      </c>
    </row>
    <row r="1272" ht="18.75" customHeight="1">
      <c r="A1272" s="80" t="s">
        <v>740</v>
      </c>
      <c r="B1272" s="81" t="str">
        <f t="shared" si="1"/>
        <v>Kota Gunungsitoli</v>
      </c>
      <c r="C1272" s="81" t="str">
        <f t="array" ref="C1272">XLOOKUP(B1272,Reference!$A$2:$A$152,Reference!$B$2:$B$152)</f>
        <v>Sumatera Utara</v>
      </c>
      <c r="D1272" s="82" t="s">
        <v>1711</v>
      </c>
      <c r="E1272" s="83">
        <v>45352.0</v>
      </c>
      <c r="F1272" s="84" t="str">
        <f t="array" ref="F1272">XLOOKUP(G1272,Reference!$F:$F,Reference!$D:$D,"null")</f>
        <v>Makanan dan Pakaian </v>
      </c>
      <c r="G1272" s="85" t="s">
        <v>64</v>
      </c>
      <c r="H1272" s="86">
        <v>98.88</v>
      </c>
      <c r="I1272" s="86">
        <v>98.77</v>
      </c>
      <c r="J1272" s="87">
        <f t="shared" si="2"/>
        <v>0.1113698491</v>
      </c>
      <c r="K1272" s="84" t="str">
        <f t="shared" si="3"/>
        <v>Inflasi Normal</v>
      </c>
      <c r="L1272" s="84">
        <f t="shared" si="4"/>
        <v>0.11</v>
      </c>
      <c r="M1272" s="88" t="str">
        <f t="shared" si="5"/>
        <v>Perubahan Normal</v>
      </c>
    </row>
    <row r="1273" ht="18.75" customHeight="1">
      <c r="A1273" s="80" t="s">
        <v>358</v>
      </c>
      <c r="B1273" s="81" t="str">
        <f t="shared" si="1"/>
        <v>Kab Minahasa Utara</v>
      </c>
      <c r="C1273" s="81" t="str">
        <f t="array" ref="C1273">XLOOKUP(B1273,Reference!$A$2:$A$152,Reference!$B$2:$B$152)</f>
        <v>Sulawesi Utara</v>
      </c>
      <c r="D1273" s="82" t="s">
        <v>1712</v>
      </c>
      <c r="E1273" s="83">
        <v>45323.0</v>
      </c>
      <c r="F1273" s="84" t="str">
        <f t="array" ref="F1273">XLOOKUP(G1273,Reference!$F:$F,Reference!$D:$D,"null")</f>
        <v>Pendidikan dan Kesehatan</v>
      </c>
      <c r="G1273" s="89" t="s">
        <v>98</v>
      </c>
      <c r="H1273" s="90">
        <v>107.65</v>
      </c>
      <c r="I1273" s="90">
        <v>107.23</v>
      </c>
      <c r="J1273" s="87">
        <f t="shared" si="2"/>
        <v>0.3916814324</v>
      </c>
      <c r="K1273" s="84" t="str">
        <f t="shared" si="3"/>
        <v>Inflasi Normal</v>
      </c>
      <c r="L1273" s="91">
        <f t="shared" si="4"/>
        <v>0.42</v>
      </c>
      <c r="M1273" s="88" t="str">
        <f t="shared" si="5"/>
        <v>Perubahan Normal</v>
      </c>
    </row>
    <row r="1274" ht="18.75" customHeight="1">
      <c r="A1274" s="80" t="s">
        <v>571</v>
      </c>
      <c r="B1274" s="81" t="str">
        <f t="shared" si="1"/>
        <v>Kota Sorong</v>
      </c>
      <c r="C1274" s="81" t="str">
        <f t="array" ref="C1274">XLOOKUP(B1274,Reference!$A$2:$A$152,Reference!$B$2:$B$152)</f>
        <v>Papua Barat Daya</v>
      </c>
      <c r="D1274" s="82" t="s">
        <v>1713</v>
      </c>
      <c r="E1274" s="83">
        <v>45323.0</v>
      </c>
      <c r="F1274" s="84" t="str">
        <f t="array" ref="F1274">XLOOKUP(G1274,Reference!$F:$F,Reference!$D:$D,"null")</f>
        <v>Rekreasi dan Kendaraan</v>
      </c>
      <c r="G1274" s="85" t="s">
        <v>102</v>
      </c>
      <c r="H1274" s="86">
        <v>109.04</v>
      </c>
      <c r="I1274" s="86">
        <v>109.04</v>
      </c>
      <c r="J1274" s="87">
        <f t="shared" si="2"/>
        <v>0</v>
      </c>
      <c r="K1274" s="84" t="str">
        <f t="shared" si="3"/>
        <v>Stabil</v>
      </c>
      <c r="L1274" s="84">
        <f t="shared" si="4"/>
        <v>0</v>
      </c>
      <c r="M1274" s="88" t="str">
        <f t="shared" si="5"/>
        <v>Perubahan Normal</v>
      </c>
    </row>
    <row r="1275" ht="18.75" customHeight="1">
      <c r="A1275" s="80" t="s">
        <v>337</v>
      </c>
      <c r="B1275" s="81" t="str">
        <f t="shared" si="1"/>
        <v>Merauke</v>
      </c>
      <c r="C1275" s="81" t="str">
        <f t="array" ref="C1275">XLOOKUP(B1275,Reference!$A$2:$A$152,Reference!$B$2:$B$152)</f>
        <v>Papua</v>
      </c>
      <c r="D1275" s="82" t="s">
        <v>1714</v>
      </c>
      <c r="E1275" s="83">
        <v>45323.0</v>
      </c>
      <c r="F1275" s="84" t="str">
        <f t="array" ref="F1275">XLOOKUP(G1275,Reference!$F:$F,Reference!$D:$D,"null")</f>
        <v>Rumah Tangga</v>
      </c>
      <c r="G1275" s="85" t="s">
        <v>80</v>
      </c>
      <c r="H1275" s="86">
        <v>100.69</v>
      </c>
      <c r="I1275" s="86">
        <v>100.54</v>
      </c>
      <c r="J1275" s="87">
        <f t="shared" si="2"/>
        <v>0.1491943505</v>
      </c>
      <c r="K1275" s="84" t="str">
        <f t="shared" si="3"/>
        <v>Inflasi Normal</v>
      </c>
      <c r="L1275" s="84">
        <f t="shared" si="4"/>
        <v>0.15</v>
      </c>
      <c r="M1275" s="88" t="str">
        <f t="shared" si="5"/>
        <v>Perubahan Normal</v>
      </c>
    </row>
    <row r="1276" ht="18.75" customHeight="1">
      <c r="A1276" s="80" t="s">
        <v>395</v>
      </c>
      <c r="B1276" s="81" t="str">
        <f t="shared" si="1"/>
        <v>Kota Bukittinggi</v>
      </c>
      <c r="C1276" s="81" t="str">
        <f t="array" ref="C1276">XLOOKUP(B1276,Reference!$A$2:$A$152,Reference!$B$2:$B$152)</f>
        <v>Sumatera Barat</v>
      </c>
      <c r="D1276" s="82" t="s">
        <v>1715</v>
      </c>
      <c r="E1276" s="83">
        <v>45352.0</v>
      </c>
      <c r="F1276" s="84" t="str">
        <f t="array" ref="F1276">XLOOKUP(G1276,Reference!$F:$F,Reference!$D:$D,"null")</f>
        <v>Makanan dan Pakaian </v>
      </c>
      <c r="G1276" s="89" t="s">
        <v>64</v>
      </c>
      <c r="H1276" s="90">
        <v>102.44</v>
      </c>
      <c r="I1276" s="90">
        <v>102.34</v>
      </c>
      <c r="J1276" s="87">
        <f t="shared" si="2"/>
        <v>0.09771350401</v>
      </c>
      <c r="K1276" s="84" t="str">
        <f t="shared" si="3"/>
        <v>Inflasi Normal</v>
      </c>
      <c r="L1276" s="91">
        <f t="shared" si="4"/>
        <v>0.1</v>
      </c>
      <c r="M1276" s="88" t="str">
        <f t="shared" si="5"/>
        <v>Perubahan Normal</v>
      </c>
    </row>
    <row r="1277" ht="18.75" customHeight="1">
      <c r="A1277" s="80" t="s">
        <v>669</v>
      </c>
      <c r="B1277" s="81" t="str">
        <f t="shared" si="1"/>
        <v>Kab Sidenreng Rappang</v>
      </c>
      <c r="C1277" s="81" t="str">
        <f t="array" ref="C1277">XLOOKUP(B1277,Reference!$A$2:$A$152,Reference!$B$2:$B$152)</f>
        <v>Sulawesi Selatan</v>
      </c>
      <c r="D1277" s="82" t="s">
        <v>1716</v>
      </c>
      <c r="E1277" s="83">
        <v>45352.0</v>
      </c>
      <c r="F1277" s="84" t="str">
        <f t="array" ref="F1277">XLOOKUP(G1277,Reference!$F:$F,Reference!$D:$D,"null")</f>
        <v>Makanan dan Pakaian </v>
      </c>
      <c r="G1277" s="89" t="s">
        <v>64</v>
      </c>
      <c r="H1277" s="90">
        <v>104.55</v>
      </c>
      <c r="I1277" s="90">
        <v>104.55</v>
      </c>
      <c r="J1277" s="87">
        <f t="shared" si="2"/>
        <v>0</v>
      </c>
      <c r="K1277" s="84" t="str">
        <f t="shared" si="3"/>
        <v>Stabil</v>
      </c>
      <c r="L1277" s="91">
        <f t="shared" si="4"/>
        <v>0</v>
      </c>
      <c r="M1277" s="88" t="str">
        <f t="shared" si="5"/>
        <v>Perubahan Normal</v>
      </c>
    </row>
    <row r="1278" ht="18.75" customHeight="1">
      <c r="A1278" s="80" t="s">
        <v>478</v>
      </c>
      <c r="B1278" s="81" t="str">
        <f t="shared" si="1"/>
        <v>Kab Maluku Tengah</v>
      </c>
      <c r="C1278" s="81" t="str">
        <f t="array" ref="C1278">XLOOKUP(B1278,Reference!$A$2:$A$152,Reference!$B$2:$B$152)</f>
        <v>Maluku</v>
      </c>
      <c r="D1278" s="82" t="s">
        <v>1717</v>
      </c>
      <c r="E1278" s="83">
        <v>45352.0</v>
      </c>
      <c r="F1278" s="84" t="str">
        <f t="array" ref="F1278">XLOOKUP(G1278,Reference!$F:$F,Reference!$D:$D,"null")</f>
        <v>Makanan dan Pakaian </v>
      </c>
      <c r="G1278" s="85" t="s">
        <v>72</v>
      </c>
      <c r="H1278" s="86">
        <v>94.82</v>
      </c>
      <c r="I1278" s="86">
        <v>94.82</v>
      </c>
      <c r="J1278" s="87">
        <f t="shared" si="2"/>
        <v>0</v>
      </c>
      <c r="K1278" s="84" t="str">
        <f t="shared" si="3"/>
        <v>Stabil</v>
      </c>
      <c r="L1278" s="84">
        <f t="shared" si="4"/>
        <v>0</v>
      </c>
      <c r="M1278" s="88" t="str">
        <f t="shared" si="5"/>
        <v>Perubahan Normal</v>
      </c>
    </row>
    <row r="1279" ht="18.75" customHeight="1">
      <c r="A1279" s="80" t="s">
        <v>412</v>
      </c>
      <c r="B1279" s="81" t="str">
        <f t="shared" si="1"/>
        <v>Cilacap</v>
      </c>
      <c r="C1279" s="81" t="str">
        <f t="array" ref="C1279">XLOOKUP(B1279,Reference!$A$2:$A$152,Reference!$B$2:$B$152)</f>
        <v>Jawa Tengah</v>
      </c>
      <c r="D1279" s="82" t="s">
        <v>1718</v>
      </c>
      <c r="E1279" s="83">
        <v>45352.0</v>
      </c>
      <c r="F1279" s="84" t="str">
        <f t="array" ref="F1279">XLOOKUP(G1279,Reference!$F:$F,Reference!$D:$D,"null")</f>
        <v>Rumah Tangga</v>
      </c>
      <c r="G1279" s="85" t="s">
        <v>80</v>
      </c>
      <c r="H1279" s="86">
        <v>102.03</v>
      </c>
      <c r="I1279" s="86">
        <v>102.03</v>
      </c>
      <c r="J1279" s="87">
        <f t="shared" si="2"/>
        <v>0</v>
      </c>
      <c r="K1279" s="84" t="str">
        <f t="shared" si="3"/>
        <v>Stabil</v>
      </c>
      <c r="L1279" s="84">
        <f t="shared" si="4"/>
        <v>0</v>
      </c>
      <c r="M1279" s="88" t="str">
        <f t="shared" si="5"/>
        <v>Perubahan Normal</v>
      </c>
    </row>
    <row r="1280" ht="18.75" customHeight="1">
      <c r="A1280" s="80" t="s">
        <v>450</v>
      </c>
      <c r="B1280" s="81" t="str">
        <f t="shared" si="1"/>
        <v>Waingapu</v>
      </c>
      <c r="C1280" s="81" t="str">
        <f t="array" ref="C1280">XLOOKUP(B1280,Reference!$A$2:$A$152,Reference!$B$2:$B$152)</f>
        <v>Nusa Tenggara Timur (NTT)</v>
      </c>
      <c r="D1280" s="82" t="s">
        <v>1719</v>
      </c>
      <c r="E1280" s="83">
        <v>45323.0</v>
      </c>
      <c r="F1280" s="84" t="str">
        <f t="array" ref="F1280">XLOOKUP(G1280,Reference!$F:$F,Reference!$D:$D,"null")</f>
        <v>Rekreasi dan Kendaraan</v>
      </c>
      <c r="G1280" s="85" t="s">
        <v>105</v>
      </c>
      <c r="H1280" s="86">
        <v>105.63</v>
      </c>
      <c r="I1280" s="86">
        <v>105.63</v>
      </c>
      <c r="J1280" s="87">
        <f t="shared" si="2"/>
        <v>0</v>
      </c>
      <c r="K1280" s="84" t="str">
        <f t="shared" si="3"/>
        <v>Stabil</v>
      </c>
      <c r="L1280" s="84">
        <f t="shared" si="4"/>
        <v>0</v>
      </c>
      <c r="M1280" s="88" t="str">
        <f t="shared" si="5"/>
        <v>Perubahan Normal</v>
      </c>
    </row>
    <row r="1281" ht="18.75" customHeight="1">
      <c r="A1281" s="80" t="s">
        <v>414</v>
      </c>
      <c r="B1281" s="81" t="str">
        <f t="shared" si="1"/>
        <v>Kota Bandung</v>
      </c>
      <c r="C1281" s="81" t="str">
        <f t="array" ref="C1281">XLOOKUP(B1281,Reference!$A$2:$A$152,Reference!$B$2:$B$152)</f>
        <v>Jawa Barat</v>
      </c>
      <c r="D1281" s="82" t="s">
        <v>1720</v>
      </c>
      <c r="E1281" s="83">
        <v>45323.0</v>
      </c>
      <c r="F1281" s="84" t="str">
        <f t="array" ref="F1281">XLOOKUP(G1281,Reference!$F:$F,Reference!$D:$D,"null")</f>
        <v>Rekreasi dan Kendaraan</v>
      </c>
      <c r="G1281" s="89" t="s">
        <v>105</v>
      </c>
      <c r="H1281" s="90">
        <v>100.07</v>
      </c>
      <c r="I1281" s="90">
        <v>100.07</v>
      </c>
      <c r="J1281" s="87">
        <f t="shared" si="2"/>
        <v>0</v>
      </c>
      <c r="K1281" s="84" t="str">
        <f t="shared" si="3"/>
        <v>Stabil</v>
      </c>
      <c r="L1281" s="91">
        <f t="shared" si="4"/>
        <v>0</v>
      </c>
      <c r="M1281" s="88" t="str">
        <f t="shared" si="5"/>
        <v>Perubahan Normal</v>
      </c>
    </row>
    <row r="1282" ht="18.75" customHeight="1">
      <c r="A1282" s="80" t="s">
        <v>372</v>
      </c>
      <c r="B1282" s="81" t="str">
        <f t="shared" si="1"/>
        <v>Kota Tanjung Pinang</v>
      </c>
      <c r="C1282" s="81" t="str">
        <f t="array" ref="C1282">XLOOKUP(B1282,Reference!$A$2:$A$152,Reference!$B$2:$B$152)</f>
        <v>Kepulauan Riau</v>
      </c>
      <c r="D1282" s="82" t="s">
        <v>1721</v>
      </c>
      <c r="E1282" s="83">
        <v>45323.0</v>
      </c>
      <c r="F1282" s="84" t="str">
        <f t="array" ref="F1282">XLOOKUP(G1282,Reference!$F:$F,Reference!$D:$D,"null")</f>
        <v>Makanan dan Pakaian </v>
      </c>
      <c r="G1282" s="85" t="s">
        <v>72</v>
      </c>
      <c r="H1282" s="86">
        <v>98.85</v>
      </c>
      <c r="I1282" s="86">
        <v>98.85</v>
      </c>
      <c r="J1282" s="87">
        <f t="shared" si="2"/>
        <v>0</v>
      </c>
      <c r="K1282" s="84" t="str">
        <f t="shared" si="3"/>
        <v>Stabil</v>
      </c>
      <c r="L1282" s="84">
        <f t="shared" si="4"/>
        <v>0</v>
      </c>
      <c r="M1282" s="88" t="str">
        <f t="shared" si="5"/>
        <v>Perubahan Normal</v>
      </c>
    </row>
    <row r="1283" ht="18.75" customHeight="1">
      <c r="A1283" s="80" t="s">
        <v>442</v>
      </c>
      <c r="B1283" s="81" t="str">
        <f t="shared" si="1"/>
        <v>Kota Cirebon</v>
      </c>
      <c r="C1283" s="81" t="str">
        <f t="array" ref="C1283">XLOOKUP(B1283,Reference!$A$2:$A$152,Reference!$B$2:$B$152)</f>
        <v>Jawa Barat</v>
      </c>
      <c r="D1283" s="82" t="s">
        <v>1722</v>
      </c>
      <c r="E1283" s="83">
        <v>45323.0</v>
      </c>
      <c r="F1283" s="84" t="str">
        <f t="array" ref="F1283">XLOOKUP(G1283,Reference!$F:$F,Reference!$D:$D,"null")</f>
        <v>Rekreasi dan Kendaraan</v>
      </c>
      <c r="G1283" s="85" t="s">
        <v>105</v>
      </c>
      <c r="H1283" s="86">
        <v>100.87</v>
      </c>
      <c r="I1283" s="86">
        <v>100.87</v>
      </c>
      <c r="J1283" s="87">
        <f t="shared" si="2"/>
        <v>0</v>
      </c>
      <c r="K1283" s="84" t="str">
        <f t="shared" si="3"/>
        <v>Stabil</v>
      </c>
      <c r="L1283" s="84">
        <f t="shared" si="4"/>
        <v>0</v>
      </c>
      <c r="M1283" s="88" t="str">
        <f t="shared" si="5"/>
        <v>Perubahan Normal</v>
      </c>
    </row>
    <row r="1284" ht="18.75" customHeight="1">
      <c r="A1284" s="80" t="s">
        <v>404</v>
      </c>
      <c r="B1284" s="81" t="str">
        <f t="shared" si="1"/>
        <v>Kab Mesuji</v>
      </c>
      <c r="C1284" s="81" t="str">
        <f t="array" ref="C1284">XLOOKUP(B1284,Reference!$A$2:$A$152,Reference!$B$2:$B$152)</f>
        <v>Lampung</v>
      </c>
      <c r="D1284" s="82" t="s">
        <v>1723</v>
      </c>
      <c r="E1284" s="83">
        <v>45352.0</v>
      </c>
      <c r="F1284" s="84" t="str">
        <f t="array" ref="F1284">XLOOKUP(G1284,Reference!$F:$F,Reference!$D:$D,"null")</f>
        <v>Makanan dan Pakaian </v>
      </c>
      <c r="G1284" s="85" t="s">
        <v>56</v>
      </c>
      <c r="H1284" s="86">
        <v>101.77</v>
      </c>
      <c r="I1284" s="86">
        <v>101.52</v>
      </c>
      <c r="J1284" s="87">
        <f t="shared" si="2"/>
        <v>0.2462568952</v>
      </c>
      <c r="K1284" s="84" t="str">
        <f t="shared" si="3"/>
        <v>Inflasi Normal</v>
      </c>
      <c r="L1284" s="84">
        <f t="shared" si="4"/>
        <v>0.25</v>
      </c>
      <c r="M1284" s="88" t="str">
        <f t="shared" si="5"/>
        <v>Perubahan Normal</v>
      </c>
    </row>
    <row r="1285" ht="18.75" customHeight="1">
      <c r="A1285" s="80" t="s">
        <v>576</v>
      </c>
      <c r="B1285" s="81" t="str">
        <f t="shared" si="1"/>
        <v>Kab Tabanan</v>
      </c>
      <c r="C1285" s="81" t="str">
        <f t="array" ref="C1285">XLOOKUP(B1285,Reference!$A$2:$A$152,Reference!$B$2:$B$152)</f>
        <v>Bali</v>
      </c>
      <c r="D1285" s="82" t="s">
        <v>1724</v>
      </c>
      <c r="E1285" s="83">
        <v>45323.0</v>
      </c>
      <c r="F1285" s="84" t="str">
        <f t="array" ref="F1285">XLOOKUP(G1285,Reference!$F:$F,Reference!$D:$D,"null")</f>
        <v>Rumah Tangga</v>
      </c>
      <c r="G1285" s="89" t="s">
        <v>89</v>
      </c>
      <c r="H1285" s="90">
        <v>107.2</v>
      </c>
      <c r="I1285" s="90">
        <v>107.2</v>
      </c>
      <c r="J1285" s="87">
        <f t="shared" si="2"/>
        <v>0</v>
      </c>
      <c r="K1285" s="84" t="str">
        <f t="shared" si="3"/>
        <v>Stabil</v>
      </c>
      <c r="L1285" s="91">
        <f t="shared" si="4"/>
        <v>0</v>
      </c>
      <c r="M1285" s="88" t="str">
        <f t="shared" si="5"/>
        <v>Perubahan Normal</v>
      </c>
    </row>
    <row r="1286" ht="18.75" customHeight="1">
      <c r="A1286" s="80" t="s">
        <v>598</v>
      </c>
      <c r="B1286" s="81" t="str">
        <f t="shared" si="1"/>
        <v>Kota Surakarta</v>
      </c>
      <c r="C1286" s="81" t="str">
        <f t="array" ref="C1286">XLOOKUP(B1286,Reference!$A$2:$A$152,Reference!$B$2:$B$152)</f>
        <v>Jawa Tengah</v>
      </c>
      <c r="D1286" s="82" t="s">
        <v>1725</v>
      </c>
      <c r="E1286" s="83">
        <v>45352.0</v>
      </c>
      <c r="F1286" s="84" t="str">
        <f t="array" ref="F1286">XLOOKUP(G1286,Reference!$F:$F,Reference!$D:$D,"null")</f>
        <v>Makanan dan Pakaian </v>
      </c>
      <c r="G1286" s="85" t="s">
        <v>48</v>
      </c>
      <c r="H1286" s="86">
        <v>115.33</v>
      </c>
      <c r="I1286" s="86">
        <v>113.45</v>
      </c>
      <c r="J1286" s="87">
        <f t="shared" si="2"/>
        <v>1.657117673</v>
      </c>
      <c r="K1286" s="84" t="str">
        <f t="shared" si="3"/>
        <v>Inflasi Tinggi</v>
      </c>
      <c r="L1286" s="84">
        <f t="shared" si="4"/>
        <v>1.88</v>
      </c>
      <c r="M1286" s="88" t="str">
        <f t="shared" si="5"/>
        <v>Akselerasi Persentase</v>
      </c>
    </row>
    <row r="1287" ht="18.75" customHeight="1">
      <c r="A1287" s="80" t="s">
        <v>515</v>
      </c>
      <c r="B1287" s="81" t="str">
        <f t="shared" si="1"/>
        <v>Kab Gresik</v>
      </c>
      <c r="C1287" s="81" t="str">
        <f t="array" ref="C1287">XLOOKUP(B1287,Reference!$A$2:$A$152,Reference!$B$2:$B$152)</f>
        <v>Jawa Timur</v>
      </c>
      <c r="D1287" s="82" t="s">
        <v>1726</v>
      </c>
      <c r="E1287" s="83">
        <v>45352.0</v>
      </c>
      <c r="F1287" s="84" t="str">
        <f t="array" ref="F1287">XLOOKUP(G1287,Reference!$F:$F,Reference!$D:$D,"null")</f>
        <v>Makanan dan Pakaian </v>
      </c>
      <c r="G1287" s="85" t="s">
        <v>48</v>
      </c>
      <c r="H1287" s="86">
        <v>109.82</v>
      </c>
      <c r="I1287" s="86">
        <v>107.37</v>
      </c>
      <c r="J1287" s="87">
        <f t="shared" si="2"/>
        <v>2.281829189</v>
      </c>
      <c r="K1287" s="84" t="str">
        <f t="shared" si="3"/>
        <v>Inflasi Tinggi</v>
      </c>
      <c r="L1287" s="84">
        <f t="shared" si="4"/>
        <v>2.45</v>
      </c>
      <c r="M1287" s="88" t="str">
        <f t="shared" si="5"/>
        <v>Akselerasi Kuat</v>
      </c>
    </row>
    <row r="1288" ht="18.75" customHeight="1">
      <c r="A1288" s="80" t="s">
        <v>374</v>
      </c>
      <c r="B1288" s="81" t="str">
        <f t="shared" si="1"/>
        <v>Kab Majalengka</v>
      </c>
      <c r="C1288" s="81" t="str">
        <f t="array" ref="C1288">XLOOKUP(B1288,Reference!$A$2:$A$152,Reference!$B$2:$B$152)</f>
        <v>Jawa Barat</v>
      </c>
      <c r="D1288" s="82" t="s">
        <v>1727</v>
      </c>
      <c r="E1288" s="83">
        <v>45352.0</v>
      </c>
      <c r="F1288" s="84" t="str">
        <f t="array" ref="F1288">XLOOKUP(G1288,Reference!$F:$F,Reference!$D:$D,"null")</f>
        <v>Rumah Tangga</v>
      </c>
      <c r="G1288" s="85" t="s">
        <v>80</v>
      </c>
      <c r="H1288" s="86">
        <v>100.61</v>
      </c>
      <c r="I1288" s="86">
        <v>100.53</v>
      </c>
      <c r="J1288" s="87">
        <f t="shared" si="2"/>
        <v>0.07957823535</v>
      </c>
      <c r="K1288" s="84" t="str">
        <f t="shared" si="3"/>
        <v>Inflasi Normal</v>
      </c>
      <c r="L1288" s="84">
        <f t="shared" si="4"/>
        <v>0.08</v>
      </c>
      <c r="M1288" s="88" t="str">
        <f t="shared" si="5"/>
        <v>Perubahan Normal</v>
      </c>
    </row>
    <row r="1289" ht="18.75" customHeight="1">
      <c r="A1289" s="80" t="s">
        <v>410</v>
      </c>
      <c r="B1289" s="81" t="str">
        <f t="shared" si="1"/>
        <v>Meulaboh</v>
      </c>
      <c r="C1289" s="81" t="str">
        <f t="array" ref="C1289">XLOOKUP(B1289,Reference!$A$2:$A$152,Reference!$B$2:$B$152)</f>
        <v>Aceh</v>
      </c>
      <c r="D1289" s="82" t="s">
        <v>1728</v>
      </c>
      <c r="E1289" s="83">
        <v>45323.0</v>
      </c>
      <c r="F1289" s="84" t="str">
        <f t="array" ref="F1289">XLOOKUP(G1289,Reference!$F:$F,Reference!$D:$D,"null")</f>
        <v>Rekreasi dan Kendaraan</v>
      </c>
      <c r="G1289" s="85" t="s">
        <v>105</v>
      </c>
      <c r="H1289" s="86">
        <v>105.49</v>
      </c>
      <c r="I1289" s="86">
        <v>105.15</v>
      </c>
      <c r="J1289" s="87">
        <f t="shared" si="2"/>
        <v>0.3233475987</v>
      </c>
      <c r="K1289" s="84" t="str">
        <f t="shared" si="3"/>
        <v>Inflasi Normal</v>
      </c>
      <c r="L1289" s="84">
        <f t="shared" si="4"/>
        <v>0.34</v>
      </c>
      <c r="M1289" s="88" t="str">
        <f t="shared" si="5"/>
        <v>Perubahan Normal</v>
      </c>
    </row>
    <row r="1290" ht="18.75" customHeight="1">
      <c r="A1290" s="80" t="s">
        <v>355</v>
      </c>
      <c r="B1290" s="81" t="str">
        <f t="shared" si="1"/>
        <v>Kota Gorontalo</v>
      </c>
      <c r="C1290" s="81" t="str">
        <f t="array" ref="C1290">XLOOKUP(B1290,Reference!$A$2:$A$152,Reference!$B$2:$B$152)</f>
        <v>Gorontalo</v>
      </c>
      <c r="D1290" s="82" t="s">
        <v>1729</v>
      </c>
      <c r="E1290" s="83">
        <v>45323.0</v>
      </c>
      <c r="F1290" s="84" t="str">
        <f t="array" ref="F1290">XLOOKUP(G1290,Reference!$F:$F,Reference!$D:$D,"null")</f>
        <v>Pendidikan dan Kesehatan</v>
      </c>
      <c r="G1290" s="85" t="s">
        <v>98</v>
      </c>
      <c r="H1290" s="86">
        <v>102.93</v>
      </c>
      <c r="I1290" s="86">
        <v>102.93</v>
      </c>
      <c r="J1290" s="87">
        <f t="shared" si="2"/>
        <v>0</v>
      </c>
      <c r="K1290" s="84" t="str">
        <f t="shared" si="3"/>
        <v>Stabil</v>
      </c>
      <c r="L1290" s="84">
        <f t="shared" si="4"/>
        <v>0</v>
      </c>
      <c r="M1290" s="88" t="str">
        <f t="shared" si="5"/>
        <v>Perubahan Normal</v>
      </c>
    </row>
    <row r="1291" ht="18.75" customHeight="1">
      <c r="A1291" s="80" t="s">
        <v>600</v>
      </c>
      <c r="B1291" s="81" t="str">
        <f t="shared" si="1"/>
        <v>Kota Banda Aceh</v>
      </c>
      <c r="C1291" s="81" t="str">
        <f t="array" ref="C1291">XLOOKUP(B1291,Reference!$A$2:$A$152,Reference!$B$2:$B$152)</f>
        <v>Aceh</v>
      </c>
      <c r="D1291" s="82" t="s">
        <v>1730</v>
      </c>
      <c r="E1291" s="83">
        <v>45323.0</v>
      </c>
      <c r="F1291" s="84" t="str">
        <f t="array" ref="F1291">XLOOKUP(G1291,Reference!$F:$F,Reference!$D:$D,"null")</f>
        <v>Makanan dan Pakaian </v>
      </c>
      <c r="G1291" s="85" t="s">
        <v>56</v>
      </c>
      <c r="H1291" s="86">
        <v>101.36</v>
      </c>
      <c r="I1291" s="86">
        <v>101.38</v>
      </c>
      <c r="J1291" s="87">
        <f t="shared" si="2"/>
        <v>-0.01972775695</v>
      </c>
      <c r="K1291" s="84" t="str">
        <f t="shared" si="3"/>
        <v>Deflasi</v>
      </c>
      <c r="L1291" s="84">
        <f t="shared" si="4"/>
        <v>-0.02</v>
      </c>
      <c r="M1291" s="88" t="str">
        <f t="shared" si="5"/>
        <v>Perubahan Normal</v>
      </c>
    </row>
    <row r="1292" ht="18.75" customHeight="1">
      <c r="A1292" s="80" t="s">
        <v>346</v>
      </c>
      <c r="B1292" s="81" t="str">
        <f t="shared" si="1"/>
        <v>Kab Timor Tengah Selatan</v>
      </c>
      <c r="C1292" s="81" t="str">
        <f t="array" ref="C1292">XLOOKUP(B1292,Reference!$A$2:$A$152,Reference!$B$2:$B$152)</f>
        <v>Nusa Tenggara Timur (NTT)</v>
      </c>
      <c r="D1292" s="82" t="s">
        <v>1731</v>
      </c>
      <c r="E1292" s="83">
        <v>45352.0</v>
      </c>
      <c r="F1292" s="84" t="str">
        <f t="array" ref="F1292">XLOOKUP(G1292,Reference!$F:$F,Reference!$D:$D,"null")</f>
        <v>Makanan dan Pakaian </v>
      </c>
      <c r="G1292" s="85" t="s">
        <v>48</v>
      </c>
      <c r="H1292" s="86">
        <v>110.13</v>
      </c>
      <c r="I1292" s="86">
        <v>112.29</v>
      </c>
      <c r="J1292" s="87">
        <f t="shared" si="2"/>
        <v>-1.923590703</v>
      </c>
      <c r="K1292" s="84" t="str">
        <f t="shared" si="3"/>
        <v>Deflasi</v>
      </c>
      <c r="L1292" s="84">
        <f t="shared" si="4"/>
        <v>-2.16</v>
      </c>
      <c r="M1292" s="88" t="str">
        <f t="shared" si="5"/>
        <v>Perubahan Normal</v>
      </c>
    </row>
    <row r="1293" ht="18.75" customHeight="1">
      <c r="A1293" s="80" t="s">
        <v>322</v>
      </c>
      <c r="B1293" s="81" t="str">
        <f t="shared" si="1"/>
        <v>Purwokerto</v>
      </c>
      <c r="C1293" s="81" t="str">
        <f t="array" ref="C1293">XLOOKUP(B1293,Reference!$A$2:$A$152,Reference!$B$2:$B$152)</f>
        <v>Jawa Tengah</v>
      </c>
      <c r="D1293" s="82" t="s">
        <v>1732</v>
      </c>
      <c r="E1293" s="83">
        <v>45352.0</v>
      </c>
      <c r="F1293" s="84" t="str">
        <f t="array" ref="F1293">XLOOKUP(G1293,Reference!$F:$F,Reference!$D:$D,"null")</f>
        <v>Rekreasi dan Kendaraan</v>
      </c>
      <c r="G1293" s="85" t="s">
        <v>102</v>
      </c>
      <c r="H1293" s="86">
        <v>99.24</v>
      </c>
      <c r="I1293" s="86">
        <v>99.16</v>
      </c>
      <c r="J1293" s="87">
        <f t="shared" si="2"/>
        <v>0.08067769262</v>
      </c>
      <c r="K1293" s="84" t="str">
        <f t="shared" si="3"/>
        <v>Inflasi Normal</v>
      </c>
      <c r="L1293" s="84">
        <f t="shared" si="4"/>
        <v>0.08</v>
      </c>
      <c r="M1293" s="88" t="str">
        <f t="shared" si="5"/>
        <v>Perubahan Normal</v>
      </c>
    </row>
    <row r="1294" ht="18.75" customHeight="1">
      <c r="A1294" s="80" t="s">
        <v>433</v>
      </c>
      <c r="B1294" s="81" t="str">
        <f t="shared" si="1"/>
        <v>Kab Tulungagung</v>
      </c>
      <c r="C1294" s="81" t="str">
        <f t="array" ref="C1294">XLOOKUP(B1294,Reference!$A$2:$A$152,Reference!$B$2:$B$152)</f>
        <v>Jawa Timur</v>
      </c>
      <c r="D1294" s="82" t="s">
        <v>1733</v>
      </c>
      <c r="E1294" s="83">
        <v>45352.0</v>
      </c>
      <c r="F1294" s="84" t="str">
        <f t="array" ref="F1294">XLOOKUP(G1294,Reference!$F:$F,Reference!$D:$D,"null")</f>
        <v>Rumah Tangga</v>
      </c>
      <c r="G1294" s="85" t="s">
        <v>89</v>
      </c>
      <c r="H1294" s="86">
        <v>107.92</v>
      </c>
      <c r="I1294" s="86">
        <v>107.23</v>
      </c>
      <c r="J1294" s="87">
        <f t="shared" si="2"/>
        <v>0.643476639</v>
      </c>
      <c r="K1294" s="84" t="str">
        <f t="shared" si="3"/>
        <v>Inflasi Tinggi</v>
      </c>
      <c r="L1294" s="84">
        <f t="shared" si="4"/>
        <v>0.69</v>
      </c>
      <c r="M1294" s="88" t="str">
        <f t="shared" si="5"/>
        <v>Akselerasi Persentase</v>
      </c>
    </row>
    <row r="1295" ht="18.75" customHeight="1">
      <c r="A1295" s="80" t="s">
        <v>340</v>
      </c>
      <c r="B1295" s="81" t="str">
        <f t="shared" si="1"/>
        <v>Kab Rembang</v>
      </c>
      <c r="C1295" s="81" t="str">
        <f t="array" ref="C1295">XLOOKUP(B1295,Reference!$A$2:$A$152,Reference!$B$2:$B$152)</f>
        <v>Jawa Tengah</v>
      </c>
      <c r="D1295" s="82" t="s">
        <v>1734</v>
      </c>
      <c r="E1295" s="83">
        <v>45323.0</v>
      </c>
      <c r="F1295" s="84" t="str">
        <f t="array" ref="F1295">XLOOKUP(G1295,Reference!$F:$F,Reference!$D:$D,"null")</f>
        <v>Pendidikan dan Kesehatan</v>
      </c>
      <c r="G1295" s="89" t="s">
        <v>95</v>
      </c>
      <c r="H1295" s="90">
        <v>100.08</v>
      </c>
      <c r="I1295" s="90">
        <v>100.04</v>
      </c>
      <c r="J1295" s="87">
        <f t="shared" si="2"/>
        <v>0.0399840064</v>
      </c>
      <c r="K1295" s="84" t="str">
        <f t="shared" si="3"/>
        <v>Inflasi Normal</v>
      </c>
      <c r="L1295" s="91">
        <f t="shared" si="4"/>
        <v>0.04</v>
      </c>
      <c r="M1295" s="88" t="str">
        <f t="shared" si="5"/>
        <v>Perubahan Normal</v>
      </c>
    </row>
    <row r="1296" ht="18.75" customHeight="1">
      <c r="A1296" s="80" t="s">
        <v>382</v>
      </c>
      <c r="B1296" s="81" t="str">
        <f t="shared" si="1"/>
        <v>Kab Ngada</v>
      </c>
      <c r="C1296" s="81" t="str">
        <f t="array" ref="C1296">XLOOKUP(B1296,Reference!$A$2:$A$152,Reference!$B$2:$B$152)</f>
        <v>Nusa Tenggara Timur (NTT)</v>
      </c>
      <c r="D1296" s="82" t="s">
        <v>1735</v>
      </c>
      <c r="E1296" s="83">
        <v>45323.0</v>
      </c>
      <c r="F1296" s="84" t="str">
        <f t="array" ref="F1296">XLOOKUP(G1296,Reference!$F:$F,Reference!$D:$D,"null")</f>
        <v>Makanan dan Pakaian </v>
      </c>
      <c r="G1296" s="85" t="s">
        <v>72</v>
      </c>
      <c r="H1296" s="86">
        <v>93.36</v>
      </c>
      <c r="I1296" s="86">
        <v>93.36</v>
      </c>
      <c r="J1296" s="87">
        <f t="shared" si="2"/>
        <v>0</v>
      </c>
      <c r="K1296" s="84" t="str">
        <f t="shared" si="3"/>
        <v>Stabil</v>
      </c>
      <c r="L1296" s="84">
        <f t="shared" si="4"/>
        <v>0</v>
      </c>
      <c r="M1296" s="88" t="str">
        <f t="shared" si="5"/>
        <v>Perubahan Normal</v>
      </c>
    </row>
    <row r="1297" ht="18.75" customHeight="1">
      <c r="A1297" s="80" t="s">
        <v>322</v>
      </c>
      <c r="B1297" s="81" t="str">
        <f t="shared" si="1"/>
        <v>Purwokerto</v>
      </c>
      <c r="C1297" s="81" t="str">
        <f t="array" ref="C1297">XLOOKUP(B1297,Reference!$A$2:$A$152,Reference!$B$2:$B$152)</f>
        <v>Jawa Tengah</v>
      </c>
      <c r="D1297" s="82" t="s">
        <v>1736</v>
      </c>
      <c r="E1297" s="83">
        <v>45352.0</v>
      </c>
      <c r="F1297" s="84" t="str">
        <f t="array" ref="F1297">XLOOKUP(G1297,Reference!$F:$F,Reference!$D:$D,"null")</f>
        <v>Rumah Tangga</v>
      </c>
      <c r="G1297" s="85" t="s">
        <v>80</v>
      </c>
      <c r="H1297" s="86">
        <v>101.02</v>
      </c>
      <c r="I1297" s="86">
        <v>101.02</v>
      </c>
      <c r="J1297" s="87">
        <f t="shared" si="2"/>
        <v>0</v>
      </c>
      <c r="K1297" s="84" t="str">
        <f t="shared" si="3"/>
        <v>Stabil</v>
      </c>
      <c r="L1297" s="84">
        <f t="shared" si="4"/>
        <v>0</v>
      </c>
      <c r="M1297" s="88" t="str">
        <f t="shared" si="5"/>
        <v>Perubahan Normal</v>
      </c>
    </row>
    <row r="1298" ht="18.75" customHeight="1">
      <c r="A1298" s="80" t="s">
        <v>346</v>
      </c>
      <c r="B1298" s="81" t="str">
        <f t="shared" si="1"/>
        <v>Kab Timor Tengah Selatan</v>
      </c>
      <c r="C1298" s="81" t="str">
        <f t="array" ref="C1298">XLOOKUP(B1298,Reference!$A$2:$A$152,Reference!$B$2:$B$152)</f>
        <v>Nusa Tenggara Timur (NTT)</v>
      </c>
      <c r="D1298" s="82" t="s">
        <v>1737</v>
      </c>
      <c r="E1298" s="83">
        <v>45323.0</v>
      </c>
      <c r="F1298" s="84" t="str">
        <f t="array" ref="F1298">XLOOKUP(G1298,Reference!$F:$F,Reference!$D:$D,"null")</f>
        <v>Pendidikan dan Kesehatan</v>
      </c>
      <c r="G1298" s="85" t="s">
        <v>95</v>
      </c>
      <c r="H1298" s="86">
        <v>100.0</v>
      </c>
      <c r="I1298" s="86">
        <v>100.0</v>
      </c>
      <c r="J1298" s="87">
        <f t="shared" si="2"/>
        <v>0</v>
      </c>
      <c r="K1298" s="84" t="str">
        <f t="shared" si="3"/>
        <v>Stabil</v>
      </c>
      <c r="L1298" s="84">
        <f t="shared" si="4"/>
        <v>0</v>
      </c>
      <c r="M1298" s="88" t="str">
        <f t="shared" si="5"/>
        <v>Perubahan Normal</v>
      </c>
    </row>
    <row r="1299" ht="18.75" customHeight="1">
      <c r="A1299" s="80" t="s">
        <v>535</v>
      </c>
      <c r="B1299" s="81" t="str">
        <f t="shared" si="1"/>
        <v>Kota Tarakan</v>
      </c>
      <c r="C1299" s="81" t="str">
        <f t="array" ref="C1299">XLOOKUP(B1299,Reference!$A$2:$A$152,Reference!$B$2:$B$152)</f>
        <v>Kalimantan Utara</v>
      </c>
      <c r="D1299" s="82" t="s">
        <v>1738</v>
      </c>
      <c r="E1299" s="83">
        <v>45323.0</v>
      </c>
      <c r="F1299" s="84" t="str">
        <f t="array" ref="F1299">XLOOKUP(G1299,Reference!$F:$F,Reference!$D:$D,"null")</f>
        <v>Rumah Tangga</v>
      </c>
      <c r="G1299" s="85" t="s">
        <v>80</v>
      </c>
      <c r="H1299" s="86">
        <v>100.0</v>
      </c>
      <c r="I1299" s="86">
        <v>100.0</v>
      </c>
      <c r="J1299" s="87">
        <f t="shared" si="2"/>
        <v>0</v>
      </c>
      <c r="K1299" s="84" t="str">
        <f t="shared" si="3"/>
        <v>Stabil</v>
      </c>
      <c r="L1299" s="84">
        <f t="shared" si="4"/>
        <v>0</v>
      </c>
      <c r="M1299" s="88" t="str">
        <f t="shared" si="5"/>
        <v>Perubahan Normal</v>
      </c>
    </row>
    <row r="1300" ht="18.75" customHeight="1">
      <c r="A1300" s="80" t="s">
        <v>524</v>
      </c>
      <c r="B1300" s="81" t="str">
        <f t="shared" si="1"/>
        <v>Kudus</v>
      </c>
      <c r="C1300" s="81" t="str">
        <f t="array" ref="C1300">XLOOKUP(B1300,Reference!$A$2:$A$152,Reference!$B$2:$B$152)</f>
        <v>Jawa Tengah</v>
      </c>
      <c r="D1300" s="82" t="s">
        <v>1739</v>
      </c>
      <c r="E1300" s="83">
        <v>45323.0</v>
      </c>
      <c r="F1300" s="84" t="str">
        <f t="array" ref="F1300">XLOOKUP(G1300,Reference!$F:$F,Reference!$D:$D,"null")</f>
        <v>Rumah Tangga</v>
      </c>
      <c r="G1300" s="85" t="s">
        <v>80</v>
      </c>
      <c r="H1300" s="86">
        <v>102.74</v>
      </c>
      <c r="I1300" s="86">
        <v>102.74</v>
      </c>
      <c r="J1300" s="87">
        <f t="shared" si="2"/>
        <v>0</v>
      </c>
      <c r="K1300" s="84" t="str">
        <f t="shared" si="3"/>
        <v>Stabil</v>
      </c>
      <c r="L1300" s="84">
        <f t="shared" si="4"/>
        <v>0</v>
      </c>
      <c r="M1300" s="88" t="str">
        <f t="shared" si="5"/>
        <v>Perubahan Normal</v>
      </c>
    </row>
    <row r="1301" ht="18.75" customHeight="1">
      <c r="A1301" s="80" t="s">
        <v>529</v>
      </c>
      <c r="B1301" s="81" t="str">
        <f t="shared" si="1"/>
        <v>Kota Yogyakarta</v>
      </c>
      <c r="C1301" s="81" t="str">
        <f t="array" ref="C1301">XLOOKUP(B1301,Reference!$A$2:$A$152,Reference!$B$2:$B$152)</f>
        <v>D.I. Yogyakarta</v>
      </c>
      <c r="D1301" s="82" t="s">
        <v>1740</v>
      </c>
      <c r="E1301" s="83">
        <v>45352.0</v>
      </c>
      <c r="F1301" s="84" t="str">
        <f t="array" ref="F1301">XLOOKUP(G1301,Reference!$F:$F,Reference!$D:$D,"null")</f>
        <v>Rekreasi dan Kendaraan</v>
      </c>
      <c r="G1301" s="85" t="s">
        <v>105</v>
      </c>
      <c r="H1301" s="86">
        <v>102.51</v>
      </c>
      <c r="I1301" s="86">
        <v>102.46</v>
      </c>
      <c r="J1301" s="87">
        <f t="shared" si="2"/>
        <v>0.04879953152</v>
      </c>
      <c r="K1301" s="84" t="str">
        <f t="shared" si="3"/>
        <v>Inflasi Normal</v>
      </c>
      <c r="L1301" s="84">
        <f t="shared" si="4"/>
        <v>0.05</v>
      </c>
      <c r="M1301" s="88" t="str">
        <f t="shared" si="5"/>
        <v>Perubahan Normal</v>
      </c>
    </row>
    <row r="1302" ht="18.75" customHeight="1">
      <c r="A1302" s="80" t="s">
        <v>399</v>
      </c>
      <c r="B1302" s="81" t="str">
        <f t="shared" si="1"/>
        <v>Sampit</v>
      </c>
      <c r="C1302" s="81" t="str">
        <f t="array" ref="C1302">XLOOKUP(B1302,Reference!$A$2:$A$152,Reference!$B$2:$B$152)</f>
        <v>Kalimantan Tengah</v>
      </c>
      <c r="D1302" s="82" t="s">
        <v>1741</v>
      </c>
      <c r="E1302" s="83">
        <v>45323.0</v>
      </c>
      <c r="F1302" s="84" t="str">
        <f t="array" ref="F1302">XLOOKUP(G1302,Reference!$F:$F,Reference!$D:$D,"null")</f>
        <v>Makanan dan Pakaian </v>
      </c>
      <c r="G1302" s="85" t="s">
        <v>56</v>
      </c>
      <c r="H1302" s="86">
        <v>103.8</v>
      </c>
      <c r="I1302" s="86">
        <v>103.2</v>
      </c>
      <c r="J1302" s="87">
        <f t="shared" si="2"/>
        <v>0.5813953488</v>
      </c>
      <c r="K1302" s="84" t="str">
        <f t="shared" si="3"/>
        <v>Inflasi Tinggi</v>
      </c>
      <c r="L1302" s="84">
        <f t="shared" si="4"/>
        <v>0.6</v>
      </c>
      <c r="M1302" s="88" t="str">
        <f t="shared" si="5"/>
        <v>Akselerasi Persentase</v>
      </c>
    </row>
    <row r="1303" ht="18.75" customHeight="1">
      <c r="A1303" s="80" t="s">
        <v>669</v>
      </c>
      <c r="B1303" s="81" t="str">
        <f t="shared" si="1"/>
        <v>Kab Sidenreng Rappang</v>
      </c>
      <c r="C1303" s="81" t="str">
        <f t="array" ref="C1303">XLOOKUP(B1303,Reference!$A$2:$A$152,Reference!$B$2:$B$152)</f>
        <v>Sulawesi Selatan</v>
      </c>
      <c r="D1303" s="82" t="s">
        <v>1742</v>
      </c>
      <c r="E1303" s="83">
        <v>45323.0</v>
      </c>
      <c r="F1303" s="84" t="str">
        <f t="array" ref="F1303">XLOOKUP(G1303,Reference!$F:$F,Reference!$D:$D,"null")</f>
        <v>Rumah Tangga</v>
      </c>
      <c r="G1303" s="85" t="s">
        <v>84</v>
      </c>
      <c r="H1303" s="86">
        <v>98.18</v>
      </c>
      <c r="I1303" s="86">
        <v>98.18</v>
      </c>
      <c r="J1303" s="87">
        <f t="shared" si="2"/>
        <v>0</v>
      </c>
      <c r="K1303" s="84" t="str">
        <f t="shared" si="3"/>
        <v>Stabil</v>
      </c>
      <c r="L1303" s="84">
        <f t="shared" si="4"/>
        <v>0</v>
      </c>
      <c r="M1303" s="88" t="str">
        <f t="shared" si="5"/>
        <v>Perubahan Normal</v>
      </c>
    </row>
    <row r="1304" ht="18.75" customHeight="1">
      <c r="A1304" s="80" t="s">
        <v>734</v>
      </c>
      <c r="B1304" s="81" t="str">
        <f t="shared" si="1"/>
        <v>Kota Tegal</v>
      </c>
      <c r="C1304" s="81" t="str">
        <f t="array" ref="C1304">XLOOKUP(B1304,Reference!$A$2:$A$152,Reference!$B$2:$B$152)</f>
        <v>Jawa Tengah</v>
      </c>
      <c r="D1304" s="82" t="s">
        <v>1743</v>
      </c>
      <c r="E1304" s="83">
        <v>45323.0</v>
      </c>
      <c r="F1304" s="84" t="str">
        <f t="array" ref="F1304">XLOOKUP(G1304,Reference!$F:$F,Reference!$D:$D,"null")</f>
        <v>Rumah Tangga</v>
      </c>
      <c r="G1304" s="85" t="s">
        <v>80</v>
      </c>
      <c r="H1304" s="86">
        <v>100.87</v>
      </c>
      <c r="I1304" s="86">
        <v>100.87</v>
      </c>
      <c r="J1304" s="87">
        <f t="shared" si="2"/>
        <v>0</v>
      </c>
      <c r="K1304" s="84" t="str">
        <f t="shared" si="3"/>
        <v>Stabil</v>
      </c>
      <c r="L1304" s="84">
        <f t="shared" si="4"/>
        <v>0</v>
      </c>
      <c r="M1304" s="88" t="str">
        <f t="shared" si="5"/>
        <v>Perubahan Normal</v>
      </c>
    </row>
    <row r="1305" ht="18.75" customHeight="1">
      <c r="A1305" s="80" t="s">
        <v>990</v>
      </c>
      <c r="B1305" s="81" t="str">
        <f t="shared" si="1"/>
        <v>Kab Pandeglang</v>
      </c>
      <c r="C1305" s="81" t="str">
        <f t="array" ref="C1305">XLOOKUP(B1305,Reference!$A$2:$A$152,Reference!$B$2:$B$152)</f>
        <v>Banten</v>
      </c>
      <c r="D1305" s="82" t="s">
        <v>1744</v>
      </c>
      <c r="E1305" s="83">
        <v>45352.0</v>
      </c>
      <c r="F1305" s="84" t="str">
        <f t="array" ref="F1305">XLOOKUP(G1305,Reference!$F:$F,Reference!$D:$D,"null")</f>
        <v>Makanan dan Pakaian </v>
      </c>
      <c r="G1305" s="85" t="s">
        <v>64</v>
      </c>
      <c r="H1305" s="86">
        <v>104.23</v>
      </c>
      <c r="I1305" s="86">
        <v>102.61</v>
      </c>
      <c r="J1305" s="87">
        <f t="shared" si="2"/>
        <v>1.57879349</v>
      </c>
      <c r="K1305" s="84" t="str">
        <f t="shared" si="3"/>
        <v>Inflasi Tinggi</v>
      </c>
      <c r="L1305" s="84">
        <f t="shared" si="4"/>
        <v>1.62</v>
      </c>
      <c r="M1305" s="88" t="str">
        <f t="shared" si="5"/>
        <v>Akselerasi Persentase</v>
      </c>
    </row>
    <row r="1306" ht="18.75" customHeight="1">
      <c r="A1306" s="80" t="s">
        <v>656</v>
      </c>
      <c r="B1306" s="81" t="str">
        <f t="shared" si="1"/>
        <v>Kota Palopo</v>
      </c>
      <c r="C1306" s="81" t="str">
        <f t="array" ref="C1306">XLOOKUP(B1306,Reference!$A$2:$A$152,Reference!$B$2:$B$152)</f>
        <v>Sulawesi Selatan</v>
      </c>
      <c r="D1306" s="82" t="s">
        <v>1745</v>
      </c>
      <c r="E1306" s="83">
        <v>45352.0</v>
      </c>
      <c r="F1306" s="84" t="str">
        <f t="array" ref="F1306">XLOOKUP(G1306,Reference!$F:$F,Reference!$D:$D,"null")</f>
        <v>Rekreasi dan Kendaraan</v>
      </c>
      <c r="G1306" s="85" t="s">
        <v>102</v>
      </c>
      <c r="H1306" s="86">
        <v>101.72</v>
      </c>
      <c r="I1306" s="86">
        <v>101.72</v>
      </c>
      <c r="J1306" s="87">
        <f t="shared" si="2"/>
        <v>0</v>
      </c>
      <c r="K1306" s="84" t="str">
        <f t="shared" si="3"/>
        <v>Stabil</v>
      </c>
      <c r="L1306" s="84">
        <f t="shared" si="4"/>
        <v>0</v>
      </c>
      <c r="M1306" s="88" t="str">
        <f t="shared" si="5"/>
        <v>Perubahan Normal</v>
      </c>
    </row>
    <row r="1307" ht="18.75" customHeight="1">
      <c r="A1307" s="80" t="s">
        <v>342</v>
      </c>
      <c r="B1307" s="81" t="str">
        <f t="shared" si="1"/>
        <v>Kab Bandung</v>
      </c>
      <c r="C1307" s="81" t="str">
        <f t="array" ref="C1307">XLOOKUP(B1307,Reference!$A$2:$A$152,Reference!$B$2:$B$152)</f>
        <v>Jawa Barat</v>
      </c>
      <c r="D1307" s="82" t="s">
        <v>1746</v>
      </c>
      <c r="E1307" s="83">
        <v>45323.0</v>
      </c>
      <c r="F1307" s="84" t="str">
        <f t="array" ref="F1307">XLOOKUP(G1307,Reference!$F:$F,Reference!$D:$D,"null")</f>
        <v>Makanan dan Pakaian </v>
      </c>
      <c r="G1307" s="85" t="s">
        <v>64</v>
      </c>
      <c r="H1307" s="86">
        <v>104.79</v>
      </c>
      <c r="I1307" s="86">
        <v>104.76</v>
      </c>
      <c r="J1307" s="87">
        <f t="shared" si="2"/>
        <v>0.02863688431</v>
      </c>
      <c r="K1307" s="84" t="str">
        <f t="shared" si="3"/>
        <v>Inflasi Normal</v>
      </c>
      <c r="L1307" s="84">
        <f t="shared" si="4"/>
        <v>0.03</v>
      </c>
      <c r="M1307" s="88" t="str">
        <f t="shared" si="5"/>
        <v>Perubahan Normal</v>
      </c>
    </row>
    <row r="1308" ht="18.75" customHeight="1">
      <c r="A1308" s="80" t="s">
        <v>372</v>
      </c>
      <c r="B1308" s="81" t="str">
        <f t="shared" si="1"/>
        <v>Kota Tanjung Pinang</v>
      </c>
      <c r="C1308" s="81" t="str">
        <f t="array" ref="C1308">XLOOKUP(B1308,Reference!$A$2:$A$152,Reference!$B$2:$B$152)</f>
        <v>Kepulauan Riau</v>
      </c>
      <c r="D1308" s="82" t="s">
        <v>1747</v>
      </c>
      <c r="E1308" s="83">
        <v>45323.0</v>
      </c>
      <c r="F1308" s="84" t="str">
        <f t="array" ref="F1308">XLOOKUP(G1308,Reference!$F:$F,Reference!$D:$D,"null")</f>
        <v>Pendidikan dan Kesehatan</v>
      </c>
      <c r="G1308" s="85" t="s">
        <v>95</v>
      </c>
      <c r="H1308" s="86">
        <v>106.35</v>
      </c>
      <c r="I1308" s="86">
        <v>106.35</v>
      </c>
      <c r="J1308" s="87">
        <f t="shared" si="2"/>
        <v>0</v>
      </c>
      <c r="K1308" s="84" t="str">
        <f t="shared" si="3"/>
        <v>Stabil</v>
      </c>
      <c r="L1308" s="84">
        <f t="shared" si="4"/>
        <v>0</v>
      </c>
      <c r="M1308" s="88" t="str">
        <f t="shared" si="5"/>
        <v>Perubahan Normal</v>
      </c>
    </row>
    <row r="1309" ht="18.75" customHeight="1">
      <c r="A1309" s="80" t="s">
        <v>433</v>
      </c>
      <c r="B1309" s="81" t="str">
        <f t="shared" si="1"/>
        <v>Kab Tulungagung</v>
      </c>
      <c r="C1309" s="81" t="str">
        <f t="array" ref="C1309">XLOOKUP(B1309,Reference!$A$2:$A$152,Reference!$B$2:$B$152)</f>
        <v>Jawa Timur</v>
      </c>
      <c r="D1309" s="82" t="s">
        <v>1748</v>
      </c>
      <c r="E1309" s="83">
        <v>45352.0</v>
      </c>
      <c r="F1309" s="84" t="str">
        <f t="array" ref="F1309">XLOOKUP(G1309,Reference!$F:$F,Reference!$D:$D,"null")</f>
        <v>Pendidikan dan Kesehatan</v>
      </c>
      <c r="G1309" s="85" t="s">
        <v>98</v>
      </c>
      <c r="H1309" s="86">
        <v>99.11</v>
      </c>
      <c r="I1309" s="86">
        <v>99.11</v>
      </c>
      <c r="J1309" s="87">
        <f t="shared" si="2"/>
        <v>0</v>
      </c>
      <c r="K1309" s="84" t="str">
        <f t="shared" si="3"/>
        <v>Stabil</v>
      </c>
      <c r="L1309" s="84">
        <f t="shared" si="4"/>
        <v>0</v>
      </c>
      <c r="M1309" s="88" t="str">
        <f t="shared" si="5"/>
        <v>Perubahan Normal</v>
      </c>
    </row>
    <row r="1310" ht="18.75" customHeight="1">
      <c r="A1310" s="80" t="s">
        <v>456</v>
      </c>
      <c r="B1310" s="81" t="str">
        <f t="shared" si="1"/>
        <v>Kab Aceh Tamiang</v>
      </c>
      <c r="C1310" s="81" t="str">
        <f t="array" ref="C1310">XLOOKUP(B1310,Reference!$A$2:$A$152,Reference!$B$2:$B$152)</f>
        <v>Aceh</v>
      </c>
      <c r="D1310" s="82" t="s">
        <v>1749</v>
      </c>
      <c r="E1310" s="83">
        <v>45352.0</v>
      </c>
      <c r="F1310" s="84" t="str">
        <f t="array" ref="F1310">XLOOKUP(G1310,Reference!$F:$F,Reference!$D:$D,"null")</f>
        <v>Rumah Tangga</v>
      </c>
      <c r="G1310" s="85" t="s">
        <v>80</v>
      </c>
      <c r="H1310" s="86">
        <v>101.54</v>
      </c>
      <c r="I1310" s="86">
        <v>101.54</v>
      </c>
      <c r="J1310" s="87">
        <f t="shared" si="2"/>
        <v>0</v>
      </c>
      <c r="K1310" s="84" t="str">
        <f t="shared" si="3"/>
        <v>Stabil</v>
      </c>
      <c r="L1310" s="84">
        <f t="shared" si="4"/>
        <v>0</v>
      </c>
      <c r="M1310" s="88" t="str">
        <f t="shared" si="5"/>
        <v>Perubahan Normal</v>
      </c>
    </row>
    <row r="1311" ht="18.75" customHeight="1">
      <c r="A1311" s="80" t="s">
        <v>1031</v>
      </c>
      <c r="B1311" s="81" t="str">
        <f t="shared" si="1"/>
        <v>Kab Majene</v>
      </c>
      <c r="C1311" s="81" t="str">
        <f t="array" ref="C1311">XLOOKUP(B1311,Reference!$A$2:$A$152,Reference!$B$2:$B$152)</f>
        <v>Sulawesi Barat</v>
      </c>
      <c r="D1311" s="82" t="s">
        <v>1750</v>
      </c>
      <c r="E1311" s="83">
        <v>45323.0</v>
      </c>
      <c r="F1311" s="84" t="str">
        <f t="array" ref="F1311">XLOOKUP(G1311,Reference!$F:$F,Reference!$D:$D,"null")</f>
        <v>Rekreasi dan Kendaraan</v>
      </c>
      <c r="G1311" s="85" t="s">
        <v>105</v>
      </c>
      <c r="H1311" s="86">
        <v>101.0</v>
      </c>
      <c r="I1311" s="86">
        <v>100.9</v>
      </c>
      <c r="J1311" s="87">
        <f t="shared" si="2"/>
        <v>0.09910802775</v>
      </c>
      <c r="K1311" s="84" t="str">
        <f t="shared" si="3"/>
        <v>Inflasi Normal</v>
      </c>
      <c r="L1311" s="84">
        <f t="shared" si="4"/>
        <v>0.1</v>
      </c>
      <c r="M1311" s="88" t="str">
        <f t="shared" si="5"/>
        <v>Perubahan Normal</v>
      </c>
    </row>
    <row r="1312" ht="18.75" customHeight="1">
      <c r="A1312" s="80" t="s">
        <v>367</v>
      </c>
      <c r="B1312" s="81" t="str">
        <f t="shared" si="1"/>
        <v>Kota Jambi</v>
      </c>
      <c r="C1312" s="81" t="str">
        <f t="array" ref="C1312">XLOOKUP(B1312,Reference!$A$2:$A$152,Reference!$B$2:$B$152)</f>
        <v>Jambi</v>
      </c>
      <c r="D1312" s="82" t="s">
        <v>1751</v>
      </c>
      <c r="E1312" s="83">
        <v>45352.0</v>
      </c>
      <c r="F1312" s="84" t="str">
        <f t="array" ref="F1312">XLOOKUP(G1312,Reference!$F:$F,Reference!$D:$D,"null")</f>
        <v>Pendidikan dan Kesehatan</v>
      </c>
      <c r="G1312" s="85" t="s">
        <v>98</v>
      </c>
      <c r="H1312" s="86">
        <v>102.19</v>
      </c>
      <c r="I1312" s="86">
        <v>103.25</v>
      </c>
      <c r="J1312" s="87">
        <f t="shared" si="2"/>
        <v>-1.026634383</v>
      </c>
      <c r="K1312" s="84" t="str">
        <f t="shared" si="3"/>
        <v>Deflasi</v>
      </c>
      <c r="L1312" s="84">
        <f t="shared" si="4"/>
        <v>-1.06</v>
      </c>
      <c r="M1312" s="88" t="str">
        <f t="shared" si="5"/>
        <v>Perubahan Normal</v>
      </c>
    </row>
    <row r="1313" ht="18.75" customHeight="1">
      <c r="A1313" s="80" t="s">
        <v>298</v>
      </c>
      <c r="B1313" s="81" t="str">
        <f t="shared" si="1"/>
        <v>Kota Bekasi</v>
      </c>
      <c r="C1313" s="81" t="str">
        <f t="array" ref="C1313">XLOOKUP(B1313,Reference!$A$2:$A$152,Reference!$B$2:$B$152)</f>
        <v>Jawa Barat</v>
      </c>
      <c r="D1313" s="82" t="s">
        <v>1752</v>
      </c>
      <c r="E1313" s="83">
        <v>45352.0</v>
      </c>
      <c r="F1313" s="84" t="str">
        <f t="array" ref="F1313">XLOOKUP(G1313,Reference!$F:$F,Reference!$D:$D,"null")</f>
        <v>Makanan dan Pakaian </v>
      </c>
      <c r="G1313" s="85" t="s">
        <v>64</v>
      </c>
      <c r="H1313" s="86">
        <v>104.66</v>
      </c>
      <c r="I1313" s="86">
        <v>104.41</v>
      </c>
      <c r="J1313" s="87">
        <f t="shared" si="2"/>
        <v>0.2394406666</v>
      </c>
      <c r="K1313" s="84" t="str">
        <f t="shared" si="3"/>
        <v>Inflasi Normal</v>
      </c>
      <c r="L1313" s="84">
        <f t="shared" si="4"/>
        <v>0.25</v>
      </c>
      <c r="M1313" s="88" t="str">
        <f t="shared" si="5"/>
        <v>Perubahan Normal</v>
      </c>
    </row>
    <row r="1314" ht="18.75" customHeight="1">
      <c r="A1314" s="80" t="s">
        <v>393</v>
      </c>
      <c r="B1314" s="81" t="str">
        <f t="shared" si="1"/>
        <v>Kab Sumbawa</v>
      </c>
      <c r="C1314" s="81" t="str">
        <f t="array" ref="C1314">XLOOKUP(B1314,Reference!$A$2:$A$152,Reference!$B$2:$B$152)</f>
        <v>Nusa Tenggara Barat (NTB)</v>
      </c>
      <c r="D1314" s="82" t="s">
        <v>1753</v>
      </c>
      <c r="E1314" s="83">
        <v>45323.0</v>
      </c>
      <c r="F1314" s="84" t="str">
        <f t="array" ref="F1314">XLOOKUP(G1314,Reference!$F:$F,Reference!$D:$D,"null")</f>
        <v>Makanan dan Pakaian </v>
      </c>
      <c r="G1314" s="85" t="s">
        <v>48</v>
      </c>
      <c r="H1314" s="86">
        <v>106.58</v>
      </c>
      <c r="I1314" s="86">
        <v>107.81</v>
      </c>
      <c r="J1314" s="87">
        <f t="shared" si="2"/>
        <v>-1.140896021</v>
      </c>
      <c r="K1314" s="84" t="str">
        <f t="shared" si="3"/>
        <v>Deflasi</v>
      </c>
      <c r="L1314" s="84">
        <f t="shared" si="4"/>
        <v>-1.23</v>
      </c>
      <c r="M1314" s="88" t="str">
        <f t="shared" si="5"/>
        <v>Perubahan Normal</v>
      </c>
    </row>
    <row r="1315" ht="18.75" customHeight="1">
      <c r="A1315" s="80" t="s">
        <v>298</v>
      </c>
      <c r="B1315" s="81" t="str">
        <f t="shared" si="1"/>
        <v>Kota Bekasi</v>
      </c>
      <c r="C1315" s="81" t="str">
        <f t="array" ref="C1315">XLOOKUP(B1315,Reference!$A$2:$A$152,Reference!$B$2:$B$152)</f>
        <v>Jawa Barat</v>
      </c>
      <c r="D1315" s="82" t="s">
        <v>1754</v>
      </c>
      <c r="E1315" s="83">
        <v>45352.0</v>
      </c>
      <c r="F1315" s="84" t="str">
        <f t="array" ref="F1315">XLOOKUP(G1315,Reference!$F:$F,Reference!$D:$D,"null")</f>
        <v>Pendidikan dan Kesehatan</v>
      </c>
      <c r="G1315" s="85" t="s">
        <v>95</v>
      </c>
      <c r="H1315" s="86">
        <v>105.22</v>
      </c>
      <c r="I1315" s="86">
        <v>105.22</v>
      </c>
      <c r="J1315" s="87">
        <f t="shared" si="2"/>
        <v>0</v>
      </c>
      <c r="K1315" s="84" t="str">
        <f t="shared" si="3"/>
        <v>Stabil</v>
      </c>
      <c r="L1315" s="84">
        <f t="shared" si="4"/>
        <v>0</v>
      </c>
      <c r="M1315" s="88" t="str">
        <f t="shared" si="5"/>
        <v>Perubahan Normal</v>
      </c>
    </row>
    <row r="1316" ht="18.75" customHeight="1">
      <c r="A1316" s="80" t="s">
        <v>382</v>
      </c>
      <c r="B1316" s="81" t="str">
        <f t="shared" si="1"/>
        <v>Kab Ngada</v>
      </c>
      <c r="C1316" s="81" t="str">
        <f t="array" ref="C1316">XLOOKUP(B1316,Reference!$A$2:$A$152,Reference!$B$2:$B$152)</f>
        <v>Nusa Tenggara Timur (NTT)</v>
      </c>
      <c r="D1316" s="82" t="s">
        <v>1755</v>
      </c>
      <c r="E1316" s="83">
        <v>45323.0</v>
      </c>
      <c r="F1316" s="84" t="str">
        <f t="array" ref="F1316">XLOOKUP(G1316,Reference!$F:$F,Reference!$D:$D,"null")</f>
        <v>Makanan dan Pakaian </v>
      </c>
      <c r="G1316" s="85" t="s">
        <v>48</v>
      </c>
      <c r="H1316" s="86">
        <v>107.61</v>
      </c>
      <c r="I1316" s="86">
        <v>108.24</v>
      </c>
      <c r="J1316" s="87">
        <f t="shared" si="2"/>
        <v>-0.5820399113</v>
      </c>
      <c r="K1316" s="84" t="str">
        <f t="shared" si="3"/>
        <v>Deflasi</v>
      </c>
      <c r="L1316" s="84">
        <f t="shared" si="4"/>
        <v>-0.63</v>
      </c>
      <c r="M1316" s="88" t="str">
        <f t="shared" si="5"/>
        <v>Perubahan Normal</v>
      </c>
    </row>
    <row r="1317" ht="18.75" customHeight="1">
      <c r="A1317" s="80" t="s">
        <v>331</v>
      </c>
      <c r="B1317" s="81" t="str">
        <f t="shared" si="1"/>
        <v>Kota Lhokseumawe</v>
      </c>
      <c r="C1317" s="81" t="str">
        <f t="array" ref="C1317">XLOOKUP(B1317,Reference!$A$2:$A$152,Reference!$B$2:$B$152)</f>
        <v>Aceh</v>
      </c>
      <c r="D1317" s="82" t="s">
        <v>1756</v>
      </c>
      <c r="E1317" s="83">
        <v>45323.0</v>
      </c>
      <c r="F1317" s="84" t="str">
        <f t="array" ref="F1317">XLOOKUP(G1317,Reference!$F:$F,Reference!$D:$D,"null")</f>
        <v>Rumah Tangga</v>
      </c>
      <c r="G1317" s="85" t="s">
        <v>80</v>
      </c>
      <c r="H1317" s="86">
        <v>101.71</v>
      </c>
      <c r="I1317" s="86">
        <v>101.71</v>
      </c>
      <c r="J1317" s="87">
        <f t="shared" si="2"/>
        <v>0</v>
      </c>
      <c r="K1317" s="84" t="str">
        <f t="shared" si="3"/>
        <v>Stabil</v>
      </c>
      <c r="L1317" s="84">
        <f t="shared" si="4"/>
        <v>0</v>
      </c>
      <c r="M1317" s="88" t="str">
        <f t="shared" si="5"/>
        <v>Perubahan Normal</v>
      </c>
    </row>
    <row r="1318" ht="18.75" customHeight="1">
      <c r="A1318" s="80" t="s">
        <v>618</v>
      </c>
      <c r="B1318" s="81" t="str">
        <f t="shared" si="1"/>
        <v>Kota Tangerang</v>
      </c>
      <c r="C1318" s="81" t="str">
        <f t="array" ref="C1318">XLOOKUP(B1318,Reference!$A$2:$A$152,Reference!$B$2:$B$152)</f>
        <v>Banten</v>
      </c>
      <c r="D1318" s="82" t="s">
        <v>1757</v>
      </c>
      <c r="E1318" s="83">
        <v>45323.0</v>
      </c>
      <c r="F1318" s="84" t="str">
        <f t="array" ref="F1318">XLOOKUP(G1318,Reference!$F:$F,Reference!$D:$D,"null")</f>
        <v>Makanan dan Pakaian </v>
      </c>
      <c r="G1318" s="85" t="s">
        <v>56</v>
      </c>
      <c r="H1318" s="86">
        <v>103.62</v>
      </c>
      <c r="I1318" s="86">
        <v>103.09</v>
      </c>
      <c r="J1318" s="87">
        <f t="shared" si="2"/>
        <v>0.5141138811</v>
      </c>
      <c r="K1318" s="84" t="str">
        <f t="shared" si="3"/>
        <v>Inflasi Tinggi</v>
      </c>
      <c r="L1318" s="84">
        <f t="shared" si="4"/>
        <v>0.53</v>
      </c>
      <c r="M1318" s="88" t="str">
        <f t="shared" si="5"/>
        <v>Akselerasi Persentase</v>
      </c>
    </row>
    <row r="1319" ht="18.75" customHeight="1">
      <c r="A1319" s="80" t="s">
        <v>376</v>
      </c>
      <c r="B1319" s="81" t="str">
        <f t="shared" si="1"/>
        <v>Bulukumba</v>
      </c>
      <c r="C1319" s="81" t="str">
        <f t="array" ref="C1319">XLOOKUP(B1319,Reference!$A$2:$A$152,Reference!$B$2:$B$152)</f>
        <v>Sulawesi Selatan</v>
      </c>
      <c r="D1319" s="82" t="s">
        <v>1758</v>
      </c>
      <c r="E1319" s="83">
        <v>45323.0</v>
      </c>
      <c r="F1319" s="84" t="str">
        <f t="array" ref="F1319">XLOOKUP(G1319,Reference!$F:$F,Reference!$D:$D,"null")</f>
        <v>Makanan dan Pakaian </v>
      </c>
      <c r="G1319" s="85" t="s">
        <v>64</v>
      </c>
      <c r="H1319" s="86">
        <v>102.52</v>
      </c>
      <c r="I1319" s="86">
        <v>102.12</v>
      </c>
      <c r="J1319" s="87">
        <f t="shared" si="2"/>
        <v>0.3916960439</v>
      </c>
      <c r="K1319" s="84" t="str">
        <f t="shared" si="3"/>
        <v>Inflasi Normal</v>
      </c>
      <c r="L1319" s="84">
        <f t="shared" si="4"/>
        <v>0.4</v>
      </c>
      <c r="M1319" s="88" t="str">
        <f t="shared" si="5"/>
        <v>Perubahan Normal</v>
      </c>
    </row>
    <row r="1320" ht="18.75" customHeight="1">
      <c r="A1320" s="80" t="s">
        <v>438</v>
      </c>
      <c r="B1320" s="81" t="str">
        <f t="shared" si="1"/>
        <v>Kab Muara Enim</v>
      </c>
      <c r="C1320" s="81" t="str">
        <f t="array" ref="C1320">XLOOKUP(B1320,Reference!$A$2:$A$152,Reference!$B$2:$B$152)</f>
        <v>Sumatera Selatan</v>
      </c>
      <c r="D1320" s="82" t="s">
        <v>1759</v>
      </c>
      <c r="E1320" s="83">
        <v>45352.0</v>
      </c>
      <c r="F1320" s="84" t="str">
        <f t="array" ref="F1320">XLOOKUP(G1320,Reference!$F:$F,Reference!$D:$D,"null")</f>
        <v>Rumah Tangga</v>
      </c>
      <c r="G1320" s="85" t="s">
        <v>89</v>
      </c>
      <c r="H1320" s="86">
        <v>106.71</v>
      </c>
      <c r="I1320" s="86">
        <v>105.86</v>
      </c>
      <c r="J1320" s="87">
        <f t="shared" si="2"/>
        <v>0.8029472889</v>
      </c>
      <c r="K1320" s="84" t="str">
        <f t="shared" si="3"/>
        <v>Inflasi Tinggi</v>
      </c>
      <c r="L1320" s="84">
        <f t="shared" si="4"/>
        <v>0.85</v>
      </c>
      <c r="M1320" s="88" t="str">
        <f t="shared" si="5"/>
        <v>Akselerasi Persentase</v>
      </c>
    </row>
    <row r="1321" ht="18.75" customHeight="1">
      <c r="A1321" s="80" t="s">
        <v>458</v>
      </c>
      <c r="B1321" s="81" t="str">
        <f t="shared" si="1"/>
        <v>Kota Dumai</v>
      </c>
      <c r="C1321" s="81" t="str">
        <f t="array" ref="C1321">XLOOKUP(B1321,Reference!$A$2:$A$152,Reference!$B$2:$B$152)</f>
        <v>Riau</v>
      </c>
      <c r="D1321" s="82" t="s">
        <v>1760</v>
      </c>
      <c r="E1321" s="83">
        <v>45323.0</v>
      </c>
      <c r="F1321" s="84" t="str">
        <f t="array" ref="F1321">XLOOKUP(G1321,Reference!$F:$F,Reference!$D:$D,"null")</f>
        <v>Pendidikan dan Kesehatan</v>
      </c>
      <c r="G1321" s="85" t="s">
        <v>98</v>
      </c>
      <c r="H1321" s="86">
        <v>106.1</v>
      </c>
      <c r="I1321" s="86">
        <v>105.77</v>
      </c>
      <c r="J1321" s="87">
        <f t="shared" si="2"/>
        <v>0.3119977309</v>
      </c>
      <c r="K1321" s="84" t="str">
        <f t="shared" si="3"/>
        <v>Inflasi Normal</v>
      </c>
      <c r="L1321" s="84">
        <f t="shared" si="4"/>
        <v>0.33</v>
      </c>
      <c r="M1321" s="88" t="str">
        <f t="shared" si="5"/>
        <v>Perubahan Normal</v>
      </c>
    </row>
    <row r="1322" ht="18.75" customHeight="1">
      <c r="A1322" s="80" t="s">
        <v>1282</v>
      </c>
      <c r="B1322" s="81" t="str">
        <f t="shared" si="1"/>
        <v>Kota Bima</v>
      </c>
      <c r="C1322" s="81" t="str">
        <f t="array" ref="C1322">XLOOKUP(B1322,Reference!$A$2:$A$152,Reference!$B$2:$B$152)</f>
        <v>Nusa Tenggara Barat (NTB)</v>
      </c>
      <c r="D1322" s="82" t="s">
        <v>1761</v>
      </c>
      <c r="E1322" s="83">
        <v>45352.0</v>
      </c>
      <c r="F1322" s="84" t="str">
        <f t="array" ref="F1322">XLOOKUP(G1322,Reference!$F:$F,Reference!$D:$D,"null")</f>
        <v>Pendidikan dan Kesehatan</v>
      </c>
      <c r="G1322" s="89" t="s">
        <v>98</v>
      </c>
      <c r="H1322" s="90">
        <v>102.52</v>
      </c>
      <c r="I1322" s="90">
        <v>102.51</v>
      </c>
      <c r="J1322" s="87">
        <f t="shared" si="2"/>
        <v>0.009755145839</v>
      </c>
      <c r="K1322" s="84" t="str">
        <f t="shared" si="3"/>
        <v>Inflasi Normal</v>
      </c>
      <c r="L1322" s="91">
        <f t="shared" si="4"/>
        <v>0.01</v>
      </c>
      <c r="M1322" s="88" t="str">
        <f t="shared" si="5"/>
        <v>Perubahan Normal</v>
      </c>
    </row>
    <row r="1323" ht="18.75" customHeight="1">
      <c r="A1323" s="80" t="s">
        <v>508</v>
      </c>
      <c r="B1323" s="81" t="str">
        <f t="shared" si="1"/>
        <v>Kab Minahasa Selatan</v>
      </c>
      <c r="C1323" s="81" t="str">
        <f t="array" ref="C1323">XLOOKUP(B1323,Reference!$A$2:$A$152,Reference!$B$2:$B$152)</f>
        <v>Sulawesi Utara</v>
      </c>
      <c r="D1323" s="82" t="s">
        <v>1762</v>
      </c>
      <c r="E1323" s="83">
        <v>45352.0</v>
      </c>
      <c r="F1323" s="84" t="str">
        <f t="array" ref="F1323">XLOOKUP(G1323,Reference!$F:$F,Reference!$D:$D,"null")</f>
        <v>Makanan dan Pakaian </v>
      </c>
      <c r="G1323" s="85" t="s">
        <v>48</v>
      </c>
      <c r="H1323" s="86">
        <v>114.03</v>
      </c>
      <c r="I1323" s="86">
        <v>112.47</v>
      </c>
      <c r="J1323" s="87">
        <f t="shared" si="2"/>
        <v>1.387036543</v>
      </c>
      <c r="K1323" s="84" t="str">
        <f t="shared" si="3"/>
        <v>Inflasi Tinggi</v>
      </c>
      <c r="L1323" s="84">
        <f t="shared" si="4"/>
        <v>1.56</v>
      </c>
      <c r="M1323" s="88" t="str">
        <f t="shared" si="5"/>
        <v>Akselerasi Persentase</v>
      </c>
    </row>
    <row r="1324" ht="18.75" customHeight="1">
      <c r="A1324" s="80" t="s">
        <v>658</v>
      </c>
      <c r="B1324" s="81" t="str">
        <f t="shared" si="1"/>
        <v>Kota Mataram</v>
      </c>
      <c r="C1324" s="81" t="str">
        <f t="array" ref="C1324">XLOOKUP(B1324,Reference!$A$2:$A$152,Reference!$B$2:$B$152)</f>
        <v>Nusa Tenggara Barat (NTB)</v>
      </c>
      <c r="D1324" s="82" t="s">
        <v>1763</v>
      </c>
      <c r="E1324" s="83">
        <v>45352.0</v>
      </c>
      <c r="F1324" s="84" t="str">
        <f t="array" ref="F1324">XLOOKUP(G1324,Reference!$F:$F,Reference!$D:$D,"null")</f>
        <v>Rumah Tangga</v>
      </c>
      <c r="G1324" s="85" t="s">
        <v>84</v>
      </c>
      <c r="H1324" s="86">
        <v>103.17</v>
      </c>
      <c r="I1324" s="86">
        <v>103.17</v>
      </c>
      <c r="J1324" s="87">
        <f t="shared" si="2"/>
        <v>0</v>
      </c>
      <c r="K1324" s="84" t="str">
        <f t="shared" si="3"/>
        <v>Stabil</v>
      </c>
      <c r="L1324" s="84">
        <f t="shared" si="4"/>
        <v>0</v>
      </c>
      <c r="M1324" s="88" t="str">
        <f t="shared" si="5"/>
        <v>Perubahan Normal</v>
      </c>
    </row>
    <row r="1325" ht="18.75" customHeight="1">
      <c r="A1325" s="80" t="s">
        <v>410</v>
      </c>
      <c r="B1325" s="81" t="str">
        <f t="shared" si="1"/>
        <v>Meulaboh</v>
      </c>
      <c r="C1325" s="81" t="str">
        <f t="array" ref="C1325">XLOOKUP(B1325,Reference!$A$2:$A$152,Reference!$B$2:$B$152)</f>
        <v>Aceh</v>
      </c>
      <c r="D1325" s="82" t="s">
        <v>1764</v>
      </c>
      <c r="E1325" s="83">
        <v>45323.0</v>
      </c>
      <c r="F1325" s="84" t="str">
        <f t="array" ref="F1325">XLOOKUP(G1325,Reference!$F:$F,Reference!$D:$D,"null")</f>
        <v>Makanan dan Pakaian </v>
      </c>
      <c r="G1325" s="85" t="s">
        <v>48</v>
      </c>
      <c r="H1325" s="86">
        <v>111.18</v>
      </c>
      <c r="I1325" s="86">
        <v>108.37</v>
      </c>
      <c r="J1325" s="87">
        <f t="shared" si="2"/>
        <v>2.592968534</v>
      </c>
      <c r="K1325" s="84" t="str">
        <f t="shared" si="3"/>
        <v>Inflasi Tinggi</v>
      </c>
      <c r="L1325" s="84">
        <f t="shared" si="4"/>
        <v>2.81</v>
      </c>
      <c r="M1325" s="88" t="str">
        <f t="shared" si="5"/>
        <v>Akselerasi Kuat</v>
      </c>
    </row>
    <row r="1326" ht="18.75" customHeight="1">
      <c r="A1326" s="80" t="s">
        <v>672</v>
      </c>
      <c r="B1326" s="81" t="str">
        <f t="shared" si="1"/>
        <v>Kab Ogan Komering Ilir</v>
      </c>
      <c r="C1326" s="81" t="str">
        <f t="array" ref="C1326">XLOOKUP(B1326,Reference!$A$2:$A$152,Reference!$B$2:$B$152)</f>
        <v>Sumatera Selatan</v>
      </c>
      <c r="D1326" s="82" t="s">
        <v>1765</v>
      </c>
      <c r="E1326" s="83">
        <v>45323.0</v>
      </c>
      <c r="F1326" s="84" t="str">
        <f t="array" ref="F1326">XLOOKUP(G1326,Reference!$F:$F,Reference!$D:$D,"null")</f>
        <v>Rumah Tangga</v>
      </c>
      <c r="G1326" s="89" t="s">
        <v>80</v>
      </c>
      <c r="H1326" s="90">
        <v>100.05</v>
      </c>
      <c r="I1326" s="90">
        <v>100.05</v>
      </c>
      <c r="J1326" s="87">
        <f t="shared" si="2"/>
        <v>0</v>
      </c>
      <c r="K1326" s="84" t="str">
        <f t="shared" si="3"/>
        <v>Stabil</v>
      </c>
      <c r="L1326" s="91">
        <f t="shared" si="4"/>
        <v>0</v>
      </c>
      <c r="M1326" s="88" t="str">
        <f t="shared" si="5"/>
        <v>Perubahan Normal</v>
      </c>
    </row>
    <row r="1327" ht="18.75" customHeight="1">
      <c r="A1327" s="80" t="s">
        <v>331</v>
      </c>
      <c r="B1327" s="81" t="str">
        <f t="shared" si="1"/>
        <v>Kota Lhokseumawe</v>
      </c>
      <c r="C1327" s="81" t="str">
        <f t="array" ref="C1327">XLOOKUP(B1327,Reference!$A$2:$A$152,Reference!$B$2:$B$152)</f>
        <v>Aceh</v>
      </c>
      <c r="D1327" s="82" t="s">
        <v>1766</v>
      </c>
      <c r="E1327" s="83">
        <v>45352.0</v>
      </c>
      <c r="F1327" s="84" t="str">
        <f t="array" ref="F1327">XLOOKUP(G1327,Reference!$F:$F,Reference!$D:$D,"null")</f>
        <v>Rekreasi dan Kendaraan</v>
      </c>
      <c r="G1327" s="85" t="s">
        <v>102</v>
      </c>
      <c r="H1327" s="86">
        <v>112.77</v>
      </c>
      <c r="I1327" s="86">
        <v>112.81</v>
      </c>
      <c r="J1327" s="87">
        <f t="shared" si="2"/>
        <v>-0.03545784948</v>
      </c>
      <c r="K1327" s="84" t="str">
        <f t="shared" si="3"/>
        <v>Deflasi</v>
      </c>
      <c r="L1327" s="84">
        <f t="shared" si="4"/>
        <v>-0.04</v>
      </c>
      <c r="M1327" s="88" t="str">
        <f t="shared" si="5"/>
        <v>Perubahan Normal</v>
      </c>
    </row>
    <row r="1328" ht="18.75" customHeight="1">
      <c r="A1328" s="80" t="s">
        <v>378</v>
      </c>
      <c r="B1328" s="81" t="str">
        <f t="shared" si="1"/>
        <v>Kab Berau</v>
      </c>
      <c r="C1328" s="81" t="str">
        <f t="array" ref="C1328">XLOOKUP(B1328,Reference!$A$2:$A$152,Reference!$B$2:$B$152)</f>
        <v>Kalimantan Timur</v>
      </c>
      <c r="D1328" s="82" t="s">
        <v>1767</v>
      </c>
      <c r="E1328" s="83">
        <v>45323.0</v>
      </c>
      <c r="F1328" s="84" t="str">
        <f t="array" ref="F1328">XLOOKUP(G1328,Reference!$F:$F,Reference!$D:$D,"null")</f>
        <v>Pendidikan dan Kesehatan</v>
      </c>
      <c r="G1328" s="85" t="s">
        <v>95</v>
      </c>
      <c r="H1328" s="86">
        <v>100.43</v>
      </c>
      <c r="I1328" s="86">
        <v>100.43</v>
      </c>
      <c r="J1328" s="87">
        <f t="shared" si="2"/>
        <v>0</v>
      </c>
      <c r="K1328" s="84" t="str">
        <f t="shared" si="3"/>
        <v>Stabil</v>
      </c>
      <c r="L1328" s="84">
        <f t="shared" si="4"/>
        <v>0</v>
      </c>
      <c r="M1328" s="88" t="str">
        <f t="shared" si="5"/>
        <v>Perubahan Normal</v>
      </c>
    </row>
    <row r="1329" ht="18.75" customHeight="1">
      <c r="A1329" s="80" t="s">
        <v>925</v>
      </c>
      <c r="B1329" s="81" t="str">
        <f t="shared" si="1"/>
        <v>Kota Jakarta</v>
      </c>
      <c r="C1329" s="81" t="str">
        <f t="array" ref="C1329">XLOOKUP(B1329,Reference!$A$2:$A$152,Reference!$B$2:$B$152)</f>
        <v>DKI Jakarta</v>
      </c>
      <c r="D1329" s="82" t="s">
        <v>1768</v>
      </c>
      <c r="E1329" s="83">
        <v>45323.0</v>
      </c>
      <c r="F1329" s="84" t="str">
        <f t="array" ref="F1329">XLOOKUP(G1329,Reference!$F:$F,Reference!$D:$D,"null")</f>
        <v>Rumah Tangga</v>
      </c>
      <c r="G1329" s="85" t="s">
        <v>80</v>
      </c>
      <c r="H1329" s="86">
        <v>103.79</v>
      </c>
      <c r="I1329" s="86">
        <v>103.47</v>
      </c>
      <c r="J1329" s="87">
        <f t="shared" si="2"/>
        <v>0.309268387</v>
      </c>
      <c r="K1329" s="84" t="str">
        <f t="shared" si="3"/>
        <v>Inflasi Normal</v>
      </c>
      <c r="L1329" s="84">
        <f t="shared" si="4"/>
        <v>0.32</v>
      </c>
      <c r="M1329" s="88" t="str">
        <f t="shared" si="5"/>
        <v>Perubahan Normal</v>
      </c>
    </row>
    <row r="1330" ht="18.75" customHeight="1">
      <c r="A1330" s="80" t="s">
        <v>370</v>
      </c>
      <c r="B1330" s="81" t="str">
        <f t="shared" si="1"/>
        <v>Jember</v>
      </c>
      <c r="C1330" s="81" t="str">
        <f t="array" ref="C1330">XLOOKUP(B1330,Reference!$A$2:$A$152,Reference!$B$2:$B$152)</f>
        <v>Jawa Timur</v>
      </c>
      <c r="D1330" s="82" t="s">
        <v>1769</v>
      </c>
      <c r="E1330" s="83">
        <v>45352.0</v>
      </c>
      <c r="F1330" s="84" t="str">
        <f t="array" ref="F1330">XLOOKUP(G1330,Reference!$F:$F,Reference!$D:$D,"null")</f>
        <v>Pendidikan dan Kesehatan</v>
      </c>
      <c r="G1330" s="85" t="s">
        <v>95</v>
      </c>
      <c r="H1330" s="86">
        <v>101.87</v>
      </c>
      <c r="I1330" s="86">
        <v>101.87</v>
      </c>
      <c r="J1330" s="87">
        <f t="shared" si="2"/>
        <v>0</v>
      </c>
      <c r="K1330" s="84" t="str">
        <f t="shared" si="3"/>
        <v>Stabil</v>
      </c>
      <c r="L1330" s="84">
        <f t="shared" si="4"/>
        <v>0</v>
      </c>
      <c r="M1330" s="88" t="str">
        <f t="shared" si="5"/>
        <v>Perubahan Normal</v>
      </c>
    </row>
    <row r="1331" ht="18.75" customHeight="1">
      <c r="A1331" s="80" t="s">
        <v>337</v>
      </c>
      <c r="B1331" s="81" t="str">
        <f t="shared" si="1"/>
        <v>Merauke</v>
      </c>
      <c r="C1331" s="81" t="str">
        <f t="array" ref="C1331">XLOOKUP(B1331,Reference!$A$2:$A$152,Reference!$B$2:$B$152)</f>
        <v>Papua</v>
      </c>
      <c r="D1331" s="82" t="s">
        <v>1770</v>
      </c>
      <c r="E1331" s="83">
        <v>45352.0</v>
      </c>
      <c r="F1331" s="84" t="str">
        <f t="array" ref="F1331">XLOOKUP(G1331,Reference!$F:$F,Reference!$D:$D,"null")</f>
        <v>Rumah Tangga</v>
      </c>
      <c r="G1331" s="85" t="s">
        <v>80</v>
      </c>
      <c r="H1331" s="86">
        <v>100.69</v>
      </c>
      <c r="I1331" s="86">
        <v>100.69</v>
      </c>
      <c r="J1331" s="87">
        <f t="shared" si="2"/>
        <v>0</v>
      </c>
      <c r="K1331" s="84" t="str">
        <f t="shared" si="3"/>
        <v>Stabil</v>
      </c>
      <c r="L1331" s="84">
        <f t="shared" si="4"/>
        <v>0</v>
      </c>
      <c r="M1331" s="88" t="str">
        <f t="shared" si="5"/>
        <v>Perubahan Normal</v>
      </c>
    </row>
    <row r="1332" ht="18.75" customHeight="1">
      <c r="A1332" s="80" t="s">
        <v>462</v>
      </c>
      <c r="B1332" s="81" t="str">
        <f t="shared" si="1"/>
        <v>Kota Probolinggo</v>
      </c>
      <c r="C1332" s="81" t="str">
        <f t="array" ref="C1332">XLOOKUP(B1332,Reference!$A$2:$A$152,Reference!$B$2:$B$152)</f>
        <v>Jawa Timur</v>
      </c>
      <c r="D1332" s="82" t="s">
        <v>1771</v>
      </c>
      <c r="E1332" s="83">
        <v>45352.0</v>
      </c>
      <c r="F1332" s="84" t="str">
        <f t="array" ref="F1332">XLOOKUP(G1332,Reference!$F:$F,Reference!$D:$D,"null")</f>
        <v>Makanan dan Pakaian </v>
      </c>
      <c r="G1332" s="85" t="s">
        <v>56</v>
      </c>
      <c r="H1332" s="86">
        <v>106.09</v>
      </c>
      <c r="I1332" s="86">
        <v>105.96</v>
      </c>
      <c r="J1332" s="87">
        <f t="shared" si="2"/>
        <v>0.1226878067</v>
      </c>
      <c r="K1332" s="84" t="str">
        <f t="shared" si="3"/>
        <v>Inflasi Normal</v>
      </c>
      <c r="L1332" s="84">
        <f t="shared" si="4"/>
        <v>0.13</v>
      </c>
      <c r="M1332" s="88" t="str">
        <f t="shared" si="5"/>
        <v>Perubahan Normal</v>
      </c>
    </row>
    <row r="1333" ht="18.75" customHeight="1">
      <c r="A1333" s="80" t="s">
        <v>642</v>
      </c>
      <c r="B1333" s="81" t="str">
        <f t="shared" si="1"/>
        <v>Kota Bandar Lampung</v>
      </c>
      <c r="C1333" s="81" t="str">
        <f t="array" ref="C1333">XLOOKUP(B1333,Reference!$A$2:$A$152,Reference!$B$2:$B$152)</f>
        <v>Lampung</v>
      </c>
      <c r="D1333" s="82" t="s">
        <v>1772</v>
      </c>
      <c r="E1333" s="83">
        <v>45352.0</v>
      </c>
      <c r="F1333" s="84" t="str">
        <f t="array" ref="F1333">XLOOKUP(G1333,Reference!$F:$F,Reference!$D:$D,"null")</f>
        <v>Makanan dan Pakaian </v>
      </c>
      <c r="G1333" s="85" t="s">
        <v>48</v>
      </c>
      <c r="H1333" s="86">
        <v>109.54</v>
      </c>
      <c r="I1333" s="86">
        <v>109.18</v>
      </c>
      <c r="J1333" s="87">
        <f t="shared" si="2"/>
        <v>0.3297307199</v>
      </c>
      <c r="K1333" s="84" t="str">
        <f t="shared" si="3"/>
        <v>Inflasi Normal</v>
      </c>
      <c r="L1333" s="84">
        <f t="shared" si="4"/>
        <v>0.36</v>
      </c>
      <c r="M1333" s="88" t="str">
        <f t="shared" si="5"/>
        <v>Perubahan Normal</v>
      </c>
    </row>
    <row r="1334" ht="18.75" customHeight="1">
      <c r="A1334" s="80" t="s">
        <v>364</v>
      </c>
      <c r="B1334" s="81" t="str">
        <f t="shared" si="1"/>
        <v>Kab Tanah Laut</v>
      </c>
      <c r="C1334" s="81" t="str">
        <f t="array" ref="C1334">XLOOKUP(B1334,Reference!$A$2:$A$152,Reference!$B$2:$B$152)</f>
        <v>Kalimantan Selatan</v>
      </c>
      <c r="D1334" s="82" t="s">
        <v>1773</v>
      </c>
      <c r="E1334" s="83">
        <v>45323.0</v>
      </c>
      <c r="F1334" s="84" t="str">
        <f t="array" ref="F1334">XLOOKUP(G1334,Reference!$F:$F,Reference!$D:$D,"null")</f>
        <v>Rumah Tangga</v>
      </c>
      <c r="G1334" s="85" t="s">
        <v>89</v>
      </c>
      <c r="H1334" s="86">
        <v>101.65</v>
      </c>
      <c r="I1334" s="86">
        <v>101.65</v>
      </c>
      <c r="J1334" s="87">
        <f t="shared" si="2"/>
        <v>0</v>
      </c>
      <c r="K1334" s="84" t="str">
        <f t="shared" si="3"/>
        <v>Stabil</v>
      </c>
      <c r="L1334" s="84">
        <f t="shared" si="4"/>
        <v>0</v>
      </c>
      <c r="M1334" s="88" t="str">
        <f t="shared" si="5"/>
        <v>Perubahan Normal</v>
      </c>
    </row>
    <row r="1335" ht="18.75" customHeight="1">
      <c r="A1335" s="80" t="s">
        <v>584</v>
      </c>
      <c r="B1335" s="81" t="str">
        <f t="shared" si="1"/>
        <v>Kota Sibolga</v>
      </c>
      <c r="C1335" s="81" t="str">
        <f t="array" ref="C1335">XLOOKUP(B1335,Reference!$A$2:$A$152,Reference!$B$2:$B$152)</f>
        <v>Sumatera Utara</v>
      </c>
      <c r="D1335" s="82" t="s">
        <v>1774</v>
      </c>
      <c r="E1335" s="83">
        <v>45323.0</v>
      </c>
      <c r="F1335" s="84" t="str">
        <f t="array" ref="F1335">XLOOKUP(G1335,Reference!$F:$F,Reference!$D:$D,"null")</f>
        <v>Rumah Tangga</v>
      </c>
      <c r="G1335" s="85" t="s">
        <v>89</v>
      </c>
      <c r="H1335" s="86">
        <v>102.74</v>
      </c>
      <c r="I1335" s="86">
        <v>100.68</v>
      </c>
      <c r="J1335" s="87">
        <f t="shared" si="2"/>
        <v>2.046086611</v>
      </c>
      <c r="K1335" s="84" t="str">
        <f t="shared" si="3"/>
        <v>Inflasi Tinggi</v>
      </c>
      <c r="L1335" s="84">
        <f t="shared" si="4"/>
        <v>2.06</v>
      </c>
      <c r="M1335" s="88" t="str">
        <f t="shared" si="5"/>
        <v>Akselerasi Kuat</v>
      </c>
    </row>
    <row r="1336" ht="18.75" customHeight="1">
      <c r="A1336" s="80" t="s">
        <v>312</v>
      </c>
      <c r="B1336" s="81" t="str">
        <f t="shared" si="1"/>
        <v>Kab Jayawijaya</v>
      </c>
      <c r="C1336" s="81" t="str">
        <f t="array" ref="C1336">XLOOKUP(B1336,Reference!$A$2:$A$152,Reference!$B$2:$B$152)</f>
        <v>Papua</v>
      </c>
      <c r="D1336" s="82" t="s">
        <v>1775</v>
      </c>
      <c r="E1336" s="83">
        <v>45352.0</v>
      </c>
      <c r="F1336" s="84" t="str">
        <f t="array" ref="F1336">XLOOKUP(G1336,Reference!$F:$F,Reference!$D:$D,"null")</f>
        <v>Rumah Tangga</v>
      </c>
      <c r="G1336" s="85" t="s">
        <v>80</v>
      </c>
      <c r="H1336" s="86">
        <v>100.0</v>
      </c>
      <c r="I1336" s="86">
        <v>100.0</v>
      </c>
      <c r="J1336" s="87">
        <f t="shared" si="2"/>
        <v>0</v>
      </c>
      <c r="K1336" s="84" t="str">
        <f t="shared" si="3"/>
        <v>Stabil</v>
      </c>
      <c r="L1336" s="84">
        <f t="shared" si="4"/>
        <v>0</v>
      </c>
      <c r="M1336" s="88" t="str">
        <f t="shared" si="5"/>
        <v>Perubahan Normal</v>
      </c>
    </row>
    <row r="1337" ht="18.75" customHeight="1">
      <c r="A1337" s="80" t="s">
        <v>314</v>
      </c>
      <c r="B1337" s="81" t="str">
        <f t="shared" si="1"/>
        <v>Kota Jayapura</v>
      </c>
      <c r="C1337" s="81" t="str">
        <f t="array" ref="C1337">XLOOKUP(B1337,Reference!$A$2:$A$152,Reference!$B$2:$B$152)</f>
        <v>Papua</v>
      </c>
      <c r="D1337" s="82" t="s">
        <v>1776</v>
      </c>
      <c r="E1337" s="83">
        <v>45352.0</v>
      </c>
      <c r="F1337" s="84" t="str">
        <f t="array" ref="F1337">XLOOKUP(G1337,Reference!$F:$F,Reference!$D:$D,"null")</f>
        <v>Rekreasi dan Kendaraan</v>
      </c>
      <c r="G1337" s="85" t="s">
        <v>102</v>
      </c>
      <c r="H1337" s="86">
        <v>102.57</v>
      </c>
      <c r="I1337" s="86">
        <v>102.66</v>
      </c>
      <c r="J1337" s="87">
        <f t="shared" si="2"/>
        <v>-0.08766803039</v>
      </c>
      <c r="K1337" s="84" t="str">
        <f t="shared" si="3"/>
        <v>Deflasi</v>
      </c>
      <c r="L1337" s="84">
        <f t="shared" si="4"/>
        <v>-0.09</v>
      </c>
      <c r="M1337" s="88" t="str">
        <f t="shared" si="5"/>
        <v>Perubahan Normal</v>
      </c>
    </row>
    <row r="1338" ht="18.75" customHeight="1">
      <c r="A1338" s="80" t="s">
        <v>456</v>
      </c>
      <c r="B1338" s="81" t="str">
        <f t="shared" si="1"/>
        <v>Kab Aceh Tamiang</v>
      </c>
      <c r="C1338" s="81" t="str">
        <f t="array" ref="C1338">XLOOKUP(B1338,Reference!$A$2:$A$152,Reference!$B$2:$B$152)</f>
        <v>Aceh</v>
      </c>
      <c r="D1338" s="82" t="s">
        <v>1777</v>
      </c>
      <c r="E1338" s="83">
        <v>45323.0</v>
      </c>
      <c r="F1338" s="84" t="str">
        <f t="array" ref="F1338">XLOOKUP(G1338,Reference!$F:$F,Reference!$D:$D,"null")</f>
        <v>Rekreasi dan Kendaraan</v>
      </c>
      <c r="G1338" s="89" t="s">
        <v>102</v>
      </c>
      <c r="H1338" s="90">
        <v>109.89</v>
      </c>
      <c r="I1338" s="90">
        <v>109.89</v>
      </c>
      <c r="J1338" s="87">
        <f t="shared" si="2"/>
        <v>0</v>
      </c>
      <c r="K1338" s="84" t="str">
        <f t="shared" si="3"/>
        <v>Stabil</v>
      </c>
      <c r="L1338" s="91">
        <f t="shared" si="4"/>
        <v>0</v>
      </c>
      <c r="M1338" s="88" t="str">
        <f t="shared" si="5"/>
        <v>Perubahan Normal</v>
      </c>
    </row>
    <row r="1339" ht="18.75" customHeight="1">
      <c r="A1339" s="80" t="s">
        <v>483</v>
      </c>
      <c r="B1339" s="81" t="str">
        <f t="shared" si="1"/>
        <v>Kota Padangsidimpuan</v>
      </c>
      <c r="C1339" s="81" t="str">
        <f t="array" ref="C1339">XLOOKUP(B1339,Reference!$A$2:$A$152,Reference!$B$2:$B$152)</f>
        <v>Sumatera Utara</v>
      </c>
      <c r="D1339" s="82" t="s">
        <v>1778</v>
      </c>
      <c r="E1339" s="83">
        <v>45352.0</v>
      </c>
      <c r="F1339" s="84" t="str">
        <f t="array" ref="F1339">XLOOKUP(G1339,Reference!$F:$F,Reference!$D:$D,"null")</f>
        <v>Makanan dan Pakaian </v>
      </c>
      <c r="G1339" s="85" t="s">
        <v>64</v>
      </c>
      <c r="H1339" s="86">
        <v>105.9</v>
      </c>
      <c r="I1339" s="86">
        <v>104.49</v>
      </c>
      <c r="J1339" s="87">
        <f t="shared" si="2"/>
        <v>1.349411427</v>
      </c>
      <c r="K1339" s="84" t="str">
        <f t="shared" si="3"/>
        <v>Inflasi Tinggi</v>
      </c>
      <c r="L1339" s="84">
        <f t="shared" si="4"/>
        <v>1.41</v>
      </c>
      <c r="M1339" s="88" t="str">
        <f t="shared" si="5"/>
        <v>Akselerasi Persentase</v>
      </c>
    </row>
    <row r="1340" ht="18.75" customHeight="1">
      <c r="A1340" s="80" t="s">
        <v>1282</v>
      </c>
      <c r="B1340" s="81" t="str">
        <f t="shared" si="1"/>
        <v>Kota Bima</v>
      </c>
      <c r="C1340" s="81" t="str">
        <f t="array" ref="C1340">XLOOKUP(B1340,Reference!$A$2:$A$152,Reference!$B$2:$B$152)</f>
        <v>Nusa Tenggara Barat (NTB)</v>
      </c>
      <c r="D1340" s="82" t="s">
        <v>1779</v>
      </c>
      <c r="E1340" s="83">
        <v>45323.0</v>
      </c>
      <c r="F1340" s="84" t="str">
        <f t="array" ref="F1340">XLOOKUP(G1340,Reference!$F:$F,Reference!$D:$D,"null")</f>
        <v>Pendidikan dan Kesehatan</v>
      </c>
      <c r="G1340" s="85" t="s">
        <v>95</v>
      </c>
      <c r="H1340" s="86">
        <v>101.79</v>
      </c>
      <c r="I1340" s="86">
        <v>101.79</v>
      </c>
      <c r="J1340" s="87">
        <f t="shared" si="2"/>
        <v>0</v>
      </c>
      <c r="K1340" s="84" t="str">
        <f t="shared" si="3"/>
        <v>Stabil</v>
      </c>
      <c r="L1340" s="84">
        <f t="shared" si="4"/>
        <v>0</v>
      </c>
      <c r="M1340" s="88" t="str">
        <f t="shared" si="5"/>
        <v>Perubahan Normal</v>
      </c>
    </row>
    <row r="1341" ht="18.75" customHeight="1">
      <c r="A1341" s="80" t="s">
        <v>427</v>
      </c>
      <c r="B1341" s="81" t="str">
        <f t="shared" si="1"/>
        <v>Kota Malang</v>
      </c>
      <c r="C1341" s="81" t="str">
        <f t="array" ref="C1341">XLOOKUP(B1341,Reference!$A$2:$A$152,Reference!$B$2:$B$152)</f>
        <v>Jawa Timur</v>
      </c>
      <c r="D1341" s="82" t="s">
        <v>1780</v>
      </c>
      <c r="E1341" s="83">
        <v>45323.0</v>
      </c>
      <c r="F1341" s="84" t="str">
        <f t="array" ref="F1341">XLOOKUP(G1341,Reference!$F:$F,Reference!$D:$D,"null")</f>
        <v>Rumah Tangga</v>
      </c>
      <c r="G1341" s="85" t="s">
        <v>80</v>
      </c>
      <c r="H1341" s="86">
        <v>103.39</v>
      </c>
      <c r="I1341" s="86">
        <v>102.98</v>
      </c>
      <c r="J1341" s="87">
        <f t="shared" si="2"/>
        <v>0.3981355603</v>
      </c>
      <c r="K1341" s="84" t="str">
        <f t="shared" si="3"/>
        <v>Inflasi Normal</v>
      </c>
      <c r="L1341" s="84">
        <f t="shared" si="4"/>
        <v>0.41</v>
      </c>
      <c r="M1341" s="88" t="str">
        <f t="shared" si="5"/>
        <v>Perubahan Normal</v>
      </c>
    </row>
    <row r="1342" ht="18.75" customHeight="1">
      <c r="A1342" s="80" t="s">
        <v>367</v>
      </c>
      <c r="B1342" s="81" t="str">
        <f t="shared" si="1"/>
        <v>Kota Jambi</v>
      </c>
      <c r="C1342" s="81" t="str">
        <f t="array" ref="C1342">XLOOKUP(B1342,Reference!$A$2:$A$152,Reference!$B$2:$B$152)</f>
        <v>Jambi</v>
      </c>
      <c r="D1342" s="82" t="s">
        <v>1781</v>
      </c>
      <c r="E1342" s="83">
        <v>45352.0</v>
      </c>
      <c r="F1342" s="84" t="str">
        <f t="array" ref="F1342">XLOOKUP(G1342,Reference!$F:$F,Reference!$D:$D,"null")</f>
        <v>Makanan dan Pakaian </v>
      </c>
      <c r="G1342" s="85" t="s">
        <v>48</v>
      </c>
      <c r="H1342" s="86">
        <v>112.44</v>
      </c>
      <c r="I1342" s="86">
        <v>111.29</v>
      </c>
      <c r="J1342" s="87">
        <f t="shared" si="2"/>
        <v>1.033336329</v>
      </c>
      <c r="K1342" s="84" t="str">
        <f t="shared" si="3"/>
        <v>Inflasi Tinggi</v>
      </c>
      <c r="L1342" s="84">
        <f t="shared" si="4"/>
        <v>1.15</v>
      </c>
      <c r="M1342" s="88" t="str">
        <f t="shared" si="5"/>
        <v>Akselerasi Persentase</v>
      </c>
    </row>
    <row r="1343" ht="18.75" customHeight="1">
      <c r="A1343" s="80" t="s">
        <v>342</v>
      </c>
      <c r="B1343" s="81" t="str">
        <f t="shared" si="1"/>
        <v>Kab Bandung</v>
      </c>
      <c r="C1343" s="81" t="str">
        <f t="array" ref="C1343">XLOOKUP(B1343,Reference!$A$2:$A$152,Reference!$B$2:$B$152)</f>
        <v>Jawa Barat</v>
      </c>
      <c r="D1343" s="82" t="s">
        <v>1782</v>
      </c>
      <c r="E1343" s="83">
        <v>45352.0</v>
      </c>
      <c r="F1343" s="84" t="str">
        <f t="array" ref="F1343">XLOOKUP(G1343,Reference!$F:$F,Reference!$D:$D,"null")</f>
        <v>Makanan dan Pakaian </v>
      </c>
      <c r="G1343" s="85" t="s">
        <v>72</v>
      </c>
      <c r="H1343" s="86">
        <v>100.95</v>
      </c>
      <c r="I1343" s="86">
        <v>100.95</v>
      </c>
      <c r="J1343" s="87">
        <f t="shared" si="2"/>
        <v>0</v>
      </c>
      <c r="K1343" s="84" t="str">
        <f t="shared" si="3"/>
        <v>Stabil</v>
      </c>
      <c r="L1343" s="84">
        <f t="shared" si="4"/>
        <v>0</v>
      </c>
      <c r="M1343" s="88" t="str">
        <f t="shared" si="5"/>
        <v>Perubahan Normal</v>
      </c>
    </row>
    <row r="1344" ht="18.75" customHeight="1">
      <c r="A1344" s="80" t="s">
        <v>304</v>
      </c>
      <c r="B1344" s="81" t="str">
        <f t="shared" si="1"/>
        <v>Kota Kediri</v>
      </c>
      <c r="C1344" s="81" t="str">
        <f t="array" ref="C1344">XLOOKUP(B1344,Reference!$A$2:$A$152,Reference!$B$2:$B$152)</f>
        <v>Jawa Timur</v>
      </c>
      <c r="D1344" s="82" t="s">
        <v>1783</v>
      </c>
      <c r="E1344" s="83">
        <v>45323.0</v>
      </c>
      <c r="F1344" s="84" t="str">
        <f t="array" ref="F1344">XLOOKUP(G1344,Reference!$F:$F,Reference!$D:$D,"null")</f>
        <v>Pendidikan dan Kesehatan</v>
      </c>
      <c r="G1344" s="85" t="s">
        <v>95</v>
      </c>
      <c r="H1344" s="86">
        <v>103.23</v>
      </c>
      <c r="I1344" s="86">
        <v>103.23</v>
      </c>
      <c r="J1344" s="87">
        <f t="shared" si="2"/>
        <v>0</v>
      </c>
      <c r="K1344" s="84" t="str">
        <f t="shared" si="3"/>
        <v>Stabil</v>
      </c>
      <c r="L1344" s="84">
        <f t="shared" si="4"/>
        <v>0</v>
      </c>
      <c r="M1344" s="88" t="str">
        <f t="shared" si="5"/>
        <v>Perubahan Normal</v>
      </c>
    </row>
    <row r="1345" ht="18.75" customHeight="1">
      <c r="A1345" s="80" t="s">
        <v>442</v>
      </c>
      <c r="B1345" s="81" t="str">
        <f t="shared" si="1"/>
        <v>Kota Cirebon</v>
      </c>
      <c r="C1345" s="81" t="str">
        <f t="array" ref="C1345">XLOOKUP(B1345,Reference!$A$2:$A$152,Reference!$B$2:$B$152)</f>
        <v>Jawa Barat</v>
      </c>
      <c r="D1345" s="82" t="s">
        <v>1784</v>
      </c>
      <c r="E1345" s="83">
        <v>45352.0</v>
      </c>
      <c r="F1345" s="84" t="str">
        <f t="array" ref="F1345">XLOOKUP(G1345,Reference!$F:$F,Reference!$D:$D,"null")</f>
        <v>Makanan dan Pakaian </v>
      </c>
      <c r="G1345" s="85" t="s">
        <v>56</v>
      </c>
      <c r="H1345" s="86">
        <v>105.95</v>
      </c>
      <c r="I1345" s="86">
        <v>106.29</v>
      </c>
      <c r="J1345" s="87">
        <f t="shared" si="2"/>
        <v>-0.3198795747</v>
      </c>
      <c r="K1345" s="84" t="str">
        <f t="shared" si="3"/>
        <v>Deflasi</v>
      </c>
      <c r="L1345" s="84">
        <f t="shared" si="4"/>
        <v>-0.34</v>
      </c>
      <c r="M1345" s="88" t="str">
        <f t="shared" si="5"/>
        <v>Perubahan Normal</v>
      </c>
    </row>
    <row r="1346" ht="18.75" customHeight="1">
      <c r="A1346" s="80" t="s">
        <v>731</v>
      </c>
      <c r="B1346" s="81" t="str">
        <f t="shared" si="1"/>
        <v>Kab Hulu Sungai Tengah</v>
      </c>
      <c r="C1346" s="81" t="str">
        <f t="array" ref="C1346">XLOOKUP(B1346,Reference!$A$2:$A$152,Reference!$B$2:$B$152)</f>
        <v>Kalimantan Selatan</v>
      </c>
      <c r="D1346" s="82" t="s">
        <v>1785</v>
      </c>
      <c r="E1346" s="83">
        <v>45323.0</v>
      </c>
      <c r="F1346" s="84" t="str">
        <f t="array" ref="F1346">XLOOKUP(G1346,Reference!$F:$F,Reference!$D:$D,"null")</f>
        <v>Rekreasi dan Kendaraan</v>
      </c>
      <c r="G1346" s="85" t="s">
        <v>102</v>
      </c>
      <c r="H1346" s="86">
        <v>101.12</v>
      </c>
      <c r="I1346" s="86">
        <v>101.49</v>
      </c>
      <c r="J1346" s="87">
        <f t="shared" si="2"/>
        <v>-0.3645679377</v>
      </c>
      <c r="K1346" s="84" t="str">
        <f t="shared" si="3"/>
        <v>Deflasi</v>
      </c>
      <c r="L1346" s="84">
        <f t="shared" si="4"/>
        <v>-0.37</v>
      </c>
      <c r="M1346" s="88" t="str">
        <f t="shared" si="5"/>
        <v>Perubahan Normal</v>
      </c>
    </row>
    <row r="1347" ht="18.75" customHeight="1">
      <c r="A1347" s="80" t="s">
        <v>584</v>
      </c>
      <c r="B1347" s="81" t="str">
        <f t="shared" si="1"/>
        <v>Kota Sibolga</v>
      </c>
      <c r="C1347" s="81" t="str">
        <f t="array" ref="C1347">XLOOKUP(B1347,Reference!$A$2:$A$152,Reference!$B$2:$B$152)</f>
        <v>Sumatera Utara</v>
      </c>
      <c r="D1347" s="82" t="s">
        <v>1786</v>
      </c>
      <c r="E1347" s="83">
        <v>45352.0</v>
      </c>
      <c r="F1347" s="84" t="str">
        <f t="array" ref="F1347">XLOOKUP(G1347,Reference!$F:$F,Reference!$D:$D,"null")</f>
        <v>Makanan dan Pakaian </v>
      </c>
      <c r="G1347" s="85" t="s">
        <v>64</v>
      </c>
      <c r="H1347" s="86">
        <v>104.61</v>
      </c>
      <c r="I1347" s="86">
        <v>104.43</v>
      </c>
      <c r="J1347" s="87">
        <f t="shared" si="2"/>
        <v>0.1723642631</v>
      </c>
      <c r="K1347" s="84" t="str">
        <f t="shared" si="3"/>
        <v>Inflasi Normal</v>
      </c>
      <c r="L1347" s="84">
        <f t="shared" si="4"/>
        <v>0.18</v>
      </c>
      <c r="M1347" s="88" t="str">
        <f t="shared" si="5"/>
        <v>Perubahan Normal</v>
      </c>
    </row>
    <row r="1348" ht="18.75" customHeight="1">
      <c r="A1348" s="80" t="s">
        <v>421</v>
      </c>
      <c r="B1348" s="81" t="str">
        <f t="shared" si="1"/>
        <v>Kab Halmahera Tengah</v>
      </c>
      <c r="C1348" s="81" t="str">
        <f t="array" ref="C1348">XLOOKUP(B1348,Reference!$A$2:$A$152,Reference!$B$2:$B$152)</f>
        <v>Maluku Utara</v>
      </c>
      <c r="D1348" s="82" t="s">
        <v>1787</v>
      </c>
      <c r="E1348" s="83">
        <v>45352.0</v>
      </c>
      <c r="F1348" s="84" t="str">
        <f t="array" ref="F1348">XLOOKUP(G1348,Reference!$F:$F,Reference!$D:$D,"null")</f>
        <v>Rumah Tangga</v>
      </c>
      <c r="G1348" s="89" t="s">
        <v>84</v>
      </c>
      <c r="H1348" s="90">
        <v>103.07</v>
      </c>
      <c r="I1348" s="90">
        <v>103.37</v>
      </c>
      <c r="J1348" s="87">
        <f t="shared" si="2"/>
        <v>-0.2902195995</v>
      </c>
      <c r="K1348" s="84" t="str">
        <f t="shared" si="3"/>
        <v>Deflasi</v>
      </c>
      <c r="L1348" s="91">
        <f t="shared" si="4"/>
        <v>-0.3</v>
      </c>
      <c r="M1348" s="88" t="str">
        <f t="shared" si="5"/>
        <v>Perubahan Normal</v>
      </c>
    </row>
    <row r="1349" ht="18.75" customHeight="1">
      <c r="A1349" s="80" t="s">
        <v>460</v>
      </c>
      <c r="B1349" s="81" t="str">
        <f t="shared" si="1"/>
        <v>Kab Kayong Utara</v>
      </c>
      <c r="C1349" s="81" t="str">
        <f t="array" ref="C1349">XLOOKUP(B1349,Reference!$A$2:$A$152,Reference!$B$2:$B$152)</f>
        <v>Kalimantan Barat</v>
      </c>
      <c r="D1349" s="82" t="s">
        <v>1788</v>
      </c>
      <c r="E1349" s="83">
        <v>45352.0</v>
      </c>
      <c r="F1349" s="84" t="str">
        <f t="array" ref="F1349">XLOOKUP(G1349,Reference!$F:$F,Reference!$D:$D,"null")</f>
        <v>Rekreasi dan Kendaraan</v>
      </c>
      <c r="G1349" s="85" t="s">
        <v>102</v>
      </c>
      <c r="H1349" s="86">
        <v>107.94</v>
      </c>
      <c r="I1349" s="86">
        <v>107.7</v>
      </c>
      <c r="J1349" s="87">
        <f t="shared" si="2"/>
        <v>0.2228412256</v>
      </c>
      <c r="K1349" s="84" t="str">
        <f t="shared" si="3"/>
        <v>Inflasi Normal</v>
      </c>
      <c r="L1349" s="84">
        <f t="shared" si="4"/>
        <v>0.24</v>
      </c>
      <c r="M1349" s="88" t="str">
        <f t="shared" si="5"/>
        <v>Perubahan Normal</v>
      </c>
    </row>
    <row r="1350" ht="18.75" customHeight="1">
      <c r="A1350" s="80" t="s">
        <v>669</v>
      </c>
      <c r="B1350" s="81" t="str">
        <f t="shared" si="1"/>
        <v>Kab Sidenreng Rappang</v>
      </c>
      <c r="C1350" s="81" t="str">
        <f t="array" ref="C1350">XLOOKUP(B1350,Reference!$A$2:$A$152,Reference!$B$2:$B$152)</f>
        <v>Sulawesi Selatan</v>
      </c>
      <c r="D1350" s="82" t="s">
        <v>1789</v>
      </c>
      <c r="E1350" s="83">
        <v>45352.0</v>
      </c>
      <c r="F1350" s="84" t="str">
        <f t="array" ref="F1350">XLOOKUP(G1350,Reference!$F:$F,Reference!$D:$D,"null")</f>
        <v>Pendidikan dan Kesehatan</v>
      </c>
      <c r="G1350" s="85" t="s">
        <v>95</v>
      </c>
      <c r="H1350" s="86">
        <v>100.0</v>
      </c>
      <c r="I1350" s="86">
        <v>100.0</v>
      </c>
      <c r="J1350" s="87">
        <f t="shared" si="2"/>
        <v>0</v>
      </c>
      <c r="K1350" s="84" t="str">
        <f t="shared" si="3"/>
        <v>Stabil</v>
      </c>
      <c r="L1350" s="84">
        <f t="shared" si="4"/>
        <v>0</v>
      </c>
      <c r="M1350" s="88" t="str">
        <f t="shared" si="5"/>
        <v>Perubahan Normal</v>
      </c>
    </row>
    <row r="1351" ht="18.75" customHeight="1">
      <c r="A1351" s="80" t="s">
        <v>408</v>
      </c>
      <c r="B1351" s="81" t="str">
        <f t="shared" si="1"/>
        <v>Manokwari</v>
      </c>
      <c r="C1351" s="81" t="str">
        <f t="array" ref="C1351">XLOOKUP(B1351,Reference!$A$2:$A$152,Reference!$B$2:$B$152)</f>
        <v>Papua Barat Daya</v>
      </c>
      <c r="D1351" s="82" t="s">
        <v>1790</v>
      </c>
      <c r="E1351" s="83">
        <v>45352.0</v>
      </c>
      <c r="F1351" s="84" t="str">
        <f t="array" ref="F1351">XLOOKUP(G1351,Reference!$F:$F,Reference!$D:$D,"null")</f>
        <v>Makanan dan Pakaian </v>
      </c>
      <c r="G1351" s="85" t="s">
        <v>56</v>
      </c>
      <c r="H1351" s="86">
        <v>105.29</v>
      </c>
      <c r="I1351" s="86">
        <v>105.29</v>
      </c>
      <c r="J1351" s="87">
        <f t="shared" si="2"/>
        <v>0</v>
      </c>
      <c r="K1351" s="84" t="str">
        <f t="shared" si="3"/>
        <v>Stabil</v>
      </c>
      <c r="L1351" s="84">
        <f t="shared" si="4"/>
        <v>0</v>
      </c>
      <c r="M1351" s="88" t="str">
        <f t="shared" si="5"/>
        <v>Perubahan Normal</v>
      </c>
    </row>
    <row r="1352" ht="18.75" customHeight="1">
      <c r="A1352" s="80" t="s">
        <v>397</v>
      </c>
      <c r="B1352" s="81" t="str">
        <f t="shared" si="1"/>
        <v>Kota Pematangsiantar</v>
      </c>
      <c r="C1352" s="81" t="str">
        <f t="array" ref="C1352">XLOOKUP(B1352,Reference!$A$2:$A$152,Reference!$B$2:$B$152)</f>
        <v>Sumatera Utara</v>
      </c>
      <c r="D1352" s="82" t="s">
        <v>1791</v>
      </c>
      <c r="E1352" s="83">
        <v>45352.0</v>
      </c>
      <c r="F1352" s="84" t="str">
        <f t="array" ref="F1352">XLOOKUP(G1352,Reference!$F:$F,Reference!$D:$D,"null")</f>
        <v>Makanan dan Pakaian </v>
      </c>
      <c r="G1352" s="85" t="s">
        <v>56</v>
      </c>
      <c r="H1352" s="86">
        <v>111.35</v>
      </c>
      <c r="I1352" s="86">
        <v>109.88</v>
      </c>
      <c r="J1352" s="87">
        <f t="shared" si="2"/>
        <v>1.33782308</v>
      </c>
      <c r="K1352" s="84" t="str">
        <f t="shared" si="3"/>
        <v>Inflasi Tinggi</v>
      </c>
      <c r="L1352" s="84">
        <f t="shared" si="4"/>
        <v>1.47</v>
      </c>
      <c r="M1352" s="88" t="str">
        <f t="shared" si="5"/>
        <v>Akselerasi Persentase</v>
      </c>
    </row>
    <row r="1353" ht="18.75" customHeight="1">
      <c r="A1353" s="80" t="s">
        <v>727</v>
      </c>
      <c r="B1353" s="81" t="str">
        <f t="shared" si="1"/>
        <v>Kab Badung</v>
      </c>
      <c r="C1353" s="81" t="str">
        <f t="array" ref="C1353">XLOOKUP(B1353,Reference!$A$2:$A$152,Reference!$B$2:$B$152)</f>
        <v>Bali</v>
      </c>
      <c r="D1353" s="82" t="s">
        <v>1792</v>
      </c>
      <c r="E1353" s="83">
        <v>45352.0</v>
      </c>
      <c r="F1353" s="84" t="str">
        <f t="array" ref="F1353">XLOOKUP(G1353,Reference!$F:$F,Reference!$D:$D,"null")</f>
        <v>Rumah Tangga</v>
      </c>
      <c r="G1353" s="85" t="s">
        <v>80</v>
      </c>
      <c r="H1353" s="86">
        <v>100.14</v>
      </c>
      <c r="I1353" s="86">
        <v>100.14</v>
      </c>
      <c r="J1353" s="87">
        <f t="shared" si="2"/>
        <v>0</v>
      </c>
      <c r="K1353" s="84" t="str">
        <f t="shared" si="3"/>
        <v>Stabil</v>
      </c>
      <c r="L1353" s="84">
        <f t="shared" si="4"/>
        <v>0</v>
      </c>
      <c r="M1353" s="88" t="str">
        <f t="shared" si="5"/>
        <v>Perubahan Normal</v>
      </c>
    </row>
    <row r="1354" ht="18.75" customHeight="1">
      <c r="A1354" s="80" t="s">
        <v>320</v>
      </c>
      <c r="B1354" s="81" t="str">
        <f t="shared" si="1"/>
        <v>Kota Manado</v>
      </c>
      <c r="C1354" s="81" t="str">
        <f t="array" ref="C1354">XLOOKUP(B1354,Reference!$A$2:$A$152,Reference!$B$2:$B$152)</f>
        <v>Sulawesi Utara</v>
      </c>
      <c r="D1354" s="82" t="s">
        <v>1793</v>
      </c>
      <c r="E1354" s="83">
        <v>45352.0</v>
      </c>
      <c r="F1354" s="84" t="str">
        <f t="array" ref="F1354">XLOOKUP(G1354,Reference!$F:$F,Reference!$D:$D,"null")</f>
        <v>Rumah Tangga</v>
      </c>
      <c r="G1354" s="85" t="s">
        <v>84</v>
      </c>
      <c r="H1354" s="86">
        <v>100.57</v>
      </c>
      <c r="I1354" s="86">
        <v>100.57</v>
      </c>
      <c r="J1354" s="87">
        <f t="shared" si="2"/>
        <v>0</v>
      </c>
      <c r="K1354" s="84" t="str">
        <f t="shared" si="3"/>
        <v>Stabil</v>
      </c>
      <c r="L1354" s="84">
        <f t="shared" si="4"/>
        <v>0</v>
      </c>
      <c r="M1354" s="88" t="str">
        <f t="shared" si="5"/>
        <v>Perubahan Normal</v>
      </c>
    </row>
    <row r="1355" ht="18.75" customHeight="1">
      <c r="A1355" s="80" t="s">
        <v>389</v>
      </c>
      <c r="B1355" s="81" t="str">
        <f t="shared" si="1"/>
        <v>Tembilahan</v>
      </c>
      <c r="C1355" s="81" t="str">
        <f t="array" ref="C1355">XLOOKUP(B1355,Reference!$A$2:$A$152,Reference!$B$2:$B$152)</f>
        <v>Riau</v>
      </c>
      <c r="D1355" s="82" t="s">
        <v>1794</v>
      </c>
      <c r="E1355" s="83">
        <v>45352.0</v>
      </c>
      <c r="F1355" s="84" t="str">
        <f t="array" ref="F1355">XLOOKUP(G1355,Reference!$F:$F,Reference!$D:$D,"null")</f>
        <v>Rekreasi dan Kendaraan</v>
      </c>
      <c r="G1355" s="85" t="s">
        <v>105</v>
      </c>
      <c r="H1355" s="86">
        <v>107.25</v>
      </c>
      <c r="I1355" s="86">
        <v>107.04</v>
      </c>
      <c r="J1355" s="87">
        <f t="shared" si="2"/>
        <v>0.1961883408</v>
      </c>
      <c r="K1355" s="84" t="str">
        <f t="shared" si="3"/>
        <v>Inflasi Normal</v>
      </c>
      <c r="L1355" s="84">
        <f t="shared" si="4"/>
        <v>0.21</v>
      </c>
      <c r="M1355" s="88" t="str">
        <f t="shared" si="5"/>
        <v>Perubahan Normal</v>
      </c>
    </row>
    <row r="1356" ht="18.75" customHeight="1">
      <c r="A1356" s="80" t="s">
        <v>616</v>
      </c>
      <c r="B1356" s="81" t="str">
        <f t="shared" si="1"/>
        <v>Kab Sorong</v>
      </c>
      <c r="C1356" s="81" t="str">
        <f t="array" ref="C1356">XLOOKUP(B1356,Reference!$A$2:$A$152,Reference!$B$2:$B$152)</f>
        <v>Papua Barat Daya</v>
      </c>
      <c r="D1356" s="82" t="s">
        <v>1795</v>
      </c>
      <c r="E1356" s="83">
        <v>45352.0</v>
      </c>
      <c r="F1356" s="84" t="str">
        <f t="array" ref="F1356">XLOOKUP(G1356,Reference!$F:$F,Reference!$D:$D,"null")</f>
        <v>Pendidikan dan Kesehatan</v>
      </c>
      <c r="G1356" s="85" t="s">
        <v>98</v>
      </c>
      <c r="H1356" s="86">
        <v>111.17</v>
      </c>
      <c r="I1356" s="86">
        <v>110.23</v>
      </c>
      <c r="J1356" s="87">
        <f t="shared" si="2"/>
        <v>0.8527624059</v>
      </c>
      <c r="K1356" s="84" t="str">
        <f t="shared" si="3"/>
        <v>Inflasi Tinggi</v>
      </c>
      <c r="L1356" s="84">
        <f t="shared" si="4"/>
        <v>0.94</v>
      </c>
      <c r="M1356" s="88" t="str">
        <f t="shared" si="5"/>
        <v>Akselerasi Persentase</v>
      </c>
    </row>
    <row r="1357" ht="18.75" customHeight="1">
      <c r="A1357" s="80" t="s">
        <v>642</v>
      </c>
      <c r="B1357" s="81" t="str">
        <f t="shared" si="1"/>
        <v>Kota Bandar Lampung</v>
      </c>
      <c r="C1357" s="81" t="str">
        <f t="array" ref="C1357">XLOOKUP(B1357,Reference!$A$2:$A$152,Reference!$B$2:$B$152)</f>
        <v>Lampung</v>
      </c>
      <c r="D1357" s="82" t="s">
        <v>1796</v>
      </c>
      <c r="E1357" s="83">
        <v>45323.0</v>
      </c>
      <c r="F1357" s="84" t="str">
        <f t="array" ref="F1357">XLOOKUP(G1357,Reference!$F:$F,Reference!$D:$D,"null")</f>
        <v>Rumah Tangga</v>
      </c>
      <c r="G1357" s="85" t="s">
        <v>89</v>
      </c>
      <c r="H1357" s="86">
        <v>99.05</v>
      </c>
      <c r="I1357" s="86">
        <v>100.44</v>
      </c>
      <c r="J1357" s="87">
        <f t="shared" si="2"/>
        <v>-1.383910793</v>
      </c>
      <c r="K1357" s="84" t="str">
        <f t="shared" si="3"/>
        <v>Deflasi</v>
      </c>
      <c r="L1357" s="84">
        <f t="shared" si="4"/>
        <v>-1.39</v>
      </c>
      <c r="M1357" s="88" t="str">
        <f t="shared" si="5"/>
        <v>Perubahan Normal</v>
      </c>
    </row>
    <row r="1358" ht="18.75" customHeight="1">
      <c r="A1358" s="80" t="s">
        <v>731</v>
      </c>
      <c r="B1358" s="81" t="str">
        <f t="shared" si="1"/>
        <v>Kab Hulu Sungai Tengah</v>
      </c>
      <c r="C1358" s="81" t="str">
        <f t="array" ref="C1358">XLOOKUP(B1358,Reference!$A$2:$A$152,Reference!$B$2:$B$152)</f>
        <v>Kalimantan Selatan</v>
      </c>
      <c r="D1358" s="82" t="s">
        <v>1797</v>
      </c>
      <c r="E1358" s="83">
        <v>45352.0</v>
      </c>
      <c r="F1358" s="84" t="str">
        <f t="array" ref="F1358">XLOOKUP(G1358,Reference!$F:$F,Reference!$D:$D,"null")</f>
        <v>Rekreasi dan Kendaraan</v>
      </c>
      <c r="G1358" s="89" t="s">
        <v>105</v>
      </c>
      <c r="H1358" s="90">
        <v>102.93</v>
      </c>
      <c r="I1358" s="90">
        <v>102.93</v>
      </c>
      <c r="J1358" s="87">
        <f t="shared" si="2"/>
        <v>0</v>
      </c>
      <c r="K1358" s="84" t="str">
        <f t="shared" si="3"/>
        <v>Stabil</v>
      </c>
      <c r="L1358" s="91">
        <f t="shared" si="4"/>
        <v>0</v>
      </c>
      <c r="M1358" s="88" t="str">
        <f t="shared" si="5"/>
        <v>Perubahan Normal</v>
      </c>
    </row>
    <row r="1359" ht="18.75" customHeight="1">
      <c r="A1359" s="80" t="s">
        <v>669</v>
      </c>
      <c r="B1359" s="81" t="str">
        <f t="shared" si="1"/>
        <v>Kab Sidenreng Rappang</v>
      </c>
      <c r="C1359" s="81" t="str">
        <f t="array" ref="C1359">XLOOKUP(B1359,Reference!$A$2:$A$152,Reference!$B$2:$B$152)</f>
        <v>Sulawesi Selatan</v>
      </c>
      <c r="D1359" s="82" t="s">
        <v>1798</v>
      </c>
      <c r="E1359" s="83">
        <v>45323.0</v>
      </c>
      <c r="F1359" s="84" t="str">
        <f t="array" ref="F1359">XLOOKUP(G1359,Reference!$F:$F,Reference!$D:$D,"null")</f>
        <v>Rekreasi dan Kendaraan</v>
      </c>
      <c r="G1359" s="89" t="s">
        <v>105</v>
      </c>
      <c r="H1359" s="90">
        <v>103.98</v>
      </c>
      <c r="I1359" s="90">
        <v>103.83</v>
      </c>
      <c r="J1359" s="87">
        <f t="shared" si="2"/>
        <v>0.1444669171</v>
      </c>
      <c r="K1359" s="84" t="str">
        <f t="shared" si="3"/>
        <v>Inflasi Normal</v>
      </c>
      <c r="L1359" s="91">
        <f t="shared" si="4"/>
        <v>0.15</v>
      </c>
      <c r="M1359" s="88" t="str">
        <f t="shared" si="5"/>
        <v>Perubahan Normal</v>
      </c>
    </row>
    <row r="1360" ht="18.75" customHeight="1">
      <c r="A1360" s="95" t="s">
        <v>600</v>
      </c>
      <c r="B1360" s="81" t="str">
        <f t="shared" si="1"/>
        <v>Kota Banda Aceh</v>
      </c>
      <c r="C1360" s="81" t="str">
        <f t="array" ref="C1360">XLOOKUP(B1360,Reference!$A$2:$A$152,Reference!$B$2:$B$152)</f>
        <v>Aceh</v>
      </c>
      <c r="D1360" s="82" t="s">
        <v>1799</v>
      </c>
      <c r="E1360" s="96">
        <v>45352.0</v>
      </c>
      <c r="F1360" s="84" t="str">
        <f t="array" ref="F1360">XLOOKUP(G1360,Reference!$F:$F,Reference!$D:$D,"null")</f>
        <v>Rumah Tangga</v>
      </c>
      <c r="G1360" s="97" t="s">
        <v>80</v>
      </c>
      <c r="H1360" s="98">
        <v>101.16</v>
      </c>
      <c r="I1360" s="98">
        <v>101.16</v>
      </c>
      <c r="J1360" s="87">
        <f t="shared" si="2"/>
        <v>0</v>
      </c>
      <c r="K1360" s="84" t="str">
        <f t="shared" si="3"/>
        <v>Stabil</v>
      </c>
      <c r="L1360" s="84">
        <f t="shared" si="4"/>
        <v>0</v>
      </c>
      <c r="M1360" s="88" t="str">
        <f t="shared" si="5"/>
        <v>Perubahan Normal</v>
      </c>
    </row>
    <row r="1361" ht="18.75" customHeight="1">
      <c r="A1361" s="80" t="s">
        <v>314</v>
      </c>
      <c r="B1361" s="81" t="str">
        <f t="shared" si="1"/>
        <v>Kota Jayapura</v>
      </c>
      <c r="C1361" s="81" t="str">
        <f t="array" ref="C1361">XLOOKUP(B1361,Reference!$A$2:$A$152,Reference!$B$2:$B$152)</f>
        <v>Papua</v>
      </c>
      <c r="D1361" s="82" t="s">
        <v>1800</v>
      </c>
      <c r="E1361" s="83">
        <v>45323.0</v>
      </c>
      <c r="F1361" s="84" t="str">
        <f t="array" ref="F1361">XLOOKUP(G1361,Reference!$F:$F,Reference!$D:$D,"null")</f>
        <v>Makanan dan Pakaian </v>
      </c>
      <c r="G1361" s="85" t="s">
        <v>72</v>
      </c>
      <c r="H1361" s="86">
        <v>98.48</v>
      </c>
      <c r="I1361" s="86">
        <v>98.48</v>
      </c>
      <c r="J1361" s="87">
        <f t="shared" si="2"/>
        <v>0</v>
      </c>
      <c r="K1361" s="84" t="str">
        <f t="shared" si="3"/>
        <v>Stabil</v>
      </c>
      <c r="L1361" s="84">
        <f t="shared" si="4"/>
        <v>0</v>
      </c>
      <c r="M1361" s="88" t="str">
        <f t="shared" si="5"/>
        <v>Perubahan Normal</v>
      </c>
    </row>
    <row r="1362" ht="18.75" customHeight="1">
      <c r="A1362" s="80" t="s">
        <v>364</v>
      </c>
      <c r="B1362" s="81" t="str">
        <f t="shared" si="1"/>
        <v>Kab Tanah Laut</v>
      </c>
      <c r="C1362" s="81" t="str">
        <f t="array" ref="C1362">XLOOKUP(B1362,Reference!$A$2:$A$152,Reference!$B$2:$B$152)</f>
        <v>Kalimantan Selatan</v>
      </c>
      <c r="D1362" s="82" t="s">
        <v>1801</v>
      </c>
      <c r="E1362" s="83">
        <v>45352.0</v>
      </c>
      <c r="F1362" s="84" t="str">
        <f t="array" ref="F1362">XLOOKUP(G1362,Reference!$F:$F,Reference!$D:$D,"null")</f>
        <v>Rumah Tangga</v>
      </c>
      <c r="G1362" s="85" t="s">
        <v>80</v>
      </c>
      <c r="H1362" s="86">
        <v>103.32</v>
      </c>
      <c r="I1362" s="86">
        <v>103.32</v>
      </c>
      <c r="J1362" s="87">
        <f t="shared" si="2"/>
        <v>0</v>
      </c>
      <c r="K1362" s="84" t="str">
        <f t="shared" si="3"/>
        <v>Stabil</v>
      </c>
      <c r="L1362" s="84">
        <f t="shared" si="4"/>
        <v>0</v>
      </c>
      <c r="M1362" s="88" t="str">
        <f t="shared" si="5"/>
        <v>Perubahan Normal</v>
      </c>
    </row>
    <row r="1363" ht="18.75" customHeight="1">
      <c r="A1363" s="80" t="s">
        <v>466</v>
      </c>
      <c r="B1363" s="81" t="str">
        <f t="shared" si="1"/>
        <v>Kota Surabaya</v>
      </c>
      <c r="C1363" s="81" t="str">
        <f t="array" ref="C1363">XLOOKUP(B1363,Reference!$A$2:$A$152,Reference!$B$2:$B$152)</f>
        <v>Jawa Timur</v>
      </c>
      <c r="D1363" s="82" t="s">
        <v>1802</v>
      </c>
      <c r="E1363" s="83">
        <v>45352.0</v>
      </c>
      <c r="F1363" s="84" t="str">
        <f t="array" ref="F1363">XLOOKUP(G1363,Reference!$F:$F,Reference!$D:$D,"null")</f>
        <v>Rumah Tangga</v>
      </c>
      <c r="G1363" s="85" t="s">
        <v>89</v>
      </c>
      <c r="H1363" s="86">
        <v>103.9</v>
      </c>
      <c r="I1363" s="86">
        <v>103.9</v>
      </c>
      <c r="J1363" s="87">
        <f t="shared" si="2"/>
        <v>0</v>
      </c>
      <c r="K1363" s="84" t="str">
        <f t="shared" si="3"/>
        <v>Stabil</v>
      </c>
      <c r="L1363" s="84">
        <f t="shared" si="4"/>
        <v>0</v>
      </c>
      <c r="M1363" s="88" t="str">
        <f t="shared" si="5"/>
        <v>Perubahan Normal</v>
      </c>
    </row>
    <row r="1364" ht="18.75" customHeight="1">
      <c r="A1364" s="80" t="s">
        <v>488</v>
      </c>
      <c r="B1364" s="81" t="str">
        <f t="shared" si="1"/>
        <v>Kab Muko Muko</v>
      </c>
      <c r="C1364" s="81" t="str">
        <f t="array" ref="C1364">XLOOKUP(B1364,Reference!$A$2:$A$152,Reference!$B$2:$B$152)</f>
        <v>Bengkulu</v>
      </c>
      <c r="D1364" s="82" t="s">
        <v>1803</v>
      </c>
      <c r="E1364" s="83">
        <v>45352.0</v>
      </c>
      <c r="F1364" s="84" t="str">
        <f t="array" ref="F1364">XLOOKUP(G1364,Reference!$F:$F,Reference!$D:$D,"null")</f>
        <v>Rumah Tangga</v>
      </c>
      <c r="G1364" s="85" t="s">
        <v>84</v>
      </c>
      <c r="H1364" s="86">
        <v>102.87</v>
      </c>
      <c r="I1364" s="86">
        <v>102.78</v>
      </c>
      <c r="J1364" s="87">
        <f t="shared" si="2"/>
        <v>0.08756567426</v>
      </c>
      <c r="K1364" s="84" t="str">
        <f t="shared" si="3"/>
        <v>Inflasi Normal</v>
      </c>
      <c r="L1364" s="84">
        <f t="shared" si="4"/>
        <v>0.09</v>
      </c>
      <c r="M1364" s="88" t="str">
        <f t="shared" si="5"/>
        <v>Perubahan Normal</v>
      </c>
    </row>
    <row r="1365" ht="18.75" customHeight="1">
      <c r="A1365" s="80" t="s">
        <v>372</v>
      </c>
      <c r="B1365" s="81" t="str">
        <f t="shared" si="1"/>
        <v>Kota Tanjung Pinang</v>
      </c>
      <c r="C1365" s="81" t="str">
        <f t="array" ref="C1365">XLOOKUP(B1365,Reference!$A$2:$A$152,Reference!$B$2:$B$152)</f>
        <v>Kepulauan Riau</v>
      </c>
      <c r="D1365" s="82" t="s">
        <v>1804</v>
      </c>
      <c r="E1365" s="83">
        <v>45352.0</v>
      </c>
      <c r="F1365" s="84" t="str">
        <f t="array" ref="F1365">XLOOKUP(G1365,Reference!$F:$F,Reference!$D:$D,"null")</f>
        <v>Makanan dan Pakaian </v>
      </c>
      <c r="G1365" s="85" t="s">
        <v>56</v>
      </c>
      <c r="H1365" s="86">
        <v>102.92</v>
      </c>
      <c r="I1365" s="86">
        <v>102.23</v>
      </c>
      <c r="J1365" s="87">
        <f t="shared" si="2"/>
        <v>0.6749486452</v>
      </c>
      <c r="K1365" s="84" t="str">
        <f t="shared" si="3"/>
        <v>Inflasi Tinggi</v>
      </c>
      <c r="L1365" s="84">
        <f t="shared" si="4"/>
        <v>0.69</v>
      </c>
      <c r="M1365" s="88" t="str">
        <f t="shared" si="5"/>
        <v>Akselerasi Persentase</v>
      </c>
    </row>
    <row r="1366" ht="18.75" customHeight="1">
      <c r="A1366" s="80" t="s">
        <v>312</v>
      </c>
      <c r="B1366" s="81" t="str">
        <f t="shared" si="1"/>
        <v>Kab Jayawijaya</v>
      </c>
      <c r="C1366" s="81" t="str">
        <f t="array" ref="C1366">XLOOKUP(B1366,Reference!$A$2:$A$152,Reference!$B$2:$B$152)</f>
        <v>Papua</v>
      </c>
      <c r="D1366" s="82" t="s">
        <v>1805</v>
      </c>
      <c r="E1366" s="83">
        <v>45352.0</v>
      </c>
      <c r="F1366" s="84" t="str">
        <f t="array" ref="F1366">XLOOKUP(G1366,Reference!$F:$F,Reference!$D:$D,"null")</f>
        <v>Makanan dan Pakaian </v>
      </c>
      <c r="G1366" s="85" t="s">
        <v>72</v>
      </c>
      <c r="H1366" s="86">
        <v>98.63</v>
      </c>
      <c r="I1366" s="86">
        <v>98.63</v>
      </c>
      <c r="J1366" s="87">
        <f t="shared" si="2"/>
        <v>0</v>
      </c>
      <c r="K1366" s="84" t="str">
        <f t="shared" si="3"/>
        <v>Stabil</v>
      </c>
      <c r="L1366" s="84">
        <f t="shared" si="4"/>
        <v>0</v>
      </c>
      <c r="M1366" s="88" t="str">
        <f t="shared" si="5"/>
        <v>Perubahan Normal</v>
      </c>
    </row>
    <row r="1367" ht="18.75" customHeight="1">
      <c r="A1367" s="80" t="s">
        <v>508</v>
      </c>
      <c r="B1367" s="81" t="str">
        <f t="shared" si="1"/>
        <v>Kab Minahasa Selatan</v>
      </c>
      <c r="C1367" s="81" t="str">
        <f t="array" ref="C1367">XLOOKUP(B1367,Reference!$A$2:$A$152,Reference!$B$2:$B$152)</f>
        <v>Sulawesi Utara</v>
      </c>
      <c r="D1367" s="82" t="s">
        <v>1806</v>
      </c>
      <c r="E1367" s="83">
        <v>45323.0</v>
      </c>
      <c r="F1367" s="84" t="str">
        <f t="array" ref="F1367">XLOOKUP(G1367,Reference!$F:$F,Reference!$D:$D,"null")</f>
        <v>Makanan dan Pakaian </v>
      </c>
      <c r="G1367" s="89" t="s">
        <v>48</v>
      </c>
      <c r="H1367" s="90">
        <v>112.47</v>
      </c>
      <c r="I1367" s="90">
        <v>115.84</v>
      </c>
      <c r="J1367" s="87">
        <f t="shared" si="2"/>
        <v>-2.909185083</v>
      </c>
      <c r="K1367" s="84" t="str">
        <f t="shared" si="3"/>
        <v>Deflasi</v>
      </c>
      <c r="L1367" s="91">
        <f t="shared" si="4"/>
        <v>-3.37</v>
      </c>
      <c r="M1367" s="88" t="str">
        <f t="shared" si="5"/>
        <v>Perubahan Normal</v>
      </c>
    </row>
    <row r="1368" ht="18.75" customHeight="1">
      <c r="A1368" s="80" t="s">
        <v>300</v>
      </c>
      <c r="B1368" s="81" t="str">
        <f t="shared" si="1"/>
        <v>Sintang</v>
      </c>
      <c r="C1368" s="81" t="str">
        <f t="array" ref="C1368">XLOOKUP(B1368,Reference!$A$2:$A$152,Reference!$B$2:$B$152)</f>
        <v>Kalimantan Barat</v>
      </c>
      <c r="D1368" s="82" t="s">
        <v>1807</v>
      </c>
      <c r="E1368" s="83">
        <v>45323.0</v>
      </c>
      <c r="F1368" s="84" t="str">
        <f t="array" ref="F1368">XLOOKUP(G1368,Reference!$F:$F,Reference!$D:$D,"null")</f>
        <v>Pendidikan dan Kesehatan</v>
      </c>
      <c r="G1368" s="85" t="s">
        <v>95</v>
      </c>
      <c r="H1368" s="86">
        <v>101.05</v>
      </c>
      <c r="I1368" s="86">
        <v>101.05</v>
      </c>
      <c r="J1368" s="87">
        <f t="shared" si="2"/>
        <v>0</v>
      </c>
      <c r="K1368" s="84" t="str">
        <f t="shared" si="3"/>
        <v>Stabil</v>
      </c>
      <c r="L1368" s="84">
        <f t="shared" si="4"/>
        <v>0</v>
      </c>
      <c r="M1368" s="88" t="str">
        <f t="shared" si="5"/>
        <v>Perubahan Normal</v>
      </c>
    </row>
    <row r="1369" ht="18.75" customHeight="1">
      <c r="A1369" s="80" t="s">
        <v>905</v>
      </c>
      <c r="B1369" s="81" t="str">
        <f t="shared" si="1"/>
        <v>Kota Ambon</v>
      </c>
      <c r="C1369" s="81" t="str">
        <f t="array" ref="C1369">XLOOKUP(B1369,Reference!$A$2:$A$152,Reference!$B$2:$B$152)</f>
        <v>Maluku</v>
      </c>
      <c r="D1369" s="82" t="s">
        <v>1808</v>
      </c>
      <c r="E1369" s="83">
        <v>45352.0</v>
      </c>
      <c r="F1369" s="84" t="str">
        <f t="array" ref="F1369">XLOOKUP(G1369,Reference!$F:$F,Reference!$D:$D,"null")</f>
        <v>Rumah Tangga</v>
      </c>
      <c r="G1369" s="85" t="s">
        <v>84</v>
      </c>
      <c r="H1369" s="86">
        <v>103.07</v>
      </c>
      <c r="I1369" s="86">
        <v>102.6</v>
      </c>
      <c r="J1369" s="87">
        <f t="shared" si="2"/>
        <v>0.4580896686</v>
      </c>
      <c r="K1369" s="84" t="str">
        <f t="shared" si="3"/>
        <v>Inflasi Normal</v>
      </c>
      <c r="L1369" s="84">
        <f t="shared" si="4"/>
        <v>0.47</v>
      </c>
      <c r="M1369" s="88" t="str">
        <f t="shared" si="5"/>
        <v>Perubahan Normal</v>
      </c>
    </row>
    <row r="1370" ht="18.75" customHeight="1">
      <c r="A1370" s="80" t="s">
        <v>485</v>
      </c>
      <c r="B1370" s="81" t="str">
        <f t="shared" si="1"/>
        <v>Banyuwangi</v>
      </c>
      <c r="C1370" s="81" t="str">
        <f t="array" ref="C1370">XLOOKUP(B1370,Reference!$A$2:$A$152,Reference!$B$2:$B$152)</f>
        <v>Jawa Timur</v>
      </c>
      <c r="D1370" s="82" t="s">
        <v>1809</v>
      </c>
      <c r="E1370" s="83">
        <v>45352.0</v>
      </c>
      <c r="F1370" s="84" t="str">
        <f t="array" ref="F1370">XLOOKUP(G1370,Reference!$F:$F,Reference!$D:$D,"null")</f>
        <v>Makanan dan Pakaian </v>
      </c>
      <c r="G1370" s="85" t="s">
        <v>56</v>
      </c>
      <c r="H1370" s="86">
        <v>103.75</v>
      </c>
      <c r="I1370" s="86">
        <v>103.75</v>
      </c>
      <c r="J1370" s="87">
        <f t="shared" si="2"/>
        <v>0</v>
      </c>
      <c r="K1370" s="84" t="str">
        <f t="shared" si="3"/>
        <v>Stabil</v>
      </c>
      <c r="L1370" s="84">
        <f t="shared" si="4"/>
        <v>0</v>
      </c>
      <c r="M1370" s="88" t="str">
        <f t="shared" si="5"/>
        <v>Perubahan Normal</v>
      </c>
    </row>
    <row r="1371" ht="18.75" customHeight="1">
      <c r="A1371" s="80" t="s">
        <v>358</v>
      </c>
      <c r="B1371" s="81" t="str">
        <f t="shared" si="1"/>
        <v>Kab Minahasa Utara</v>
      </c>
      <c r="C1371" s="81" t="str">
        <f t="array" ref="C1371">XLOOKUP(B1371,Reference!$A$2:$A$152,Reference!$B$2:$B$152)</f>
        <v>Sulawesi Utara</v>
      </c>
      <c r="D1371" s="82" t="s">
        <v>1810</v>
      </c>
      <c r="E1371" s="83">
        <v>45323.0</v>
      </c>
      <c r="F1371" s="84" t="str">
        <f t="array" ref="F1371">XLOOKUP(G1371,Reference!$F:$F,Reference!$D:$D,"null")</f>
        <v>Makanan dan Pakaian </v>
      </c>
      <c r="G1371" s="85" t="s">
        <v>72</v>
      </c>
      <c r="H1371" s="86">
        <v>114.71</v>
      </c>
      <c r="I1371" s="86">
        <v>114.71</v>
      </c>
      <c r="J1371" s="87">
        <f t="shared" si="2"/>
        <v>0</v>
      </c>
      <c r="K1371" s="84" t="str">
        <f t="shared" si="3"/>
        <v>Stabil</v>
      </c>
      <c r="L1371" s="84">
        <f t="shared" si="4"/>
        <v>0</v>
      </c>
      <c r="M1371" s="88" t="str">
        <f t="shared" si="5"/>
        <v>Perubahan Normal</v>
      </c>
    </row>
    <row r="1372" ht="18.75" customHeight="1">
      <c r="A1372" s="80" t="s">
        <v>404</v>
      </c>
      <c r="B1372" s="81" t="str">
        <f t="shared" si="1"/>
        <v>Kab Mesuji</v>
      </c>
      <c r="C1372" s="81" t="str">
        <f t="array" ref="C1372">XLOOKUP(B1372,Reference!$A$2:$A$152,Reference!$B$2:$B$152)</f>
        <v>Lampung</v>
      </c>
      <c r="D1372" s="82" t="s">
        <v>1811</v>
      </c>
      <c r="E1372" s="83">
        <v>45352.0</v>
      </c>
      <c r="F1372" s="84" t="str">
        <f t="array" ref="F1372">XLOOKUP(G1372,Reference!$F:$F,Reference!$D:$D,"null")</f>
        <v>Rumah Tangga</v>
      </c>
      <c r="G1372" s="85" t="s">
        <v>89</v>
      </c>
      <c r="H1372" s="86">
        <v>100.66</v>
      </c>
      <c r="I1372" s="86">
        <v>100.66</v>
      </c>
      <c r="J1372" s="87">
        <f t="shared" si="2"/>
        <v>0</v>
      </c>
      <c r="K1372" s="84" t="str">
        <f t="shared" si="3"/>
        <v>Stabil</v>
      </c>
      <c r="L1372" s="84">
        <f t="shared" si="4"/>
        <v>0</v>
      </c>
      <c r="M1372" s="88" t="str">
        <f t="shared" si="5"/>
        <v>Perubahan Normal</v>
      </c>
    </row>
    <row r="1373" ht="18.75" customHeight="1">
      <c r="A1373" s="80" t="s">
        <v>349</v>
      </c>
      <c r="B1373" s="81" t="str">
        <f t="shared" si="1"/>
        <v>Kota Banjarmasin</v>
      </c>
      <c r="C1373" s="81" t="str">
        <f t="array" ref="C1373">XLOOKUP(B1373,Reference!$A$2:$A$152,Reference!$B$2:$B$152)</f>
        <v>Kalimantan Selatan</v>
      </c>
      <c r="D1373" s="82" t="s">
        <v>1812</v>
      </c>
      <c r="E1373" s="83">
        <v>45323.0</v>
      </c>
      <c r="F1373" s="84" t="str">
        <f t="array" ref="F1373">XLOOKUP(G1373,Reference!$F:$F,Reference!$D:$D,"null")</f>
        <v>Pendidikan dan Kesehatan</v>
      </c>
      <c r="G1373" s="85" t="s">
        <v>98</v>
      </c>
      <c r="H1373" s="86">
        <v>101.04</v>
      </c>
      <c r="I1373" s="86">
        <v>101.36</v>
      </c>
      <c r="J1373" s="87">
        <f t="shared" si="2"/>
        <v>-0.3157063931</v>
      </c>
      <c r="K1373" s="84" t="str">
        <f t="shared" si="3"/>
        <v>Deflasi</v>
      </c>
      <c r="L1373" s="84">
        <f t="shared" si="4"/>
        <v>-0.32</v>
      </c>
      <c r="M1373" s="88" t="str">
        <f t="shared" si="5"/>
        <v>Perubahan Normal</v>
      </c>
    </row>
    <row r="1374" ht="18.75" customHeight="1">
      <c r="A1374" s="80" t="s">
        <v>329</v>
      </c>
      <c r="B1374" s="81" t="str">
        <f t="shared" si="1"/>
        <v>Kab Penajam Paser Utara</v>
      </c>
      <c r="C1374" s="81" t="str">
        <f t="array" ref="C1374">XLOOKUP(B1374,Reference!$A$2:$A$152,Reference!$B$2:$B$152)</f>
        <v>Kalimantan Timur</v>
      </c>
      <c r="D1374" s="82" t="s">
        <v>1813</v>
      </c>
      <c r="E1374" s="83">
        <v>45323.0</v>
      </c>
      <c r="F1374" s="84" t="str">
        <f t="array" ref="F1374">XLOOKUP(G1374,Reference!$F:$F,Reference!$D:$D,"null")</f>
        <v>Makanan dan Pakaian </v>
      </c>
      <c r="G1374" s="85" t="s">
        <v>56</v>
      </c>
      <c r="H1374" s="86">
        <v>92.41</v>
      </c>
      <c r="I1374" s="86">
        <v>92.41</v>
      </c>
      <c r="J1374" s="87">
        <f t="shared" si="2"/>
        <v>0</v>
      </c>
      <c r="K1374" s="84" t="str">
        <f t="shared" si="3"/>
        <v>Stabil</v>
      </c>
      <c r="L1374" s="84">
        <f t="shared" si="4"/>
        <v>0</v>
      </c>
      <c r="M1374" s="88" t="str">
        <f t="shared" si="5"/>
        <v>Perubahan Normal</v>
      </c>
    </row>
    <row r="1375" ht="18.75" customHeight="1">
      <c r="A1375" s="80" t="s">
        <v>412</v>
      </c>
      <c r="B1375" s="81" t="str">
        <f t="shared" si="1"/>
        <v>Cilacap</v>
      </c>
      <c r="C1375" s="81" t="str">
        <f t="array" ref="C1375">XLOOKUP(B1375,Reference!$A$2:$A$152,Reference!$B$2:$B$152)</f>
        <v>Jawa Tengah</v>
      </c>
      <c r="D1375" s="82" t="s">
        <v>1814</v>
      </c>
      <c r="E1375" s="83">
        <v>45323.0</v>
      </c>
      <c r="F1375" s="84" t="str">
        <f t="array" ref="F1375">XLOOKUP(G1375,Reference!$F:$F,Reference!$D:$D,"null")</f>
        <v>Rekreasi dan Kendaraan</v>
      </c>
      <c r="G1375" s="85" t="s">
        <v>102</v>
      </c>
      <c r="H1375" s="86">
        <v>102.88</v>
      </c>
      <c r="I1375" s="86">
        <v>102.89</v>
      </c>
      <c r="J1375" s="87">
        <f t="shared" si="2"/>
        <v>-0.009719117504</v>
      </c>
      <c r="K1375" s="84" t="str">
        <f t="shared" si="3"/>
        <v>Deflasi</v>
      </c>
      <c r="L1375" s="84">
        <f t="shared" si="4"/>
        <v>-0.01</v>
      </c>
      <c r="M1375" s="88" t="str">
        <f t="shared" si="5"/>
        <v>Perubahan Normal</v>
      </c>
    </row>
    <row r="1376" ht="18.75" customHeight="1">
      <c r="A1376" s="80" t="s">
        <v>304</v>
      </c>
      <c r="B1376" s="81" t="str">
        <f t="shared" si="1"/>
        <v>Kota Kediri</v>
      </c>
      <c r="C1376" s="81" t="str">
        <f t="array" ref="C1376">XLOOKUP(B1376,Reference!$A$2:$A$152,Reference!$B$2:$B$152)</f>
        <v>Jawa Timur</v>
      </c>
      <c r="D1376" s="82" t="s">
        <v>1815</v>
      </c>
      <c r="E1376" s="83">
        <v>45352.0</v>
      </c>
      <c r="F1376" s="84" t="str">
        <f t="array" ref="F1376">XLOOKUP(G1376,Reference!$F:$F,Reference!$D:$D,"null")</f>
        <v>Pendidikan dan Kesehatan</v>
      </c>
      <c r="G1376" s="85" t="s">
        <v>98</v>
      </c>
      <c r="H1376" s="86">
        <v>100.24</v>
      </c>
      <c r="I1376" s="86">
        <v>100.24</v>
      </c>
      <c r="J1376" s="87">
        <f t="shared" si="2"/>
        <v>0</v>
      </c>
      <c r="K1376" s="84" t="str">
        <f t="shared" si="3"/>
        <v>Stabil</v>
      </c>
      <c r="L1376" s="84">
        <f t="shared" si="4"/>
        <v>0</v>
      </c>
      <c r="M1376" s="88" t="str">
        <f t="shared" si="5"/>
        <v>Perubahan Normal</v>
      </c>
    </row>
    <row r="1377" ht="18.75" customHeight="1">
      <c r="A1377" s="80" t="s">
        <v>445</v>
      </c>
      <c r="B1377" s="81" t="str">
        <f t="shared" si="1"/>
        <v>Kab Bangka Barat</v>
      </c>
      <c r="C1377" s="81" t="str">
        <f t="array" ref="C1377">XLOOKUP(B1377,Reference!$A$2:$A$152,Reference!$B$2:$B$152)</f>
        <v>Kepulauan Bangka Belitung</v>
      </c>
      <c r="D1377" s="82" t="s">
        <v>1816</v>
      </c>
      <c r="E1377" s="83">
        <v>45352.0</v>
      </c>
      <c r="F1377" s="84" t="str">
        <f t="array" ref="F1377">XLOOKUP(G1377,Reference!$F:$F,Reference!$D:$D,"null")</f>
        <v>Rumah Tangga</v>
      </c>
      <c r="G1377" s="89" t="s">
        <v>84</v>
      </c>
      <c r="H1377" s="90">
        <v>101.69</v>
      </c>
      <c r="I1377" s="90">
        <v>101.69</v>
      </c>
      <c r="J1377" s="87">
        <f t="shared" si="2"/>
        <v>0</v>
      </c>
      <c r="K1377" s="84" t="str">
        <f t="shared" si="3"/>
        <v>Stabil</v>
      </c>
      <c r="L1377" s="91">
        <f t="shared" si="4"/>
        <v>0</v>
      </c>
      <c r="M1377" s="88" t="str">
        <f t="shared" si="5"/>
        <v>Perubahan Normal</v>
      </c>
    </row>
    <row r="1378" ht="18.75" customHeight="1">
      <c r="A1378" s="80" t="s">
        <v>374</v>
      </c>
      <c r="B1378" s="81" t="str">
        <f t="shared" si="1"/>
        <v>Kab Majalengka</v>
      </c>
      <c r="C1378" s="81" t="str">
        <f t="array" ref="C1378">XLOOKUP(B1378,Reference!$A$2:$A$152,Reference!$B$2:$B$152)</f>
        <v>Jawa Barat</v>
      </c>
      <c r="D1378" s="82" t="s">
        <v>1817</v>
      </c>
      <c r="E1378" s="83">
        <v>45323.0</v>
      </c>
      <c r="F1378" s="84" t="str">
        <f t="array" ref="F1378">XLOOKUP(G1378,Reference!$F:$F,Reference!$D:$D,"null")</f>
        <v>Pendidikan dan Kesehatan</v>
      </c>
      <c r="G1378" s="85" t="s">
        <v>98</v>
      </c>
      <c r="H1378" s="86">
        <v>103.37</v>
      </c>
      <c r="I1378" s="86">
        <v>102.73</v>
      </c>
      <c r="J1378" s="87">
        <f t="shared" si="2"/>
        <v>0.6229923099</v>
      </c>
      <c r="K1378" s="84" t="str">
        <f t="shared" si="3"/>
        <v>Inflasi Tinggi</v>
      </c>
      <c r="L1378" s="84">
        <f t="shared" si="4"/>
        <v>0.64</v>
      </c>
      <c r="M1378" s="88" t="str">
        <f t="shared" si="5"/>
        <v>Akselerasi Persentase</v>
      </c>
    </row>
    <row r="1379" ht="18.75" customHeight="1">
      <c r="A1379" s="80" t="s">
        <v>634</v>
      </c>
      <c r="B1379" s="81" t="str">
        <f t="shared" si="1"/>
        <v>Kota Depok</v>
      </c>
      <c r="C1379" s="81" t="str">
        <f t="array" ref="C1379">XLOOKUP(B1379,Reference!$A$2:$A$152,Reference!$B$2:$B$152)</f>
        <v>Jawa Barat</v>
      </c>
      <c r="D1379" s="82" t="s">
        <v>1818</v>
      </c>
      <c r="E1379" s="83">
        <v>45323.0</v>
      </c>
      <c r="F1379" s="84" t="str">
        <f t="array" ref="F1379">XLOOKUP(G1379,Reference!$F:$F,Reference!$D:$D,"null")</f>
        <v>Makanan dan Pakaian </v>
      </c>
      <c r="G1379" s="85" t="s">
        <v>48</v>
      </c>
      <c r="H1379" s="86">
        <v>110.25</v>
      </c>
      <c r="I1379" s="86">
        <v>107.87</v>
      </c>
      <c r="J1379" s="87">
        <f t="shared" si="2"/>
        <v>2.206359507</v>
      </c>
      <c r="K1379" s="84" t="str">
        <f t="shared" si="3"/>
        <v>Inflasi Tinggi</v>
      </c>
      <c r="L1379" s="84">
        <f t="shared" si="4"/>
        <v>2.38</v>
      </c>
      <c r="M1379" s="88" t="str">
        <f t="shared" si="5"/>
        <v>Akselerasi Kuat</v>
      </c>
    </row>
    <row r="1380" ht="18.75" customHeight="1">
      <c r="A1380" s="80" t="s">
        <v>740</v>
      </c>
      <c r="B1380" s="81" t="str">
        <f t="shared" si="1"/>
        <v>Kota Gunungsitoli</v>
      </c>
      <c r="C1380" s="81" t="str">
        <f t="array" ref="C1380">XLOOKUP(B1380,Reference!$A$2:$A$152,Reference!$B$2:$B$152)</f>
        <v>Sumatera Utara</v>
      </c>
      <c r="D1380" s="82" t="s">
        <v>1819</v>
      </c>
      <c r="E1380" s="83">
        <v>45323.0</v>
      </c>
      <c r="F1380" s="84" t="str">
        <f t="array" ref="F1380">XLOOKUP(G1380,Reference!$F:$F,Reference!$D:$D,"null")</f>
        <v>Pendidikan dan Kesehatan</v>
      </c>
      <c r="G1380" s="85" t="s">
        <v>95</v>
      </c>
      <c r="H1380" s="86">
        <v>102.2</v>
      </c>
      <c r="I1380" s="86">
        <v>102.2</v>
      </c>
      <c r="J1380" s="87">
        <f t="shared" si="2"/>
        <v>0</v>
      </c>
      <c r="K1380" s="84" t="str">
        <f t="shared" si="3"/>
        <v>Stabil</v>
      </c>
      <c r="L1380" s="84">
        <f t="shared" si="4"/>
        <v>0</v>
      </c>
      <c r="M1380" s="88" t="str">
        <f t="shared" si="5"/>
        <v>Perubahan Normal</v>
      </c>
    </row>
    <row r="1381" ht="18.75" customHeight="1">
      <c r="A1381" s="80" t="s">
        <v>412</v>
      </c>
      <c r="B1381" s="81" t="str">
        <f t="shared" si="1"/>
        <v>Cilacap</v>
      </c>
      <c r="C1381" s="81" t="str">
        <f t="array" ref="C1381">XLOOKUP(B1381,Reference!$A$2:$A$152,Reference!$B$2:$B$152)</f>
        <v>Jawa Tengah</v>
      </c>
      <c r="D1381" s="82" t="s">
        <v>1820</v>
      </c>
      <c r="E1381" s="83">
        <v>45352.0</v>
      </c>
      <c r="F1381" s="84" t="str">
        <f t="array" ref="F1381">XLOOKUP(G1381,Reference!$F:$F,Reference!$D:$D,"null")</f>
        <v>Pendidikan dan Kesehatan</v>
      </c>
      <c r="G1381" s="85" t="s">
        <v>95</v>
      </c>
      <c r="H1381" s="86">
        <v>102.22</v>
      </c>
      <c r="I1381" s="86">
        <v>102.22</v>
      </c>
      <c r="J1381" s="87">
        <f t="shared" si="2"/>
        <v>0</v>
      </c>
      <c r="K1381" s="84" t="str">
        <f t="shared" si="3"/>
        <v>Stabil</v>
      </c>
      <c r="L1381" s="84">
        <f t="shared" si="4"/>
        <v>0</v>
      </c>
      <c r="M1381" s="88" t="str">
        <f t="shared" si="5"/>
        <v>Perubahan Normal</v>
      </c>
    </row>
    <row r="1382" ht="18.75" customHeight="1">
      <c r="A1382" s="80" t="s">
        <v>340</v>
      </c>
      <c r="B1382" s="81" t="str">
        <f t="shared" si="1"/>
        <v>Kab Rembang</v>
      </c>
      <c r="C1382" s="81" t="str">
        <f t="array" ref="C1382">XLOOKUP(B1382,Reference!$A$2:$A$152,Reference!$B$2:$B$152)</f>
        <v>Jawa Tengah</v>
      </c>
      <c r="D1382" s="82" t="s">
        <v>1821</v>
      </c>
      <c r="E1382" s="83">
        <v>45352.0</v>
      </c>
      <c r="F1382" s="84" t="str">
        <f t="array" ref="F1382">XLOOKUP(G1382,Reference!$F:$F,Reference!$D:$D,"null")</f>
        <v>Makanan dan Pakaian </v>
      </c>
      <c r="G1382" s="85" t="s">
        <v>48</v>
      </c>
      <c r="H1382" s="86">
        <v>116.14</v>
      </c>
      <c r="I1382" s="86">
        <v>115.44</v>
      </c>
      <c r="J1382" s="87">
        <f t="shared" si="2"/>
        <v>0.6063756064</v>
      </c>
      <c r="K1382" s="84" t="str">
        <f t="shared" si="3"/>
        <v>Inflasi Tinggi</v>
      </c>
      <c r="L1382" s="84">
        <f t="shared" si="4"/>
        <v>0.7</v>
      </c>
      <c r="M1382" s="88" t="str">
        <f t="shared" si="5"/>
        <v>Akselerasi Persentase</v>
      </c>
    </row>
    <row r="1383" ht="18.75" customHeight="1">
      <c r="A1383" s="80" t="s">
        <v>524</v>
      </c>
      <c r="B1383" s="81" t="str">
        <f t="shared" si="1"/>
        <v>Kudus</v>
      </c>
      <c r="C1383" s="81" t="str">
        <f t="array" ref="C1383">XLOOKUP(B1383,Reference!$A$2:$A$152,Reference!$B$2:$B$152)</f>
        <v>Jawa Tengah</v>
      </c>
      <c r="D1383" s="82" t="s">
        <v>1822</v>
      </c>
      <c r="E1383" s="83">
        <v>45323.0</v>
      </c>
      <c r="F1383" s="84" t="str">
        <f t="array" ref="F1383">XLOOKUP(G1383,Reference!$F:$F,Reference!$D:$D,"null")</f>
        <v>Pendidikan dan Kesehatan</v>
      </c>
      <c r="G1383" s="85" t="s">
        <v>95</v>
      </c>
      <c r="H1383" s="86">
        <v>106.7</v>
      </c>
      <c r="I1383" s="86">
        <v>106.7</v>
      </c>
      <c r="J1383" s="87">
        <f t="shared" si="2"/>
        <v>0</v>
      </c>
      <c r="K1383" s="84" t="str">
        <f t="shared" si="3"/>
        <v>Stabil</v>
      </c>
      <c r="L1383" s="84">
        <f t="shared" si="4"/>
        <v>0</v>
      </c>
      <c r="M1383" s="88" t="str">
        <f t="shared" si="5"/>
        <v>Perubahan Normal</v>
      </c>
    </row>
    <row r="1384" ht="18.75" customHeight="1">
      <c r="A1384" s="80" t="s">
        <v>706</v>
      </c>
      <c r="B1384" s="81" t="str">
        <f t="shared" si="1"/>
        <v>Kota Makassar</v>
      </c>
      <c r="C1384" s="81" t="str">
        <f t="array" ref="C1384">XLOOKUP(B1384,Reference!$A$2:$A$152,Reference!$B$2:$B$152)</f>
        <v>Sulawesi Selatan</v>
      </c>
      <c r="D1384" s="82" t="s">
        <v>1823</v>
      </c>
      <c r="E1384" s="83">
        <v>45323.0</v>
      </c>
      <c r="F1384" s="84" t="str">
        <f t="array" ref="F1384">XLOOKUP(G1384,Reference!$F:$F,Reference!$D:$D,"null")</f>
        <v>Makanan dan Pakaian </v>
      </c>
      <c r="G1384" s="89" t="s">
        <v>72</v>
      </c>
      <c r="H1384" s="90">
        <v>103.82</v>
      </c>
      <c r="I1384" s="90">
        <v>103.37</v>
      </c>
      <c r="J1384" s="87">
        <f t="shared" si="2"/>
        <v>0.4353293992</v>
      </c>
      <c r="K1384" s="84" t="str">
        <f t="shared" si="3"/>
        <v>Inflasi Normal</v>
      </c>
      <c r="L1384" s="91">
        <f t="shared" si="4"/>
        <v>0.45</v>
      </c>
      <c r="M1384" s="88" t="str">
        <f t="shared" si="5"/>
        <v>Perubahan Normal</v>
      </c>
    </row>
    <row r="1385" ht="18.75" customHeight="1">
      <c r="A1385" s="80" t="s">
        <v>505</v>
      </c>
      <c r="B1385" s="81" t="str">
        <f t="shared" si="1"/>
        <v>Kota Denpasar</v>
      </c>
      <c r="C1385" s="81" t="str">
        <f t="array" ref="C1385">XLOOKUP(B1385,Reference!$A$2:$A$152,Reference!$B$2:$B$152)</f>
        <v>Bali</v>
      </c>
      <c r="D1385" s="82" t="s">
        <v>1824</v>
      </c>
      <c r="E1385" s="83">
        <v>45323.0</v>
      </c>
      <c r="F1385" s="84" t="str">
        <f t="array" ref="F1385">XLOOKUP(G1385,Reference!$F:$F,Reference!$D:$D,"null")</f>
        <v>Makanan dan Pakaian </v>
      </c>
      <c r="G1385" s="89" t="s">
        <v>64</v>
      </c>
      <c r="H1385" s="90">
        <v>99.42</v>
      </c>
      <c r="I1385" s="90">
        <v>99.11</v>
      </c>
      <c r="J1385" s="87">
        <f t="shared" si="2"/>
        <v>0.3127837756</v>
      </c>
      <c r="K1385" s="84" t="str">
        <f t="shared" si="3"/>
        <v>Inflasi Normal</v>
      </c>
      <c r="L1385" s="91">
        <f t="shared" si="4"/>
        <v>0.31</v>
      </c>
      <c r="M1385" s="88" t="str">
        <f t="shared" si="5"/>
        <v>Perubahan Normal</v>
      </c>
    </row>
    <row r="1386" ht="18.75" customHeight="1">
      <c r="A1386" s="80" t="s">
        <v>764</v>
      </c>
      <c r="B1386" s="81" t="str">
        <f t="shared" si="1"/>
        <v>Kota Madiun</v>
      </c>
      <c r="C1386" s="81" t="str">
        <f t="array" ref="C1386">XLOOKUP(B1386,Reference!$A$2:$A$152,Reference!$B$2:$B$152)</f>
        <v>Jawa Timur</v>
      </c>
      <c r="D1386" s="82" t="s">
        <v>1825</v>
      </c>
      <c r="E1386" s="83">
        <v>45323.0</v>
      </c>
      <c r="F1386" s="84" t="str">
        <f t="array" ref="F1386">XLOOKUP(G1386,Reference!$F:$F,Reference!$D:$D,"null")</f>
        <v>Rumah Tangga</v>
      </c>
      <c r="G1386" s="85" t="s">
        <v>89</v>
      </c>
      <c r="H1386" s="86">
        <v>103.45</v>
      </c>
      <c r="I1386" s="86">
        <v>103.45</v>
      </c>
      <c r="J1386" s="87">
        <f t="shared" si="2"/>
        <v>0</v>
      </c>
      <c r="K1386" s="84" t="str">
        <f t="shared" si="3"/>
        <v>Stabil</v>
      </c>
      <c r="L1386" s="84">
        <f t="shared" si="4"/>
        <v>0</v>
      </c>
      <c r="M1386" s="88" t="str">
        <f t="shared" si="5"/>
        <v>Perubahan Normal</v>
      </c>
    </row>
    <row r="1387" ht="18.75" customHeight="1">
      <c r="A1387" s="80" t="s">
        <v>920</v>
      </c>
      <c r="B1387" s="81" t="str">
        <f t="shared" si="1"/>
        <v>Kab Deli Serdang</v>
      </c>
      <c r="C1387" s="81" t="str">
        <f t="array" ref="C1387">XLOOKUP(B1387,Reference!$A$2:$A$152,Reference!$B$2:$B$152)</f>
        <v>Sumatera Utara</v>
      </c>
      <c r="D1387" s="82" t="s">
        <v>1826</v>
      </c>
      <c r="E1387" s="83">
        <v>45323.0</v>
      </c>
      <c r="F1387" s="84" t="str">
        <f t="array" ref="F1387">XLOOKUP(G1387,Reference!$F:$F,Reference!$D:$D,"null")</f>
        <v>Rumah Tangga</v>
      </c>
      <c r="G1387" s="85" t="s">
        <v>89</v>
      </c>
      <c r="H1387" s="86">
        <v>100.0</v>
      </c>
      <c r="I1387" s="86">
        <v>100.0</v>
      </c>
      <c r="J1387" s="87">
        <f t="shared" si="2"/>
        <v>0</v>
      </c>
      <c r="K1387" s="84" t="str">
        <f t="shared" si="3"/>
        <v>Stabil</v>
      </c>
      <c r="L1387" s="84">
        <f t="shared" si="4"/>
        <v>0</v>
      </c>
      <c r="M1387" s="88" t="str">
        <f t="shared" si="5"/>
        <v>Perubahan Normal</v>
      </c>
    </row>
    <row r="1388" ht="18.75" customHeight="1">
      <c r="A1388" s="80" t="s">
        <v>505</v>
      </c>
      <c r="B1388" s="81" t="str">
        <f t="shared" si="1"/>
        <v>Kota Denpasar</v>
      </c>
      <c r="C1388" s="81" t="str">
        <f t="array" ref="C1388">XLOOKUP(B1388,Reference!$A$2:$A$152,Reference!$B$2:$B$152)</f>
        <v>Bali</v>
      </c>
      <c r="D1388" s="82" t="s">
        <v>1827</v>
      </c>
      <c r="E1388" s="83">
        <v>45352.0</v>
      </c>
      <c r="F1388" s="84" t="str">
        <f t="array" ref="F1388">XLOOKUP(G1388,Reference!$F:$F,Reference!$D:$D,"null")</f>
        <v>Rumah Tangga</v>
      </c>
      <c r="G1388" s="85" t="s">
        <v>80</v>
      </c>
      <c r="H1388" s="86">
        <v>100.97</v>
      </c>
      <c r="I1388" s="86">
        <v>100.95</v>
      </c>
      <c r="J1388" s="87">
        <f t="shared" si="2"/>
        <v>0.01981178801</v>
      </c>
      <c r="K1388" s="84" t="str">
        <f t="shared" si="3"/>
        <v>Inflasi Normal</v>
      </c>
      <c r="L1388" s="84">
        <f t="shared" si="4"/>
        <v>0.02</v>
      </c>
      <c r="M1388" s="88" t="str">
        <f t="shared" si="5"/>
        <v>Perubahan Normal</v>
      </c>
    </row>
    <row r="1389" ht="18.75" customHeight="1">
      <c r="A1389" s="80" t="s">
        <v>764</v>
      </c>
      <c r="B1389" s="81" t="str">
        <f t="shared" si="1"/>
        <v>Kota Madiun</v>
      </c>
      <c r="C1389" s="81" t="str">
        <f t="array" ref="C1389">XLOOKUP(B1389,Reference!$A$2:$A$152,Reference!$B$2:$B$152)</f>
        <v>Jawa Timur</v>
      </c>
      <c r="D1389" s="82" t="s">
        <v>1828</v>
      </c>
      <c r="E1389" s="83">
        <v>45352.0</v>
      </c>
      <c r="F1389" s="84" t="str">
        <f t="array" ref="F1389">XLOOKUP(G1389,Reference!$F:$F,Reference!$D:$D,"null")</f>
        <v>Pendidikan dan Kesehatan</v>
      </c>
      <c r="G1389" s="85" t="s">
        <v>95</v>
      </c>
      <c r="H1389" s="86">
        <v>102.22</v>
      </c>
      <c r="I1389" s="86">
        <v>102.22</v>
      </c>
      <c r="J1389" s="87">
        <f t="shared" si="2"/>
        <v>0</v>
      </c>
      <c r="K1389" s="84" t="str">
        <f t="shared" si="3"/>
        <v>Stabil</v>
      </c>
      <c r="L1389" s="84">
        <f t="shared" si="4"/>
        <v>0</v>
      </c>
      <c r="M1389" s="88" t="str">
        <f t="shared" si="5"/>
        <v>Perubahan Normal</v>
      </c>
    </row>
    <row r="1390" ht="18.75" customHeight="1">
      <c r="A1390" s="80" t="s">
        <v>965</v>
      </c>
      <c r="B1390" s="81" t="str">
        <f t="shared" si="1"/>
        <v>Kab Konawe</v>
      </c>
      <c r="C1390" s="81" t="str">
        <f t="array" ref="C1390">XLOOKUP(B1390,Reference!$A$2:$A$152,Reference!$B$2:$B$152)</f>
        <v>Sulawesi Tenggara</v>
      </c>
      <c r="D1390" s="82" t="s">
        <v>1829</v>
      </c>
      <c r="E1390" s="83">
        <v>45323.0</v>
      </c>
      <c r="F1390" s="84" t="str">
        <f t="array" ref="F1390">XLOOKUP(G1390,Reference!$F:$F,Reference!$D:$D,"null")</f>
        <v>Rekreasi dan Kendaraan</v>
      </c>
      <c r="G1390" s="85" t="s">
        <v>102</v>
      </c>
      <c r="H1390" s="86">
        <v>104.98</v>
      </c>
      <c r="I1390" s="86">
        <v>104.98</v>
      </c>
      <c r="J1390" s="87">
        <f t="shared" si="2"/>
        <v>0</v>
      </c>
      <c r="K1390" s="84" t="str">
        <f t="shared" si="3"/>
        <v>Stabil</v>
      </c>
      <c r="L1390" s="84">
        <f t="shared" si="4"/>
        <v>0</v>
      </c>
      <c r="M1390" s="88" t="str">
        <f t="shared" si="5"/>
        <v>Perubahan Normal</v>
      </c>
    </row>
    <row r="1391" ht="18.75" customHeight="1">
      <c r="A1391" s="80" t="s">
        <v>631</v>
      </c>
      <c r="B1391" s="81" t="str">
        <f t="shared" si="1"/>
        <v>Kab Toli Toli</v>
      </c>
      <c r="C1391" s="81" t="str">
        <f t="array" ref="C1391">XLOOKUP(B1391,Reference!$A$2:$A$152,Reference!$B$2:$B$152)</f>
        <v>Sulawesi Tengah</v>
      </c>
      <c r="D1391" s="82" t="s">
        <v>1830</v>
      </c>
      <c r="E1391" s="83">
        <v>45352.0</v>
      </c>
      <c r="F1391" s="84" t="str">
        <f t="array" ref="F1391">XLOOKUP(G1391,Reference!$F:$F,Reference!$D:$D,"null")</f>
        <v>Makanan dan Pakaian </v>
      </c>
      <c r="G1391" s="85" t="s">
        <v>56</v>
      </c>
      <c r="H1391" s="86">
        <v>102.16</v>
      </c>
      <c r="I1391" s="86">
        <v>102.16</v>
      </c>
      <c r="J1391" s="87">
        <f t="shared" si="2"/>
        <v>0</v>
      </c>
      <c r="K1391" s="84" t="str">
        <f t="shared" si="3"/>
        <v>Stabil</v>
      </c>
      <c r="L1391" s="84">
        <f t="shared" si="4"/>
        <v>0</v>
      </c>
      <c r="M1391" s="88" t="str">
        <f t="shared" si="5"/>
        <v>Perubahan Normal</v>
      </c>
    </row>
    <row r="1392" ht="18.75" customHeight="1">
      <c r="A1392" s="80" t="s">
        <v>399</v>
      </c>
      <c r="B1392" s="81" t="str">
        <f t="shared" si="1"/>
        <v>Sampit</v>
      </c>
      <c r="C1392" s="81" t="str">
        <f t="array" ref="C1392">XLOOKUP(B1392,Reference!$A$2:$A$152,Reference!$B$2:$B$152)</f>
        <v>Kalimantan Tengah</v>
      </c>
      <c r="D1392" s="82" t="s">
        <v>1831</v>
      </c>
      <c r="E1392" s="83">
        <v>45352.0</v>
      </c>
      <c r="F1392" s="84" t="str">
        <f t="array" ref="F1392">XLOOKUP(G1392,Reference!$F:$F,Reference!$D:$D,"null")</f>
        <v>Rumah Tangga</v>
      </c>
      <c r="G1392" s="85" t="s">
        <v>80</v>
      </c>
      <c r="H1392" s="86">
        <v>102.86</v>
      </c>
      <c r="I1392" s="86">
        <v>102.86</v>
      </c>
      <c r="J1392" s="87">
        <f t="shared" si="2"/>
        <v>0</v>
      </c>
      <c r="K1392" s="84" t="str">
        <f t="shared" si="3"/>
        <v>Stabil</v>
      </c>
      <c r="L1392" s="84">
        <f t="shared" si="4"/>
        <v>0</v>
      </c>
      <c r="M1392" s="88" t="str">
        <f t="shared" si="5"/>
        <v>Perubahan Normal</v>
      </c>
    </row>
    <row r="1393" ht="18.75" customHeight="1">
      <c r="A1393" s="80" t="s">
        <v>298</v>
      </c>
      <c r="B1393" s="81" t="str">
        <f t="shared" si="1"/>
        <v>Kota Bekasi</v>
      </c>
      <c r="C1393" s="81" t="str">
        <f t="array" ref="C1393">XLOOKUP(B1393,Reference!$A$2:$A$152,Reference!$B$2:$B$152)</f>
        <v>Jawa Barat</v>
      </c>
      <c r="D1393" s="82" t="s">
        <v>1832</v>
      </c>
      <c r="E1393" s="83">
        <v>45352.0</v>
      </c>
      <c r="F1393" s="84" t="str">
        <f t="array" ref="F1393">XLOOKUP(G1393,Reference!$F:$F,Reference!$D:$D,"null")</f>
        <v>Makanan dan Pakaian </v>
      </c>
      <c r="G1393" s="85" t="s">
        <v>56</v>
      </c>
      <c r="H1393" s="86">
        <v>105.58</v>
      </c>
      <c r="I1393" s="86">
        <v>106.07</v>
      </c>
      <c r="J1393" s="87">
        <f t="shared" si="2"/>
        <v>-0.4619590836</v>
      </c>
      <c r="K1393" s="84" t="str">
        <f t="shared" si="3"/>
        <v>Deflasi</v>
      </c>
      <c r="L1393" s="84">
        <f t="shared" si="4"/>
        <v>-0.49</v>
      </c>
      <c r="M1393" s="88" t="str">
        <f t="shared" si="5"/>
        <v>Perubahan Normal</v>
      </c>
    </row>
    <row r="1394" ht="18.75" customHeight="1">
      <c r="A1394" s="80" t="s">
        <v>316</v>
      </c>
      <c r="B1394" s="81" t="str">
        <f t="shared" si="1"/>
        <v>Singaraja</v>
      </c>
      <c r="C1394" s="81" t="str">
        <f t="array" ref="C1394">XLOOKUP(B1394,Reference!$A$2:$A$152,Reference!$B$2:$B$152)</f>
        <v>Bali</v>
      </c>
      <c r="D1394" s="82" t="s">
        <v>1833</v>
      </c>
      <c r="E1394" s="83">
        <v>45323.0</v>
      </c>
      <c r="F1394" s="84" t="str">
        <f t="array" ref="F1394">XLOOKUP(G1394,Reference!$F:$F,Reference!$D:$D,"null")</f>
        <v>Makanan dan Pakaian </v>
      </c>
      <c r="G1394" s="85" t="s">
        <v>56</v>
      </c>
      <c r="H1394" s="86">
        <v>103.53</v>
      </c>
      <c r="I1394" s="86">
        <v>102.88</v>
      </c>
      <c r="J1394" s="87">
        <f t="shared" si="2"/>
        <v>0.6318040435</v>
      </c>
      <c r="K1394" s="84" t="str">
        <f t="shared" si="3"/>
        <v>Inflasi Tinggi</v>
      </c>
      <c r="L1394" s="84">
        <f t="shared" si="4"/>
        <v>0.65</v>
      </c>
      <c r="M1394" s="88" t="str">
        <f t="shared" si="5"/>
        <v>Akselerasi Persentase</v>
      </c>
    </row>
    <row r="1395" ht="18.75" customHeight="1">
      <c r="A1395" s="80" t="s">
        <v>294</v>
      </c>
      <c r="B1395" s="81" t="str">
        <f t="shared" si="1"/>
        <v>Kab Labuhanbatu</v>
      </c>
      <c r="C1395" s="81" t="str">
        <f t="array" ref="C1395">XLOOKUP(B1395,Reference!$A$2:$A$152,Reference!$B$2:$B$152)</f>
        <v>Sumatera Utara</v>
      </c>
      <c r="D1395" s="82" t="s">
        <v>1834</v>
      </c>
      <c r="E1395" s="83">
        <v>45323.0</v>
      </c>
      <c r="F1395" s="84" t="str">
        <f t="array" ref="F1395">XLOOKUP(G1395,Reference!$F:$F,Reference!$D:$D,"null")</f>
        <v>Makanan dan Pakaian </v>
      </c>
      <c r="G1395" s="89" t="s">
        <v>72</v>
      </c>
      <c r="H1395" s="90">
        <v>113.81</v>
      </c>
      <c r="I1395" s="90">
        <v>113.81</v>
      </c>
      <c r="J1395" s="87">
        <f t="shared" si="2"/>
        <v>0</v>
      </c>
      <c r="K1395" s="84" t="str">
        <f t="shared" si="3"/>
        <v>Stabil</v>
      </c>
      <c r="L1395" s="91">
        <f t="shared" si="4"/>
        <v>0</v>
      </c>
      <c r="M1395" s="88" t="str">
        <f t="shared" si="5"/>
        <v>Perubahan Normal</v>
      </c>
    </row>
    <row r="1396" ht="18.75" customHeight="1">
      <c r="A1396" s="80" t="s">
        <v>505</v>
      </c>
      <c r="B1396" s="81" t="str">
        <f t="shared" si="1"/>
        <v>Kota Denpasar</v>
      </c>
      <c r="C1396" s="81" t="str">
        <f t="array" ref="C1396">XLOOKUP(B1396,Reference!$A$2:$A$152,Reference!$B$2:$B$152)</f>
        <v>Bali</v>
      </c>
      <c r="D1396" s="82" t="s">
        <v>1835</v>
      </c>
      <c r="E1396" s="83">
        <v>45352.0</v>
      </c>
      <c r="F1396" s="84" t="str">
        <f t="array" ref="F1396">XLOOKUP(G1396,Reference!$F:$F,Reference!$D:$D,"null")</f>
        <v>Rekreasi dan Kendaraan</v>
      </c>
      <c r="G1396" s="85" t="s">
        <v>105</v>
      </c>
      <c r="H1396" s="86">
        <v>104.82</v>
      </c>
      <c r="I1396" s="86">
        <v>102.68</v>
      </c>
      <c r="J1396" s="87">
        <f t="shared" si="2"/>
        <v>2.084144916</v>
      </c>
      <c r="K1396" s="84" t="str">
        <f t="shared" si="3"/>
        <v>Inflasi Tinggi</v>
      </c>
      <c r="L1396" s="84">
        <f t="shared" si="4"/>
        <v>2.14</v>
      </c>
      <c r="M1396" s="88" t="str">
        <f t="shared" si="5"/>
        <v>Akselerasi Kuat</v>
      </c>
    </row>
    <row r="1397" ht="18.75" customHeight="1">
      <c r="A1397" s="80" t="s">
        <v>581</v>
      </c>
      <c r="B1397" s="81" t="str">
        <f t="shared" si="1"/>
        <v>Kab Dharmasraya</v>
      </c>
      <c r="C1397" s="81" t="str">
        <f t="array" ref="C1397">XLOOKUP(B1397,Reference!$A$2:$A$152,Reference!$B$2:$B$152)</f>
        <v>Sumatera Barat</v>
      </c>
      <c r="D1397" s="82" t="s">
        <v>1836</v>
      </c>
      <c r="E1397" s="83">
        <v>45323.0</v>
      </c>
      <c r="F1397" s="84" t="str">
        <f t="array" ref="F1397">XLOOKUP(G1397,Reference!$F:$F,Reference!$D:$D,"null")</f>
        <v>Pendidikan dan Kesehatan</v>
      </c>
      <c r="G1397" s="85" t="s">
        <v>95</v>
      </c>
      <c r="H1397" s="86">
        <v>100.38</v>
      </c>
      <c r="I1397" s="86">
        <v>100.38</v>
      </c>
      <c r="J1397" s="87">
        <f t="shared" si="2"/>
        <v>0</v>
      </c>
      <c r="K1397" s="84" t="str">
        <f t="shared" si="3"/>
        <v>Stabil</v>
      </c>
      <c r="L1397" s="84">
        <f t="shared" si="4"/>
        <v>0</v>
      </c>
      <c r="M1397" s="88" t="str">
        <f t="shared" si="5"/>
        <v>Perubahan Normal</v>
      </c>
    </row>
    <row r="1398" ht="18.75" customHeight="1">
      <c r="A1398" s="80" t="s">
        <v>294</v>
      </c>
      <c r="B1398" s="81" t="str">
        <f t="shared" si="1"/>
        <v>Kab Labuhanbatu</v>
      </c>
      <c r="C1398" s="81" t="str">
        <f t="array" ref="C1398">XLOOKUP(B1398,Reference!$A$2:$A$152,Reference!$B$2:$B$152)</f>
        <v>Sumatera Utara</v>
      </c>
      <c r="D1398" s="82" t="s">
        <v>1837</v>
      </c>
      <c r="E1398" s="83">
        <v>45323.0</v>
      </c>
      <c r="F1398" s="84" t="str">
        <f t="array" ref="F1398">XLOOKUP(G1398,Reference!$F:$F,Reference!$D:$D,"null")</f>
        <v>Pendidikan dan Kesehatan</v>
      </c>
      <c r="G1398" s="85" t="s">
        <v>95</v>
      </c>
      <c r="H1398" s="86">
        <v>100.54</v>
      </c>
      <c r="I1398" s="86">
        <v>100.54</v>
      </c>
      <c r="J1398" s="87">
        <f t="shared" si="2"/>
        <v>0</v>
      </c>
      <c r="K1398" s="84" t="str">
        <f t="shared" si="3"/>
        <v>Stabil</v>
      </c>
      <c r="L1398" s="84">
        <f t="shared" si="4"/>
        <v>0</v>
      </c>
      <c r="M1398" s="88" t="str">
        <f t="shared" si="5"/>
        <v>Perubahan Normal</v>
      </c>
    </row>
    <row r="1399" ht="18.75" customHeight="1">
      <c r="A1399" s="80" t="s">
        <v>310</v>
      </c>
      <c r="B1399" s="81" t="str">
        <f t="shared" si="1"/>
        <v>Kab Kampar</v>
      </c>
      <c r="C1399" s="81" t="str">
        <f t="array" ref="C1399">XLOOKUP(B1399,Reference!$A$2:$A$152,Reference!$B$2:$B$152)</f>
        <v>Riau</v>
      </c>
      <c r="D1399" s="82" t="s">
        <v>1838</v>
      </c>
      <c r="E1399" s="83">
        <v>45323.0</v>
      </c>
      <c r="F1399" s="84" t="str">
        <f t="array" ref="F1399">XLOOKUP(G1399,Reference!$F:$F,Reference!$D:$D,"null")</f>
        <v>Makanan dan Pakaian </v>
      </c>
      <c r="G1399" s="85" t="s">
        <v>56</v>
      </c>
      <c r="H1399" s="86">
        <v>99.23</v>
      </c>
      <c r="I1399" s="86">
        <v>99.18</v>
      </c>
      <c r="J1399" s="87">
        <f t="shared" si="2"/>
        <v>0.0504133898</v>
      </c>
      <c r="K1399" s="84" t="str">
        <f t="shared" si="3"/>
        <v>Inflasi Normal</v>
      </c>
      <c r="L1399" s="84">
        <f t="shared" si="4"/>
        <v>0.05</v>
      </c>
      <c r="M1399" s="88" t="str">
        <f t="shared" si="5"/>
        <v>Perubahan Normal</v>
      </c>
    </row>
    <row r="1400" ht="18.75" customHeight="1">
      <c r="A1400" s="80" t="s">
        <v>362</v>
      </c>
      <c r="B1400" s="81" t="str">
        <f t="shared" si="1"/>
        <v>Sumenep</v>
      </c>
      <c r="C1400" s="81" t="str">
        <f t="array" ref="C1400">XLOOKUP(B1400,Reference!$A$2:$A$152,Reference!$B$2:$B$152)</f>
        <v>Jawa Timur</v>
      </c>
      <c r="D1400" s="82" t="s">
        <v>1839</v>
      </c>
      <c r="E1400" s="83">
        <v>45352.0</v>
      </c>
      <c r="F1400" s="84" t="str">
        <f t="array" ref="F1400">XLOOKUP(G1400,Reference!$F:$F,Reference!$D:$D,"null")</f>
        <v>Rumah Tangga</v>
      </c>
      <c r="G1400" s="85" t="s">
        <v>84</v>
      </c>
      <c r="H1400" s="86">
        <v>100.48</v>
      </c>
      <c r="I1400" s="86">
        <v>100.48</v>
      </c>
      <c r="J1400" s="87">
        <f t="shared" si="2"/>
        <v>0</v>
      </c>
      <c r="K1400" s="84" t="str">
        <f t="shared" si="3"/>
        <v>Stabil</v>
      </c>
      <c r="L1400" s="84">
        <f t="shared" si="4"/>
        <v>0</v>
      </c>
      <c r="M1400" s="88" t="str">
        <f t="shared" si="5"/>
        <v>Perubahan Normal</v>
      </c>
    </row>
    <row r="1401" ht="18.75" customHeight="1">
      <c r="A1401" s="80" t="s">
        <v>406</v>
      </c>
      <c r="B1401" s="81" t="str">
        <f t="shared" si="1"/>
        <v>Kota Tasikmalaya</v>
      </c>
      <c r="C1401" s="81" t="str">
        <f t="array" ref="C1401">XLOOKUP(B1401,Reference!$A$2:$A$152,Reference!$B$2:$B$152)</f>
        <v>Jawa Barat</v>
      </c>
      <c r="D1401" s="82" t="s">
        <v>1840</v>
      </c>
      <c r="E1401" s="83">
        <v>45323.0</v>
      </c>
      <c r="F1401" s="84" t="str">
        <f t="array" ref="F1401">XLOOKUP(G1401,Reference!$F:$F,Reference!$D:$D,"null")</f>
        <v>Rumah Tangga</v>
      </c>
      <c r="G1401" s="85" t="s">
        <v>84</v>
      </c>
      <c r="H1401" s="86">
        <v>101.83</v>
      </c>
      <c r="I1401" s="86">
        <v>101.83</v>
      </c>
      <c r="J1401" s="87">
        <f t="shared" si="2"/>
        <v>0</v>
      </c>
      <c r="K1401" s="84" t="str">
        <f t="shared" si="3"/>
        <v>Stabil</v>
      </c>
      <c r="L1401" s="84">
        <f t="shared" si="4"/>
        <v>0</v>
      </c>
      <c r="M1401" s="88" t="str">
        <f t="shared" si="5"/>
        <v>Perubahan Normal</v>
      </c>
    </row>
    <row r="1402" ht="18.75" customHeight="1">
      <c r="A1402" s="80" t="s">
        <v>353</v>
      </c>
      <c r="B1402" s="81" t="str">
        <f t="shared" si="1"/>
        <v>Kota Bau Bau</v>
      </c>
      <c r="C1402" s="81" t="str">
        <f t="array" ref="C1402">XLOOKUP(B1402,Reference!$A$2:$A$152,Reference!$B$2:$B$152)</f>
        <v>Sulawesi Tenggara</v>
      </c>
      <c r="D1402" s="82" t="s">
        <v>1841</v>
      </c>
      <c r="E1402" s="83">
        <v>45352.0</v>
      </c>
      <c r="F1402" s="84" t="str">
        <f t="array" ref="F1402">XLOOKUP(G1402,Reference!$F:$F,Reference!$D:$D,"null")</f>
        <v>Makanan dan Pakaian </v>
      </c>
      <c r="G1402" s="89" t="s">
        <v>56</v>
      </c>
      <c r="H1402" s="90">
        <v>104.82</v>
      </c>
      <c r="I1402" s="90">
        <v>101.49</v>
      </c>
      <c r="J1402" s="87">
        <f t="shared" si="2"/>
        <v>3.28111144</v>
      </c>
      <c r="K1402" s="84" t="str">
        <f t="shared" si="3"/>
        <v>Inflasi Tinggi</v>
      </c>
      <c r="L1402" s="91">
        <f t="shared" si="4"/>
        <v>3.33</v>
      </c>
      <c r="M1402" s="88" t="str">
        <f t="shared" si="5"/>
        <v>Akselerasi Kuat</v>
      </c>
    </row>
    <row r="1403" ht="18.75" customHeight="1">
      <c r="A1403" s="80" t="s">
        <v>326</v>
      </c>
      <c r="B1403" s="81" t="str">
        <f t="shared" si="1"/>
        <v>Luwuk</v>
      </c>
      <c r="C1403" s="81" t="str">
        <f t="array" ref="C1403">XLOOKUP(B1403,Reference!$A$2:$A$152,Reference!$B$2:$B$152)</f>
        <v>Sulawesi Tengah</v>
      </c>
      <c r="D1403" s="82" t="s">
        <v>1842</v>
      </c>
      <c r="E1403" s="83">
        <v>45323.0</v>
      </c>
      <c r="F1403" s="84" t="str">
        <f t="array" ref="F1403">XLOOKUP(G1403,Reference!$F:$F,Reference!$D:$D,"null")</f>
        <v>Rekreasi dan Kendaraan</v>
      </c>
      <c r="G1403" s="85" t="s">
        <v>102</v>
      </c>
      <c r="H1403" s="86">
        <v>109.88</v>
      </c>
      <c r="I1403" s="86">
        <v>110.19</v>
      </c>
      <c r="J1403" s="87">
        <f t="shared" si="2"/>
        <v>-0.2813322443</v>
      </c>
      <c r="K1403" s="84" t="str">
        <f t="shared" si="3"/>
        <v>Deflasi</v>
      </c>
      <c r="L1403" s="84">
        <f t="shared" si="4"/>
        <v>-0.31</v>
      </c>
      <c r="M1403" s="88" t="str">
        <f t="shared" si="5"/>
        <v>Perubahan Normal</v>
      </c>
    </row>
    <row r="1404" ht="18.75" customHeight="1">
      <c r="A1404" s="80" t="s">
        <v>925</v>
      </c>
      <c r="B1404" s="81" t="str">
        <f t="shared" si="1"/>
        <v>Kota Jakarta</v>
      </c>
      <c r="C1404" s="81" t="str">
        <f t="array" ref="C1404">XLOOKUP(B1404,Reference!$A$2:$A$152,Reference!$B$2:$B$152)</f>
        <v>DKI Jakarta</v>
      </c>
      <c r="D1404" s="82" t="s">
        <v>1843</v>
      </c>
      <c r="E1404" s="83">
        <v>45323.0</v>
      </c>
      <c r="F1404" s="84" t="str">
        <f t="array" ref="F1404">XLOOKUP(G1404,Reference!$F:$F,Reference!$D:$D,"null")</f>
        <v>Rekreasi dan Kendaraan</v>
      </c>
      <c r="G1404" s="89" t="s">
        <v>102</v>
      </c>
      <c r="H1404" s="90">
        <v>102.27</v>
      </c>
      <c r="I1404" s="90">
        <v>102.18</v>
      </c>
      <c r="J1404" s="87">
        <f t="shared" si="2"/>
        <v>0.08807985907</v>
      </c>
      <c r="K1404" s="84" t="str">
        <f t="shared" si="3"/>
        <v>Inflasi Normal</v>
      </c>
      <c r="L1404" s="91">
        <f t="shared" si="4"/>
        <v>0.09</v>
      </c>
      <c r="M1404" s="88" t="str">
        <f t="shared" si="5"/>
        <v>Perubahan Normal</v>
      </c>
    </row>
    <row r="1405" ht="18.75" customHeight="1">
      <c r="A1405" s="80" t="s">
        <v>598</v>
      </c>
      <c r="B1405" s="81" t="str">
        <f t="shared" si="1"/>
        <v>Kota Surakarta</v>
      </c>
      <c r="C1405" s="81" t="str">
        <f t="array" ref="C1405">XLOOKUP(B1405,Reference!$A$2:$A$152,Reference!$B$2:$B$152)</f>
        <v>Jawa Tengah</v>
      </c>
      <c r="D1405" s="82" t="s">
        <v>1844</v>
      </c>
      <c r="E1405" s="83">
        <v>45352.0</v>
      </c>
      <c r="F1405" s="84" t="str">
        <f t="array" ref="F1405">XLOOKUP(G1405,Reference!$F:$F,Reference!$D:$D,"null")</f>
        <v>Makanan dan Pakaian </v>
      </c>
      <c r="G1405" s="85" t="s">
        <v>72</v>
      </c>
      <c r="H1405" s="86">
        <v>102.98</v>
      </c>
      <c r="I1405" s="86">
        <v>102.9</v>
      </c>
      <c r="J1405" s="87">
        <f t="shared" si="2"/>
        <v>0.07774538387</v>
      </c>
      <c r="K1405" s="84" t="str">
        <f t="shared" si="3"/>
        <v>Inflasi Normal</v>
      </c>
      <c r="L1405" s="84">
        <f t="shared" si="4"/>
        <v>0.08</v>
      </c>
      <c r="M1405" s="88" t="str">
        <f t="shared" si="5"/>
        <v>Perubahan Normal</v>
      </c>
    </row>
    <row r="1406" ht="18.75" customHeight="1">
      <c r="A1406" s="80" t="s">
        <v>578</v>
      </c>
      <c r="B1406" s="81" t="str">
        <f t="shared" si="1"/>
        <v>Kab Belitung Timur</v>
      </c>
      <c r="C1406" s="81" t="str">
        <f t="array" ref="C1406">XLOOKUP(B1406,Reference!$A$2:$A$152,Reference!$B$2:$B$152)</f>
        <v>Kepulauan Bangka Belitung</v>
      </c>
      <c r="D1406" s="82" t="s">
        <v>1845</v>
      </c>
      <c r="E1406" s="83">
        <v>45352.0</v>
      </c>
      <c r="F1406" s="84" t="str">
        <f t="array" ref="F1406">XLOOKUP(G1406,Reference!$F:$F,Reference!$D:$D,"null")</f>
        <v>Rumah Tangga</v>
      </c>
      <c r="G1406" s="85" t="s">
        <v>80</v>
      </c>
      <c r="H1406" s="86">
        <v>102.22</v>
      </c>
      <c r="I1406" s="86">
        <v>102.22</v>
      </c>
      <c r="J1406" s="87">
        <f t="shared" si="2"/>
        <v>0</v>
      </c>
      <c r="K1406" s="84" t="str">
        <f t="shared" si="3"/>
        <v>Stabil</v>
      </c>
      <c r="L1406" s="84">
        <f t="shared" si="4"/>
        <v>0</v>
      </c>
      <c r="M1406" s="88" t="str">
        <f t="shared" si="5"/>
        <v>Perubahan Normal</v>
      </c>
    </row>
    <row r="1407" ht="18.75" customHeight="1">
      <c r="A1407" s="80" t="s">
        <v>592</v>
      </c>
      <c r="B1407" s="81" t="str">
        <f t="shared" si="1"/>
        <v>Kab Lampung Timur</v>
      </c>
      <c r="C1407" s="81" t="str">
        <f t="array" ref="C1407">XLOOKUP(B1407,Reference!$A$2:$A$152,Reference!$B$2:$B$152)</f>
        <v>Lampung</v>
      </c>
      <c r="D1407" s="82" t="s">
        <v>1846</v>
      </c>
      <c r="E1407" s="83">
        <v>45323.0</v>
      </c>
      <c r="F1407" s="84" t="str">
        <f t="array" ref="F1407">XLOOKUP(G1407,Reference!$F:$F,Reference!$D:$D,"null")</f>
        <v>Makanan dan Pakaian </v>
      </c>
      <c r="G1407" s="85" t="s">
        <v>56</v>
      </c>
      <c r="H1407" s="86">
        <v>108.97</v>
      </c>
      <c r="I1407" s="86">
        <v>108.97</v>
      </c>
      <c r="J1407" s="87">
        <f t="shared" si="2"/>
        <v>0</v>
      </c>
      <c r="K1407" s="84" t="str">
        <f t="shared" si="3"/>
        <v>Stabil</v>
      </c>
      <c r="L1407" s="84">
        <f t="shared" si="4"/>
        <v>0</v>
      </c>
      <c r="M1407" s="88" t="str">
        <f t="shared" si="5"/>
        <v>Perubahan Normal</v>
      </c>
    </row>
    <row r="1408" ht="18.75" customHeight="1">
      <c r="A1408" s="80" t="s">
        <v>318</v>
      </c>
      <c r="B1408" s="81" t="str">
        <f t="shared" si="1"/>
        <v>Tanjung</v>
      </c>
      <c r="C1408" s="81" t="str">
        <f t="array" ref="C1408">XLOOKUP(B1408,Reference!$A$2:$A$152,Reference!$B$2:$B$152)</f>
        <v>Kalimantan Selatan</v>
      </c>
      <c r="D1408" s="82" t="s">
        <v>1847</v>
      </c>
      <c r="E1408" s="83">
        <v>45352.0</v>
      </c>
      <c r="F1408" s="84" t="str">
        <f t="array" ref="F1408">XLOOKUP(G1408,Reference!$F:$F,Reference!$D:$D,"null")</f>
        <v>Pendidikan dan Kesehatan</v>
      </c>
      <c r="G1408" s="85" t="s">
        <v>98</v>
      </c>
      <c r="H1408" s="86">
        <v>103.33</v>
      </c>
      <c r="I1408" s="86">
        <v>102.76</v>
      </c>
      <c r="J1408" s="87">
        <f t="shared" si="2"/>
        <v>0.5546905411</v>
      </c>
      <c r="K1408" s="84" t="str">
        <f t="shared" si="3"/>
        <v>Inflasi Tinggi</v>
      </c>
      <c r="L1408" s="84">
        <f t="shared" si="4"/>
        <v>0.57</v>
      </c>
      <c r="M1408" s="88" t="str">
        <f t="shared" si="5"/>
        <v>Akselerasi Persentase</v>
      </c>
    </row>
    <row r="1409" ht="18.75" customHeight="1">
      <c r="A1409" s="80" t="s">
        <v>592</v>
      </c>
      <c r="B1409" s="81" t="str">
        <f t="shared" si="1"/>
        <v>Kab Lampung Timur</v>
      </c>
      <c r="C1409" s="81" t="str">
        <f t="array" ref="C1409">XLOOKUP(B1409,Reference!$A$2:$A$152,Reference!$B$2:$B$152)</f>
        <v>Lampung</v>
      </c>
      <c r="D1409" s="82" t="s">
        <v>1848</v>
      </c>
      <c r="E1409" s="83">
        <v>45352.0</v>
      </c>
      <c r="F1409" s="84" t="str">
        <f t="array" ref="F1409">XLOOKUP(G1409,Reference!$F:$F,Reference!$D:$D,"null")</f>
        <v>Rumah Tangga</v>
      </c>
      <c r="G1409" s="85" t="s">
        <v>80</v>
      </c>
      <c r="H1409" s="86">
        <v>100.3</v>
      </c>
      <c r="I1409" s="86">
        <v>100.3</v>
      </c>
      <c r="J1409" s="87">
        <f t="shared" si="2"/>
        <v>0</v>
      </c>
      <c r="K1409" s="84" t="str">
        <f t="shared" si="3"/>
        <v>Stabil</v>
      </c>
      <c r="L1409" s="84">
        <f t="shared" si="4"/>
        <v>0</v>
      </c>
      <c r="M1409" s="88" t="str">
        <f t="shared" si="5"/>
        <v>Perubahan Normal</v>
      </c>
    </row>
    <row r="1410" ht="18.75" customHeight="1">
      <c r="A1410" s="80" t="s">
        <v>550</v>
      </c>
      <c r="B1410" s="81" t="str">
        <f t="shared" si="1"/>
        <v>Kota Sukabumi</v>
      </c>
      <c r="C1410" s="81" t="str">
        <f t="array" ref="C1410">XLOOKUP(B1410,Reference!$A$2:$A$152,Reference!$B$2:$B$152)</f>
        <v>Jawa Barat</v>
      </c>
      <c r="D1410" s="82" t="s">
        <v>1849</v>
      </c>
      <c r="E1410" s="83">
        <v>45323.0</v>
      </c>
      <c r="F1410" s="84" t="str">
        <f t="array" ref="F1410">XLOOKUP(G1410,Reference!$F:$F,Reference!$D:$D,"null")</f>
        <v>Pendidikan dan Kesehatan</v>
      </c>
      <c r="G1410" s="85" t="s">
        <v>98</v>
      </c>
      <c r="H1410" s="86">
        <v>105.77</v>
      </c>
      <c r="I1410" s="86">
        <v>104.14</v>
      </c>
      <c r="J1410" s="87">
        <f t="shared" si="2"/>
        <v>1.565200691</v>
      </c>
      <c r="K1410" s="84" t="str">
        <f t="shared" si="3"/>
        <v>Inflasi Tinggi</v>
      </c>
      <c r="L1410" s="84">
        <f t="shared" si="4"/>
        <v>1.63</v>
      </c>
      <c r="M1410" s="88" t="str">
        <f t="shared" si="5"/>
        <v>Akselerasi Persentase</v>
      </c>
    </row>
    <row r="1411" ht="18.75" customHeight="1">
      <c r="A1411" s="80" t="s">
        <v>488</v>
      </c>
      <c r="B1411" s="81" t="str">
        <f t="shared" si="1"/>
        <v>Kab Muko Muko</v>
      </c>
      <c r="C1411" s="81" t="str">
        <f t="array" ref="C1411">XLOOKUP(B1411,Reference!$A$2:$A$152,Reference!$B$2:$B$152)</f>
        <v>Bengkulu</v>
      </c>
      <c r="D1411" s="82" t="s">
        <v>1850</v>
      </c>
      <c r="E1411" s="83">
        <v>45352.0</v>
      </c>
      <c r="F1411" s="84" t="str">
        <f t="array" ref="F1411">XLOOKUP(G1411,Reference!$F:$F,Reference!$D:$D,"null")</f>
        <v>Makanan dan Pakaian </v>
      </c>
      <c r="G1411" s="85" t="s">
        <v>72</v>
      </c>
      <c r="H1411" s="86">
        <v>112.78</v>
      </c>
      <c r="I1411" s="86">
        <v>112.78</v>
      </c>
      <c r="J1411" s="87">
        <f t="shared" si="2"/>
        <v>0</v>
      </c>
      <c r="K1411" s="84" t="str">
        <f t="shared" si="3"/>
        <v>Stabil</v>
      </c>
      <c r="L1411" s="84">
        <f t="shared" si="4"/>
        <v>0</v>
      </c>
      <c r="M1411" s="88" t="str">
        <f t="shared" si="5"/>
        <v>Perubahan Normal</v>
      </c>
    </row>
    <row r="1412" ht="18.75" customHeight="1">
      <c r="A1412" s="80" t="s">
        <v>406</v>
      </c>
      <c r="B1412" s="81" t="str">
        <f t="shared" si="1"/>
        <v>Kota Tasikmalaya</v>
      </c>
      <c r="C1412" s="81" t="str">
        <f t="array" ref="C1412">XLOOKUP(B1412,Reference!$A$2:$A$152,Reference!$B$2:$B$152)</f>
        <v>Jawa Barat</v>
      </c>
      <c r="D1412" s="82" t="s">
        <v>1851</v>
      </c>
      <c r="E1412" s="83">
        <v>45323.0</v>
      </c>
      <c r="F1412" s="84" t="str">
        <f t="array" ref="F1412">XLOOKUP(G1412,Reference!$F:$F,Reference!$D:$D,"null")</f>
        <v>Rumah Tangga</v>
      </c>
      <c r="G1412" s="85" t="s">
        <v>89</v>
      </c>
      <c r="H1412" s="86">
        <v>100.28</v>
      </c>
      <c r="I1412" s="86">
        <v>100.28</v>
      </c>
      <c r="J1412" s="87">
        <f t="shared" si="2"/>
        <v>0</v>
      </c>
      <c r="K1412" s="84" t="str">
        <f t="shared" si="3"/>
        <v>Stabil</v>
      </c>
      <c r="L1412" s="84">
        <f t="shared" si="4"/>
        <v>0</v>
      </c>
      <c r="M1412" s="88" t="str">
        <f t="shared" si="5"/>
        <v>Perubahan Normal</v>
      </c>
    </row>
    <row r="1413" ht="18.75" customHeight="1">
      <c r="A1413" s="80" t="s">
        <v>1031</v>
      </c>
      <c r="B1413" s="81" t="str">
        <f t="shared" si="1"/>
        <v>Kab Majene</v>
      </c>
      <c r="C1413" s="81" t="str">
        <f t="array" ref="C1413">XLOOKUP(B1413,Reference!$A$2:$A$152,Reference!$B$2:$B$152)</f>
        <v>Sulawesi Barat</v>
      </c>
      <c r="D1413" s="82" t="s">
        <v>1852</v>
      </c>
      <c r="E1413" s="83">
        <v>45323.0</v>
      </c>
      <c r="F1413" s="84" t="str">
        <f t="array" ref="F1413">XLOOKUP(G1413,Reference!$F:$F,Reference!$D:$D,"null")</f>
        <v>Rekreasi dan Kendaraan</v>
      </c>
      <c r="G1413" s="85" t="s">
        <v>102</v>
      </c>
      <c r="H1413" s="86">
        <v>118.47</v>
      </c>
      <c r="I1413" s="86">
        <v>118.47</v>
      </c>
      <c r="J1413" s="87">
        <f t="shared" si="2"/>
        <v>0</v>
      </c>
      <c r="K1413" s="84" t="str">
        <f t="shared" si="3"/>
        <v>Stabil</v>
      </c>
      <c r="L1413" s="84">
        <f t="shared" si="4"/>
        <v>0</v>
      </c>
      <c r="M1413" s="88" t="str">
        <f t="shared" si="5"/>
        <v>Perubahan Normal</v>
      </c>
    </row>
    <row r="1414" ht="18.75" customHeight="1">
      <c r="A1414" s="80" t="s">
        <v>505</v>
      </c>
      <c r="B1414" s="81" t="str">
        <f t="shared" si="1"/>
        <v>Kota Denpasar</v>
      </c>
      <c r="C1414" s="81" t="str">
        <f t="array" ref="C1414">XLOOKUP(B1414,Reference!$A$2:$A$152,Reference!$B$2:$B$152)</f>
        <v>Bali</v>
      </c>
      <c r="D1414" s="82" t="s">
        <v>1853</v>
      </c>
      <c r="E1414" s="83">
        <v>45352.0</v>
      </c>
      <c r="F1414" s="84" t="str">
        <f t="array" ref="F1414">XLOOKUP(G1414,Reference!$F:$F,Reference!$D:$D,"null")</f>
        <v>Rekreasi dan Kendaraan</v>
      </c>
      <c r="G1414" s="85" t="s">
        <v>102</v>
      </c>
      <c r="H1414" s="86">
        <v>106.9</v>
      </c>
      <c r="I1414" s="86">
        <v>106.19</v>
      </c>
      <c r="J1414" s="87">
        <f t="shared" si="2"/>
        <v>0.6686128637</v>
      </c>
      <c r="K1414" s="84" t="str">
        <f t="shared" si="3"/>
        <v>Inflasi Tinggi</v>
      </c>
      <c r="L1414" s="84">
        <f t="shared" si="4"/>
        <v>0.71</v>
      </c>
      <c r="M1414" s="88" t="str">
        <f t="shared" si="5"/>
        <v>Akselerasi Persentase</v>
      </c>
    </row>
    <row r="1415" ht="18.75" customHeight="1">
      <c r="A1415" s="80" t="s">
        <v>526</v>
      </c>
      <c r="B1415" s="81" t="str">
        <f t="shared" si="1"/>
        <v>Maumere</v>
      </c>
      <c r="C1415" s="81" t="str">
        <f t="array" ref="C1415">XLOOKUP(B1415,Reference!$A$2:$A$152,Reference!$B$2:$B$152)</f>
        <v>Nusa Tenggara Timur (NTT)</v>
      </c>
      <c r="D1415" s="82" t="s">
        <v>1854</v>
      </c>
      <c r="E1415" s="83">
        <v>45323.0</v>
      </c>
      <c r="F1415" s="84" t="str">
        <f t="array" ref="F1415">XLOOKUP(G1415,Reference!$F:$F,Reference!$D:$D,"null")</f>
        <v>Rekreasi dan Kendaraan</v>
      </c>
      <c r="G1415" s="85" t="s">
        <v>105</v>
      </c>
      <c r="H1415" s="86">
        <v>104.28</v>
      </c>
      <c r="I1415" s="86">
        <v>104.2</v>
      </c>
      <c r="J1415" s="87">
        <f t="shared" si="2"/>
        <v>0.07677543186</v>
      </c>
      <c r="K1415" s="84" t="str">
        <f t="shared" si="3"/>
        <v>Inflasi Normal</v>
      </c>
      <c r="L1415" s="84">
        <f t="shared" si="4"/>
        <v>0.08</v>
      </c>
      <c r="M1415" s="88" t="str">
        <f t="shared" si="5"/>
        <v>Perubahan Normal</v>
      </c>
    </row>
    <row r="1416" ht="18.75" customHeight="1">
      <c r="A1416" s="80" t="s">
        <v>581</v>
      </c>
      <c r="B1416" s="81" t="str">
        <f t="shared" si="1"/>
        <v>Kab Dharmasraya</v>
      </c>
      <c r="C1416" s="81" t="str">
        <f t="array" ref="C1416">XLOOKUP(B1416,Reference!$A$2:$A$152,Reference!$B$2:$B$152)</f>
        <v>Sumatera Barat</v>
      </c>
      <c r="D1416" s="82" t="s">
        <v>1855</v>
      </c>
      <c r="E1416" s="83">
        <v>45352.0</v>
      </c>
      <c r="F1416" s="84" t="str">
        <f t="array" ref="F1416">XLOOKUP(G1416,Reference!$F:$F,Reference!$D:$D,"null")</f>
        <v>Pendidikan dan Kesehatan</v>
      </c>
      <c r="G1416" s="85" t="s">
        <v>98</v>
      </c>
      <c r="H1416" s="86">
        <v>103.23</v>
      </c>
      <c r="I1416" s="86">
        <v>103.23</v>
      </c>
      <c r="J1416" s="87">
        <f t="shared" si="2"/>
        <v>0</v>
      </c>
      <c r="K1416" s="84" t="str">
        <f t="shared" si="3"/>
        <v>Stabil</v>
      </c>
      <c r="L1416" s="84">
        <f t="shared" si="4"/>
        <v>0</v>
      </c>
      <c r="M1416" s="88" t="str">
        <f t="shared" si="5"/>
        <v>Perubahan Normal</v>
      </c>
    </row>
    <row r="1417" ht="18.75" customHeight="1">
      <c r="A1417" s="80" t="s">
        <v>395</v>
      </c>
      <c r="B1417" s="81" t="str">
        <f t="shared" si="1"/>
        <v>Kota Bukittinggi</v>
      </c>
      <c r="C1417" s="81" t="str">
        <f t="array" ref="C1417">XLOOKUP(B1417,Reference!$A$2:$A$152,Reference!$B$2:$B$152)</f>
        <v>Sumatera Barat</v>
      </c>
      <c r="D1417" s="82" t="s">
        <v>1856</v>
      </c>
      <c r="E1417" s="83">
        <v>45352.0</v>
      </c>
      <c r="F1417" s="84" t="str">
        <f t="array" ref="F1417">XLOOKUP(G1417,Reference!$F:$F,Reference!$D:$D,"null")</f>
        <v>Rumah Tangga</v>
      </c>
      <c r="G1417" s="85" t="s">
        <v>80</v>
      </c>
      <c r="H1417" s="86">
        <v>102.02</v>
      </c>
      <c r="I1417" s="86">
        <v>102.02</v>
      </c>
      <c r="J1417" s="87">
        <f t="shared" si="2"/>
        <v>0</v>
      </c>
      <c r="K1417" s="84" t="str">
        <f t="shared" si="3"/>
        <v>Stabil</v>
      </c>
      <c r="L1417" s="84">
        <f t="shared" si="4"/>
        <v>0</v>
      </c>
      <c r="M1417" s="88" t="str">
        <f t="shared" si="5"/>
        <v>Perubahan Normal</v>
      </c>
    </row>
    <row r="1418" ht="18.75" customHeight="1">
      <c r="A1418" s="80" t="s">
        <v>340</v>
      </c>
      <c r="B1418" s="81" t="str">
        <f t="shared" si="1"/>
        <v>Kab Rembang</v>
      </c>
      <c r="C1418" s="81" t="str">
        <f t="array" ref="C1418">XLOOKUP(B1418,Reference!$A$2:$A$152,Reference!$B$2:$B$152)</f>
        <v>Jawa Tengah</v>
      </c>
      <c r="D1418" s="82" t="s">
        <v>1857</v>
      </c>
      <c r="E1418" s="83">
        <v>45352.0</v>
      </c>
      <c r="F1418" s="84" t="str">
        <f t="array" ref="F1418">XLOOKUP(G1418,Reference!$F:$F,Reference!$D:$D,"null")</f>
        <v>Rumah Tangga</v>
      </c>
      <c r="G1418" s="85" t="s">
        <v>84</v>
      </c>
      <c r="H1418" s="86">
        <v>102.36</v>
      </c>
      <c r="I1418" s="86">
        <v>102.4</v>
      </c>
      <c r="J1418" s="87">
        <f t="shared" si="2"/>
        <v>-0.0390625</v>
      </c>
      <c r="K1418" s="84" t="str">
        <f t="shared" si="3"/>
        <v>Deflasi</v>
      </c>
      <c r="L1418" s="84">
        <f t="shared" si="4"/>
        <v>-0.04</v>
      </c>
      <c r="M1418" s="88" t="str">
        <f t="shared" si="5"/>
        <v>Perubahan Normal</v>
      </c>
    </row>
    <row r="1419" ht="18.75" customHeight="1">
      <c r="A1419" s="80" t="s">
        <v>606</v>
      </c>
      <c r="B1419" s="81" t="str">
        <f t="shared" si="1"/>
        <v>Kota Pare Pare</v>
      </c>
      <c r="C1419" s="81" t="str">
        <f t="array" ref="C1419">XLOOKUP(B1419,Reference!$A$2:$A$152,Reference!$B$2:$B$152)</f>
        <v>Sulawesi Selatan</v>
      </c>
      <c r="D1419" s="82" t="s">
        <v>1858</v>
      </c>
      <c r="E1419" s="83">
        <v>45323.0</v>
      </c>
      <c r="F1419" s="84" t="str">
        <f t="array" ref="F1419">XLOOKUP(G1419,Reference!$F:$F,Reference!$D:$D,"null")</f>
        <v>Makanan dan Pakaian </v>
      </c>
      <c r="G1419" s="85" t="s">
        <v>56</v>
      </c>
      <c r="H1419" s="86">
        <v>100.53</v>
      </c>
      <c r="I1419" s="86">
        <v>101.31</v>
      </c>
      <c r="J1419" s="87">
        <f t="shared" si="2"/>
        <v>-0.769914125</v>
      </c>
      <c r="K1419" s="84" t="str">
        <f t="shared" si="3"/>
        <v>Deflasi</v>
      </c>
      <c r="L1419" s="84">
        <f t="shared" si="4"/>
        <v>-0.78</v>
      </c>
      <c r="M1419" s="88" t="str">
        <f t="shared" si="5"/>
        <v>Perubahan Normal</v>
      </c>
    </row>
    <row r="1420" ht="18.75" customHeight="1">
      <c r="A1420" s="80" t="s">
        <v>417</v>
      </c>
      <c r="B1420" s="81" t="str">
        <f t="shared" si="1"/>
        <v>Kotabaru</v>
      </c>
      <c r="C1420" s="81" t="str">
        <f t="array" ref="C1420">XLOOKUP(B1420,Reference!$A$2:$A$152,Reference!$B$2:$B$152)</f>
        <v>Kalimantan Selatan</v>
      </c>
      <c r="D1420" s="82" t="s">
        <v>1859</v>
      </c>
      <c r="E1420" s="83">
        <v>45352.0</v>
      </c>
      <c r="F1420" s="84" t="str">
        <f t="array" ref="F1420">XLOOKUP(G1420,Reference!$F:$F,Reference!$D:$D,"null")</f>
        <v>Rumah Tangga</v>
      </c>
      <c r="G1420" s="85" t="s">
        <v>89</v>
      </c>
      <c r="H1420" s="86">
        <v>105.68</v>
      </c>
      <c r="I1420" s="86">
        <v>105.68</v>
      </c>
      <c r="J1420" s="87">
        <f t="shared" si="2"/>
        <v>0</v>
      </c>
      <c r="K1420" s="84" t="str">
        <f t="shared" si="3"/>
        <v>Stabil</v>
      </c>
      <c r="L1420" s="84">
        <f t="shared" si="4"/>
        <v>0</v>
      </c>
      <c r="M1420" s="88" t="str">
        <f t="shared" si="5"/>
        <v>Perubahan Normal</v>
      </c>
    </row>
    <row r="1421" ht="18.75" customHeight="1">
      <c r="A1421" s="80" t="s">
        <v>318</v>
      </c>
      <c r="B1421" s="81" t="str">
        <f t="shared" si="1"/>
        <v>Tanjung</v>
      </c>
      <c r="C1421" s="81" t="str">
        <f t="array" ref="C1421">XLOOKUP(B1421,Reference!$A$2:$A$152,Reference!$B$2:$B$152)</f>
        <v>Kalimantan Selatan</v>
      </c>
      <c r="D1421" s="82" t="s">
        <v>1860</v>
      </c>
      <c r="E1421" s="83">
        <v>45352.0</v>
      </c>
      <c r="F1421" s="84" t="str">
        <f t="array" ref="F1421">XLOOKUP(G1421,Reference!$F:$F,Reference!$D:$D,"null")</f>
        <v>Makanan dan Pakaian </v>
      </c>
      <c r="G1421" s="85" t="s">
        <v>72</v>
      </c>
      <c r="H1421" s="86">
        <v>102.68</v>
      </c>
      <c r="I1421" s="86">
        <v>102.68</v>
      </c>
      <c r="J1421" s="87">
        <f t="shared" si="2"/>
        <v>0</v>
      </c>
      <c r="K1421" s="84" t="str">
        <f t="shared" si="3"/>
        <v>Stabil</v>
      </c>
      <c r="L1421" s="84">
        <f t="shared" si="4"/>
        <v>0</v>
      </c>
      <c r="M1421" s="88" t="str">
        <f t="shared" si="5"/>
        <v>Perubahan Normal</v>
      </c>
    </row>
    <row r="1422" ht="18.75" customHeight="1">
      <c r="A1422" s="80" t="s">
        <v>699</v>
      </c>
      <c r="B1422" s="81" t="str">
        <f t="shared" si="1"/>
        <v>Mamuju</v>
      </c>
      <c r="C1422" s="81" t="str">
        <f t="array" ref="C1422">XLOOKUP(B1422,Reference!$A$2:$A$152,Reference!$B$2:$B$152)</f>
        <v>Sulawesi Barat</v>
      </c>
      <c r="D1422" s="82" t="s">
        <v>1861</v>
      </c>
      <c r="E1422" s="83">
        <v>45323.0</v>
      </c>
      <c r="F1422" s="84" t="str">
        <f t="array" ref="F1422">XLOOKUP(G1422,Reference!$F:$F,Reference!$D:$D,"null")</f>
        <v>Makanan dan Pakaian </v>
      </c>
      <c r="G1422" s="85" t="s">
        <v>72</v>
      </c>
      <c r="H1422" s="86">
        <v>102.09</v>
      </c>
      <c r="I1422" s="86">
        <v>102.09</v>
      </c>
      <c r="J1422" s="87">
        <f t="shared" si="2"/>
        <v>0</v>
      </c>
      <c r="K1422" s="84" t="str">
        <f t="shared" si="3"/>
        <v>Stabil</v>
      </c>
      <c r="L1422" s="84">
        <f t="shared" si="4"/>
        <v>0</v>
      </c>
      <c r="M1422" s="88" t="str">
        <f t="shared" si="5"/>
        <v>Perubahan Normal</v>
      </c>
    </row>
    <row r="1423" ht="18.75" customHeight="1">
      <c r="A1423" s="80" t="s">
        <v>663</v>
      </c>
      <c r="B1423" s="81" t="str">
        <f t="shared" si="1"/>
        <v>Kota Serang</v>
      </c>
      <c r="C1423" s="81" t="str">
        <f t="array" ref="C1423">XLOOKUP(B1423,Reference!$A$2:$A$152,Reference!$B$2:$B$152)</f>
        <v>Banten</v>
      </c>
      <c r="D1423" s="82" t="s">
        <v>1862</v>
      </c>
      <c r="E1423" s="83">
        <v>45352.0</v>
      </c>
      <c r="F1423" s="84" t="str">
        <f t="array" ref="F1423">XLOOKUP(G1423,Reference!$F:$F,Reference!$D:$D,"null")</f>
        <v>Rumah Tangga</v>
      </c>
      <c r="G1423" s="85" t="s">
        <v>84</v>
      </c>
      <c r="H1423" s="86">
        <v>101.55</v>
      </c>
      <c r="I1423" s="86">
        <v>101.55</v>
      </c>
      <c r="J1423" s="87">
        <f t="shared" si="2"/>
        <v>0</v>
      </c>
      <c r="K1423" s="84" t="str">
        <f t="shared" si="3"/>
        <v>Stabil</v>
      </c>
      <c r="L1423" s="84">
        <f t="shared" si="4"/>
        <v>0</v>
      </c>
      <c r="M1423" s="88" t="str">
        <f t="shared" si="5"/>
        <v>Perubahan Normal</v>
      </c>
    </row>
    <row r="1424" ht="18.75" customHeight="1">
      <c r="A1424" s="80" t="s">
        <v>628</v>
      </c>
      <c r="B1424" s="81" t="str">
        <f t="shared" si="1"/>
        <v>Watampone</v>
      </c>
      <c r="C1424" s="81" t="str">
        <f t="array" ref="C1424">XLOOKUP(B1424,Reference!$A$2:$A$152,Reference!$B$2:$B$152)</f>
        <v>Sulawesi Selatan</v>
      </c>
      <c r="D1424" s="82" t="s">
        <v>1863</v>
      </c>
      <c r="E1424" s="83">
        <v>45352.0</v>
      </c>
      <c r="F1424" s="84" t="str">
        <f t="array" ref="F1424">XLOOKUP(G1424,Reference!$F:$F,Reference!$D:$D,"null")</f>
        <v>Pendidikan dan Kesehatan</v>
      </c>
      <c r="G1424" s="85" t="s">
        <v>98</v>
      </c>
      <c r="H1424" s="86">
        <v>101.47</v>
      </c>
      <c r="I1424" s="86">
        <v>101.47</v>
      </c>
      <c r="J1424" s="87">
        <f t="shared" si="2"/>
        <v>0</v>
      </c>
      <c r="K1424" s="84" t="str">
        <f t="shared" si="3"/>
        <v>Stabil</v>
      </c>
      <c r="L1424" s="84">
        <f t="shared" si="4"/>
        <v>0</v>
      </c>
      <c r="M1424" s="88" t="str">
        <f t="shared" si="5"/>
        <v>Perubahan Normal</v>
      </c>
    </row>
    <row r="1425" ht="18.75" customHeight="1">
      <c r="A1425" s="80" t="s">
        <v>762</v>
      </c>
      <c r="B1425" s="81" t="str">
        <f t="shared" si="1"/>
        <v>Kota Pangkal Pinang</v>
      </c>
      <c r="C1425" s="81" t="str">
        <f t="array" ref="C1425">XLOOKUP(B1425,Reference!$A$2:$A$152,Reference!$B$2:$B$152)</f>
        <v>Kepulauan Bangka Belitung</v>
      </c>
      <c r="D1425" s="82" t="s">
        <v>1864</v>
      </c>
      <c r="E1425" s="83">
        <v>45323.0</v>
      </c>
      <c r="F1425" s="84" t="str">
        <f t="array" ref="F1425">XLOOKUP(G1425,Reference!$F:$F,Reference!$D:$D,"null")</f>
        <v>Rekreasi dan Kendaraan</v>
      </c>
      <c r="G1425" s="85" t="s">
        <v>105</v>
      </c>
      <c r="H1425" s="86">
        <v>100.29</v>
      </c>
      <c r="I1425" s="86">
        <v>100.29</v>
      </c>
      <c r="J1425" s="87">
        <f t="shared" si="2"/>
        <v>0</v>
      </c>
      <c r="K1425" s="84" t="str">
        <f t="shared" si="3"/>
        <v>Stabil</v>
      </c>
      <c r="L1425" s="84">
        <f t="shared" si="4"/>
        <v>0</v>
      </c>
      <c r="M1425" s="88" t="str">
        <f t="shared" si="5"/>
        <v>Perubahan Normal</v>
      </c>
    </row>
    <row r="1426" ht="18.75" customHeight="1">
      <c r="A1426" s="80" t="s">
        <v>573</v>
      </c>
      <c r="B1426" s="81" t="str">
        <f t="shared" si="1"/>
        <v>Kota Palangkaraya</v>
      </c>
      <c r="C1426" s="81" t="str">
        <f t="array" ref="C1426">XLOOKUP(B1426,Reference!$A$2:$A$152,Reference!$B$2:$B$152)</f>
        <v>Kalimantan Tengah</v>
      </c>
      <c r="D1426" s="82" t="s">
        <v>1865</v>
      </c>
      <c r="E1426" s="83">
        <v>45352.0</v>
      </c>
      <c r="F1426" s="84" t="str">
        <f t="array" ref="F1426">XLOOKUP(G1426,Reference!$F:$F,Reference!$D:$D,"null")</f>
        <v>Rumah Tangga</v>
      </c>
      <c r="G1426" s="85" t="s">
        <v>80</v>
      </c>
      <c r="H1426" s="86">
        <v>101.32</v>
      </c>
      <c r="I1426" s="86">
        <v>101.05</v>
      </c>
      <c r="J1426" s="87">
        <f t="shared" si="2"/>
        <v>0.2671944582</v>
      </c>
      <c r="K1426" s="84" t="str">
        <f t="shared" si="3"/>
        <v>Inflasi Normal</v>
      </c>
      <c r="L1426" s="84">
        <f t="shared" si="4"/>
        <v>0.27</v>
      </c>
      <c r="M1426" s="88" t="str">
        <f t="shared" si="5"/>
        <v>Perubahan Normal</v>
      </c>
    </row>
    <row r="1427" ht="18.75" customHeight="1">
      <c r="A1427" s="80" t="s">
        <v>526</v>
      </c>
      <c r="B1427" s="81" t="str">
        <f t="shared" si="1"/>
        <v>Maumere</v>
      </c>
      <c r="C1427" s="81" t="str">
        <f t="array" ref="C1427">XLOOKUP(B1427,Reference!$A$2:$A$152,Reference!$B$2:$B$152)</f>
        <v>Nusa Tenggara Timur (NTT)</v>
      </c>
      <c r="D1427" s="82" t="s">
        <v>1866</v>
      </c>
      <c r="E1427" s="83">
        <v>45352.0</v>
      </c>
      <c r="F1427" s="84" t="str">
        <f t="array" ref="F1427">XLOOKUP(G1427,Reference!$F:$F,Reference!$D:$D,"null")</f>
        <v>Rekreasi dan Kendaraan</v>
      </c>
      <c r="G1427" s="85" t="s">
        <v>102</v>
      </c>
      <c r="H1427" s="86">
        <v>96.48</v>
      </c>
      <c r="I1427" s="86">
        <v>96.99</v>
      </c>
      <c r="J1427" s="87">
        <f t="shared" si="2"/>
        <v>-0.5258274049</v>
      </c>
      <c r="K1427" s="84" t="str">
        <f t="shared" si="3"/>
        <v>Deflasi</v>
      </c>
      <c r="L1427" s="84">
        <f t="shared" si="4"/>
        <v>-0.51</v>
      </c>
      <c r="M1427" s="88" t="str">
        <f t="shared" si="5"/>
        <v>Perubahan Normal</v>
      </c>
    </row>
    <row r="1428" ht="18.75" customHeight="1">
      <c r="A1428" s="80" t="s">
        <v>512</v>
      </c>
      <c r="B1428" s="81" t="str">
        <f t="shared" si="1"/>
        <v>Kota Palu</v>
      </c>
      <c r="C1428" s="81" t="str">
        <f t="array" ref="C1428">XLOOKUP(B1428,Reference!$A$2:$A$152,Reference!$B$2:$B$152)</f>
        <v>Sulawesi Tengah</v>
      </c>
      <c r="D1428" s="82" t="s">
        <v>1867</v>
      </c>
      <c r="E1428" s="83">
        <v>45323.0</v>
      </c>
      <c r="F1428" s="84" t="str">
        <f t="array" ref="F1428">XLOOKUP(G1428,Reference!$F:$F,Reference!$D:$D,"null")</f>
        <v>Makanan dan Pakaian </v>
      </c>
      <c r="G1428" s="85" t="s">
        <v>48</v>
      </c>
      <c r="H1428" s="86">
        <v>109.76</v>
      </c>
      <c r="I1428" s="86">
        <v>108.37</v>
      </c>
      <c r="J1428" s="87">
        <f t="shared" si="2"/>
        <v>1.282642798</v>
      </c>
      <c r="K1428" s="84" t="str">
        <f t="shared" si="3"/>
        <v>Inflasi Tinggi</v>
      </c>
      <c r="L1428" s="84">
        <f t="shared" si="4"/>
        <v>1.39</v>
      </c>
      <c r="M1428" s="88" t="str">
        <f t="shared" si="5"/>
        <v>Akselerasi Persentase</v>
      </c>
    </row>
    <row r="1429" ht="18.75" customHeight="1">
      <c r="A1429" s="80" t="s">
        <v>925</v>
      </c>
      <c r="B1429" s="81" t="str">
        <f t="shared" si="1"/>
        <v>Kota Jakarta</v>
      </c>
      <c r="C1429" s="81" t="str">
        <f t="array" ref="C1429">XLOOKUP(B1429,Reference!$A$2:$A$152,Reference!$B$2:$B$152)</f>
        <v>DKI Jakarta</v>
      </c>
      <c r="D1429" s="82" t="s">
        <v>1868</v>
      </c>
      <c r="E1429" s="83">
        <v>45323.0</v>
      </c>
      <c r="F1429" s="84" t="str">
        <f t="array" ref="F1429">XLOOKUP(G1429,Reference!$F:$F,Reference!$D:$D,"null")</f>
        <v>Pendidikan dan Kesehatan</v>
      </c>
      <c r="G1429" s="85" t="s">
        <v>98</v>
      </c>
      <c r="H1429" s="86">
        <v>104.75</v>
      </c>
      <c r="I1429" s="86">
        <v>104.56</v>
      </c>
      <c r="J1429" s="87">
        <f t="shared" si="2"/>
        <v>0.1817138485</v>
      </c>
      <c r="K1429" s="84" t="str">
        <f t="shared" si="3"/>
        <v>Inflasi Normal</v>
      </c>
      <c r="L1429" s="84">
        <f t="shared" si="4"/>
        <v>0.19</v>
      </c>
      <c r="M1429" s="88" t="str">
        <f t="shared" si="5"/>
        <v>Perubahan Normal</v>
      </c>
    </row>
    <row r="1430" ht="18.75" customHeight="1">
      <c r="A1430" s="80" t="s">
        <v>318</v>
      </c>
      <c r="B1430" s="81" t="str">
        <f t="shared" si="1"/>
        <v>Tanjung</v>
      </c>
      <c r="C1430" s="81" t="str">
        <f t="array" ref="C1430">XLOOKUP(B1430,Reference!$A$2:$A$152,Reference!$B$2:$B$152)</f>
        <v>Kalimantan Selatan</v>
      </c>
      <c r="D1430" s="82" t="s">
        <v>1869</v>
      </c>
      <c r="E1430" s="83">
        <v>45352.0</v>
      </c>
      <c r="F1430" s="84" t="str">
        <f t="array" ref="F1430">XLOOKUP(G1430,Reference!$F:$F,Reference!$D:$D,"null")</f>
        <v>Makanan dan Pakaian </v>
      </c>
      <c r="G1430" s="85" t="s">
        <v>48</v>
      </c>
      <c r="H1430" s="86">
        <v>105.32</v>
      </c>
      <c r="I1430" s="86">
        <v>104.11</v>
      </c>
      <c r="J1430" s="87">
        <f t="shared" si="2"/>
        <v>1.162232254</v>
      </c>
      <c r="K1430" s="84" t="str">
        <f t="shared" si="3"/>
        <v>Inflasi Tinggi</v>
      </c>
      <c r="L1430" s="84">
        <f t="shared" si="4"/>
        <v>1.21</v>
      </c>
      <c r="M1430" s="88" t="str">
        <f t="shared" si="5"/>
        <v>Akselerasi Persentase</v>
      </c>
    </row>
    <row r="1431" ht="18.75" customHeight="1">
      <c r="A1431" s="80" t="s">
        <v>324</v>
      </c>
      <c r="B1431" s="81" t="str">
        <f t="shared" si="1"/>
        <v>Kab Nunukan</v>
      </c>
      <c r="C1431" s="81" t="str">
        <f t="array" ref="C1431">XLOOKUP(B1431,Reference!$A$2:$A$152,Reference!$B$2:$B$152)</f>
        <v>Kalimantan Utara</v>
      </c>
      <c r="D1431" s="82" t="s">
        <v>1870</v>
      </c>
      <c r="E1431" s="83">
        <v>45352.0</v>
      </c>
      <c r="F1431" s="84" t="str">
        <f t="array" ref="F1431">XLOOKUP(G1431,Reference!$F:$F,Reference!$D:$D,"null")</f>
        <v>Makanan dan Pakaian </v>
      </c>
      <c r="G1431" s="85" t="s">
        <v>64</v>
      </c>
      <c r="H1431" s="86">
        <v>106.1</v>
      </c>
      <c r="I1431" s="86">
        <v>106.1</v>
      </c>
      <c r="J1431" s="87">
        <f t="shared" si="2"/>
        <v>0</v>
      </c>
      <c r="K1431" s="84" t="str">
        <f t="shared" si="3"/>
        <v>Stabil</v>
      </c>
      <c r="L1431" s="84">
        <f t="shared" si="4"/>
        <v>0</v>
      </c>
      <c r="M1431" s="88" t="str">
        <f t="shared" si="5"/>
        <v>Perubahan Normal</v>
      </c>
    </row>
    <row r="1432" ht="18.75" customHeight="1">
      <c r="A1432" s="80" t="s">
        <v>517</v>
      </c>
      <c r="B1432" s="81" t="str">
        <f t="shared" si="1"/>
        <v>Kota Kupang</v>
      </c>
      <c r="C1432" s="81" t="str">
        <f t="array" ref="C1432">XLOOKUP(B1432,Reference!$A$2:$A$152,Reference!$B$2:$B$152)</f>
        <v>Nusa Tenggara Timur (NTT)</v>
      </c>
      <c r="D1432" s="82" t="s">
        <v>1871</v>
      </c>
      <c r="E1432" s="83">
        <v>45352.0</v>
      </c>
      <c r="F1432" s="84" t="str">
        <f t="array" ref="F1432">XLOOKUP(G1432,Reference!$F:$F,Reference!$D:$D,"null")</f>
        <v>Rekreasi dan Kendaraan</v>
      </c>
      <c r="G1432" s="85" t="s">
        <v>105</v>
      </c>
      <c r="H1432" s="86">
        <v>106.1</v>
      </c>
      <c r="I1432" s="86">
        <v>105.37</v>
      </c>
      <c r="J1432" s="87">
        <f t="shared" si="2"/>
        <v>0.6927968112</v>
      </c>
      <c r="K1432" s="84" t="str">
        <f t="shared" si="3"/>
        <v>Inflasi Tinggi</v>
      </c>
      <c r="L1432" s="84">
        <f t="shared" si="4"/>
        <v>0.73</v>
      </c>
      <c r="M1432" s="88" t="str">
        <f t="shared" si="5"/>
        <v>Akselerasi Persentase</v>
      </c>
    </row>
    <row r="1433" ht="18.75" customHeight="1">
      <c r="A1433" s="80" t="s">
        <v>558</v>
      </c>
      <c r="B1433" s="81" t="str">
        <f t="shared" si="1"/>
        <v>Kab Kapuas</v>
      </c>
      <c r="C1433" s="81" t="str">
        <f t="array" ref="C1433">XLOOKUP(B1433,Reference!$A$2:$A$152,Reference!$B$2:$B$152)</f>
        <v>Kalimantan Tengah</v>
      </c>
      <c r="D1433" s="82" t="s">
        <v>1872</v>
      </c>
      <c r="E1433" s="83">
        <v>45352.0</v>
      </c>
      <c r="F1433" s="84" t="str">
        <f t="array" ref="F1433">XLOOKUP(G1433,Reference!$F:$F,Reference!$D:$D,"null")</f>
        <v>Rumah Tangga</v>
      </c>
      <c r="G1433" s="85" t="s">
        <v>89</v>
      </c>
      <c r="H1433" s="86">
        <v>103.97</v>
      </c>
      <c r="I1433" s="86">
        <v>103.97</v>
      </c>
      <c r="J1433" s="87">
        <f t="shared" si="2"/>
        <v>0</v>
      </c>
      <c r="K1433" s="84" t="str">
        <f t="shared" si="3"/>
        <v>Stabil</v>
      </c>
      <c r="L1433" s="84">
        <f t="shared" si="4"/>
        <v>0</v>
      </c>
      <c r="M1433" s="88" t="str">
        <f t="shared" si="5"/>
        <v>Perubahan Normal</v>
      </c>
    </row>
    <row r="1434" ht="18.75" customHeight="1">
      <c r="A1434" s="80" t="s">
        <v>456</v>
      </c>
      <c r="B1434" s="81" t="str">
        <f t="shared" si="1"/>
        <v>Kab Aceh Tamiang</v>
      </c>
      <c r="C1434" s="81" t="str">
        <f t="array" ref="C1434">XLOOKUP(B1434,Reference!$A$2:$A$152,Reference!$B$2:$B$152)</f>
        <v>Aceh</v>
      </c>
      <c r="D1434" s="82" t="s">
        <v>1873</v>
      </c>
      <c r="E1434" s="83">
        <v>45323.0</v>
      </c>
      <c r="F1434" s="84" t="str">
        <f t="array" ref="F1434">XLOOKUP(G1434,Reference!$F:$F,Reference!$D:$D,"null")</f>
        <v>Rumah Tangga</v>
      </c>
      <c r="G1434" s="85" t="s">
        <v>89</v>
      </c>
      <c r="H1434" s="86">
        <v>102.73</v>
      </c>
      <c r="I1434" s="86">
        <v>102.73</v>
      </c>
      <c r="J1434" s="87">
        <f t="shared" si="2"/>
        <v>0</v>
      </c>
      <c r="K1434" s="84" t="str">
        <f t="shared" si="3"/>
        <v>Stabil</v>
      </c>
      <c r="L1434" s="84">
        <f t="shared" si="4"/>
        <v>0</v>
      </c>
      <c r="M1434" s="88" t="str">
        <f t="shared" si="5"/>
        <v>Perubahan Normal</v>
      </c>
    </row>
    <row r="1435" ht="18.75" customHeight="1">
      <c r="A1435" s="80" t="s">
        <v>616</v>
      </c>
      <c r="B1435" s="81" t="str">
        <f t="shared" si="1"/>
        <v>Kab Sorong</v>
      </c>
      <c r="C1435" s="81" t="str">
        <f t="array" ref="C1435">XLOOKUP(B1435,Reference!$A$2:$A$152,Reference!$B$2:$B$152)</f>
        <v>Papua Barat Daya</v>
      </c>
      <c r="D1435" s="82" t="s">
        <v>1874</v>
      </c>
      <c r="E1435" s="83">
        <v>45352.0</v>
      </c>
      <c r="F1435" s="84" t="str">
        <f t="array" ref="F1435">XLOOKUP(G1435,Reference!$F:$F,Reference!$D:$D,"null")</f>
        <v>Rumah Tangga</v>
      </c>
      <c r="G1435" s="85" t="s">
        <v>89</v>
      </c>
      <c r="H1435" s="86">
        <v>103.33</v>
      </c>
      <c r="I1435" s="86">
        <v>103.33</v>
      </c>
      <c r="J1435" s="87">
        <f t="shared" si="2"/>
        <v>0</v>
      </c>
      <c r="K1435" s="84" t="str">
        <f t="shared" si="3"/>
        <v>Stabil</v>
      </c>
      <c r="L1435" s="84">
        <f t="shared" si="4"/>
        <v>0</v>
      </c>
      <c r="M1435" s="88" t="str">
        <f t="shared" si="5"/>
        <v>Perubahan Normal</v>
      </c>
    </row>
    <row r="1436" ht="18.75" customHeight="1">
      <c r="A1436" s="80" t="s">
        <v>535</v>
      </c>
      <c r="B1436" s="81" t="str">
        <f t="shared" si="1"/>
        <v>Kota Tarakan</v>
      </c>
      <c r="C1436" s="81" t="str">
        <f t="array" ref="C1436">XLOOKUP(B1436,Reference!$A$2:$A$152,Reference!$B$2:$B$152)</f>
        <v>Kalimantan Utara</v>
      </c>
      <c r="D1436" s="82" t="s">
        <v>1875</v>
      </c>
      <c r="E1436" s="83">
        <v>45352.0</v>
      </c>
      <c r="F1436" s="84" t="str">
        <f t="array" ref="F1436">XLOOKUP(G1436,Reference!$F:$F,Reference!$D:$D,"null")</f>
        <v>Rekreasi dan Kendaraan</v>
      </c>
      <c r="G1436" s="85" t="s">
        <v>105</v>
      </c>
      <c r="H1436" s="86">
        <v>101.78</v>
      </c>
      <c r="I1436" s="86">
        <v>101.61</v>
      </c>
      <c r="J1436" s="87">
        <f t="shared" si="2"/>
        <v>0.1673063675</v>
      </c>
      <c r="K1436" s="84" t="str">
        <f t="shared" si="3"/>
        <v>Inflasi Normal</v>
      </c>
      <c r="L1436" s="84">
        <f t="shared" si="4"/>
        <v>0.17</v>
      </c>
      <c r="M1436" s="88" t="str">
        <f t="shared" si="5"/>
        <v>Perubahan Normal</v>
      </c>
    </row>
    <row r="1437" ht="18.75" customHeight="1">
      <c r="A1437" s="80" t="s">
        <v>584</v>
      </c>
      <c r="B1437" s="81" t="str">
        <f t="shared" si="1"/>
        <v>Kota Sibolga</v>
      </c>
      <c r="C1437" s="81" t="str">
        <f t="array" ref="C1437">XLOOKUP(B1437,Reference!$A$2:$A$152,Reference!$B$2:$B$152)</f>
        <v>Sumatera Utara</v>
      </c>
      <c r="D1437" s="82" t="s">
        <v>1876</v>
      </c>
      <c r="E1437" s="83">
        <v>45352.0</v>
      </c>
      <c r="F1437" s="84" t="str">
        <f t="array" ref="F1437">XLOOKUP(G1437,Reference!$F:$F,Reference!$D:$D,"null")</f>
        <v>Makanan dan Pakaian </v>
      </c>
      <c r="G1437" s="85" t="s">
        <v>56</v>
      </c>
      <c r="H1437" s="86">
        <v>110.44</v>
      </c>
      <c r="I1437" s="86">
        <v>110.46</v>
      </c>
      <c r="J1437" s="87">
        <f t="shared" si="2"/>
        <v>-0.01810610176</v>
      </c>
      <c r="K1437" s="84" t="str">
        <f t="shared" si="3"/>
        <v>Deflasi</v>
      </c>
      <c r="L1437" s="84">
        <f t="shared" si="4"/>
        <v>-0.02</v>
      </c>
      <c r="M1437" s="88" t="str">
        <f t="shared" si="5"/>
        <v>Perubahan Normal</v>
      </c>
    </row>
    <row r="1438" ht="18.75" customHeight="1">
      <c r="A1438" s="80" t="s">
        <v>631</v>
      </c>
      <c r="B1438" s="81" t="str">
        <f t="shared" si="1"/>
        <v>Kab Toli Toli</v>
      </c>
      <c r="C1438" s="81" t="str">
        <f t="array" ref="C1438">XLOOKUP(B1438,Reference!$A$2:$A$152,Reference!$B$2:$B$152)</f>
        <v>Sulawesi Tengah</v>
      </c>
      <c r="D1438" s="82" t="s">
        <v>1877</v>
      </c>
      <c r="E1438" s="83">
        <v>45352.0</v>
      </c>
      <c r="F1438" s="84" t="str">
        <f t="array" ref="F1438">XLOOKUP(G1438,Reference!$F:$F,Reference!$D:$D,"null")</f>
        <v>Makanan dan Pakaian </v>
      </c>
      <c r="G1438" s="85" t="s">
        <v>48</v>
      </c>
      <c r="H1438" s="86">
        <v>122.86</v>
      </c>
      <c r="I1438" s="86">
        <v>118.94</v>
      </c>
      <c r="J1438" s="87">
        <f t="shared" si="2"/>
        <v>3.295779385</v>
      </c>
      <c r="K1438" s="84" t="str">
        <f t="shared" si="3"/>
        <v>Inflasi Tinggi</v>
      </c>
      <c r="L1438" s="84">
        <f t="shared" si="4"/>
        <v>3.92</v>
      </c>
      <c r="M1438" s="88" t="str">
        <f t="shared" si="5"/>
        <v>Akselerasi Kuat</v>
      </c>
    </row>
    <row r="1439" ht="18.75" customHeight="1">
      <c r="A1439" s="80" t="s">
        <v>408</v>
      </c>
      <c r="B1439" s="81" t="str">
        <f t="shared" si="1"/>
        <v>Manokwari</v>
      </c>
      <c r="C1439" s="81" t="str">
        <f t="array" ref="C1439">XLOOKUP(B1439,Reference!$A$2:$A$152,Reference!$B$2:$B$152)</f>
        <v>Papua Barat Daya</v>
      </c>
      <c r="D1439" s="82" t="s">
        <v>1878</v>
      </c>
      <c r="E1439" s="83">
        <v>45352.0</v>
      </c>
      <c r="F1439" s="84" t="str">
        <f t="array" ref="F1439">XLOOKUP(G1439,Reference!$F:$F,Reference!$D:$D,"null")</f>
        <v>Rumah Tangga</v>
      </c>
      <c r="G1439" s="85" t="s">
        <v>84</v>
      </c>
      <c r="H1439" s="86">
        <v>101.13</v>
      </c>
      <c r="I1439" s="86">
        <v>101.12</v>
      </c>
      <c r="J1439" s="87">
        <f t="shared" si="2"/>
        <v>0.009889240506</v>
      </c>
      <c r="K1439" s="84" t="str">
        <f t="shared" si="3"/>
        <v>Inflasi Normal</v>
      </c>
      <c r="L1439" s="84">
        <f t="shared" si="4"/>
        <v>0.01</v>
      </c>
      <c r="M1439" s="88" t="str">
        <f t="shared" si="5"/>
        <v>Perubahan Normal</v>
      </c>
    </row>
    <row r="1440" ht="18.75" customHeight="1">
      <c r="A1440" s="80" t="s">
        <v>497</v>
      </c>
      <c r="B1440" s="81" t="str">
        <f t="shared" si="1"/>
        <v>Tanjung Pandan</v>
      </c>
      <c r="C1440" s="81" t="str">
        <f t="array" ref="C1440">XLOOKUP(B1440,Reference!$A$2:$A$152,Reference!$B$2:$B$152)</f>
        <v>Kepulauan Bangka Belitung</v>
      </c>
      <c r="D1440" s="82" t="s">
        <v>1879</v>
      </c>
      <c r="E1440" s="83">
        <v>45323.0</v>
      </c>
      <c r="F1440" s="84" t="str">
        <f t="array" ref="F1440">XLOOKUP(G1440,Reference!$F:$F,Reference!$D:$D,"null")</f>
        <v>Rumah Tangga</v>
      </c>
      <c r="G1440" s="85" t="s">
        <v>84</v>
      </c>
      <c r="H1440" s="86">
        <v>100.3</v>
      </c>
      <c r="I1440" s="86">
        <v>100.3</v>
      </c>
      <c r="J1440" s="87">
        <f t="shared" si="2"/>
        <v>0</v>
      </c>
      <c r="K1440" s="84" t="str">
        <f t="shared" si="3"/>
        <v>Stabil</v>
      </c>
      <c r="L1440" s="84">
        <f t="shared" si="4"/>
        <v>0</v>
      </c>
      <c r="M1440" s="88" t="str">
        <f t="shared" si="5"/>
        <v>Perubahan Normal</v>
      </c>
    </row>
    <row r="1441" ht="18.75" customHeight="1">
      <c r="A1441" s="80" t="s">
        <v>302</v>
      </c>
      <c r="B1441" s="81" t="str">
        <f t="shared" si="1"/>
        <v>Kota Lubuk Linggau</v>
      </c>
      <c r="C1441" s="81" t="str">
        <f t="array" ref="C1441">XLOOKUP(B1441,Reference!$A$2:$A$152,Reference!$B$2:$B$152)</f>
        <v>Sumatera Selatan</v>
      </c>
      <c r="D1441" s="82" t="s">
        <v>1880</v>
      </c>
      <c r="E1441" s="83">
        <v>45352.0</v>
      </c>
      <c r="F1441" s="84" t="str">
        <f t="array" ref="F1441">XLOOKUP(G1441,Reference!$F:$F,Reference!$D:$D,"null")</f>
        <v>Makanan dan Pakaian </v>
      </c>
      <c r="G1441" s="85" t="s">
        <v>48</v>
      </c>
      <c r="H1441" s="86">
        <v>106.75</v>
      </c>
      <c r="I1441" s="86">
        <v>106.12</v>
      </c>
      <c r="J1441" s="87">
        <f t="shared" si="2"/>
        <v>0.5936675462</v>
      </c>
      <c r="K1441" s="84" t="str">
        <f t="shared" si="3"/>
        <v>Inflasi Tinggi</v>
      </c>
      <c r="L1441" s="84">
        <f t="shared" si="4"/>
        <v>0.63</v>
      </c>
      <c r="M1441" s="88" t="str">
        <f t="shared" si="5"/>
        <v>Akselerasi Persentase</v>
      </c>
    </row>
    <row r="1442" ht="18.75" customHeight="1">
      <c r="A1442" s="80" t="s">
        <v>841</v>
      </c>
      <c r="B1442" s="81" t="str">
        <f t="shared" si="1"/>
        <v>Kab Morowali</v>
      </c>
      <c r="C1442" s="81" t="str">
        <f t="array" ref="C1442">XLOOKUP(B1442,Reference!$A$2:$A$152,Reference!$B$2:$B$152)</f>
        <v>Sulawesi Tengah</v>
      </c>
      <c r="D1442" s="82" t="s">
        <v>1881</v>
      </c>
      <c r="E1442" s="83">
        <v>45352.0</v>
      </c>
      <c r="F1442" s="84" t="str">
        <f t="array" ref="F1442">XLOOKUP(G1442,Reference!$F:$F,Reference!$D:$D,"null")</f>
        <v>Rekreasi dan Kendaraan</v>
      </c>
      <c r="G1442" s="85" t="s">
        <v>102</v>
      </c>
      <c r="H1442" s="86">
        <v>101.27</v>
      </c>
      <c r="I1442" s="86">
        <v>101.27</v>
      </c>
      <c r="J1442" s="87">
        <f t="shared" si="2"/>
        <v>0</v>
      </c>
      <c r="K1442" s="84" t="str">
        <f t="shared" si="3"/>
        <v>Stabil</v>
      </c>
      <c r="L1442" s="84">
        <f t="shared" si="4"/>
        <v>0</v>
      </c>
      <c r="M1442" s="88" t="str">
        <f t="shared" si="5"/>
        <v>Perubahan Normal</v>
      </c>
    </row>
    <row r="1443" ht="18.75" customHeight="1">
      <c r="A1443" s="80" t="s">
        <v>548</v>
      </c>
      <c r="B1443" s="81" t="str">
        <f t="shared" si="1"/>
        <v>Kota Metro</v>
      </c>
      <c r="C1443" s="81" t="str">
        <f t="array" ref="C1443">XLOOKUP(B1443,Reference!$A$2:$A$152,Reference!$B$2:$B$152)</f>
        <v>Lampung</v>
      </c>
      <c r="D1443" s="82" t="s">
        <v>1882</v>
      </c>
      <c r="E1443" s="83">
        <v>45323.0</v>
      </c>
      <c r="F1443" s="84" t="str">
        <f t="array" ref="F1443">XLOOKUP(G1443,Reference!$F:$F,Reference!$D:$D,"null")</f>
        <v>Rumah Tangga</v>
      </c>
      <c r="G1443" s="89" t="s">
        <v>80</v>
      </c>
      <c r="H1443" s="90">
        <v>100.86</v>
      </c>
      <c r="I1443" s="90">
        <v>100.86</v>
      </c>
      <c r="J1443" s="87">
        <f t="shared" si="2"/>
        <v>0</v>
      </c>
      <c r="K1443" s="84" t="str">
        <f t="shared" si="3"/>
        <v>Stabil</v>
      </c>
      <c r="L1443" s="91">
        <f t="shared" si="4"/>
        <v>0</v>
      </c>
      <c r="M1443" s="88" t="str">
        <f t="shared" si="5"/>
        <v>Perubahan Normal</v>
      </c>
    </row>
    <row r="1444" ht="18.75" customHeight="1">
      <c r="A1444" s="80" t="s">
        <v>478</v>
      </c>
      <c r="B1444" s="81" t="str">
        <f t="shared" si="1"/>
        <v>Kab Maluku Tengah</v>
      </c>
      <c r="C1444" s="81" t="str">
        <f t="array" ref="C1444">XLOOKUP(B1444,Reference!$A$2:$A$152,Reference!$B$2:$B$152)</f>
        <v>Maluku</v>
      </c>
      <c r="D1444" s="82" t="s">
        <v>1883</v>
      </c>
      <c r="E1444" s="83">
        <v>45352.0</v>
      </c>
      <c r="F1444" s="84" t="str">
        <f t="array" ref="F1444">XLOOKUP(G1444,Reference!$F:$F,Reference!$D:$D,"null")</f>
        <v>Makanan dan Pakaian </v>
      </c>
      <c r="G1444" s="85" t="s">
        <v>64</v>
      </c>
      <c r="H1444" s="86">
        <v>104.64</v>
      </c>
      <c r="I1444" s="86">
        <v>104.64</v>
      </c>
      <c r="J1444" s="87">
        <f t="shared" si="2"/>
        <v>0</v>
      </c>
      <c r="K1444" s="84" t="str">
        <f t="shared" si="3"/>
        <v>Stabil</v>
      </c>
      <c r="L1444" s="84">
        <f t="shared" si="4"/>
        <v>0</v>
      </c>
      <c r="M1444" s="88" t="str">
        <f t="shared" si="5"/>
        <v>Perubahan Normal</v>
      </c>
    </row>
    <row r="1445" ht="18.75" customHeight="1">
      <c r="A1445" s="80" t="s">
        <v>990</v>
      </c>
      <c r="B1445" s="81" t="str">
        <f t="shared" si="1"/>
        <v>Kab Pandeglang</v>
      </c>
      <c r="C1445" s="81" t="str">
        <f t="array" ref="C1445">XLOOKUP(B1445,Reference!$A$2:$A$152,Reference!$B$2:$B$152)</f>
        <v>Banten</v>
      </c>
      <c r="D1445" s="82" t="s">
        <v>1884</v>
      </c>
      <c r="E1445" s="83">
        <v>45323.0</v>
      </c>
      <c r="F1445" s="84" t="str">
        <f t="array" ref="F1445">XLOOKUP(G1445,Reference!$F:$F,Reference!$D:$D,"null")</f>
        <v>Rumah Tangga</v>
      </c>
      <c r="G1445" s="85" t="s">
        <v>80</v>
      </c>
      <c r="H1445" s="86">
        <v>102.07</v>
      </c>
      <c r="I1445" s="86">
        <v>102.07</v>
      </c>
      <c r="J1445" s="87">
        <f t="shared" si="2"/>
        <v>0</v>
      </c>
      <c r="K1445" s="84" t="str">
        <f t="shared" si="3"/>
        <v>Stabil</v>
      </c>
      <c r="L1445" s="84">
        <f t="shared" si="4"/>
        <v>0</v>
      </c>
      <c r="M1445" s="88" t="str">
        <f t="shared" si="5"/>
        <v>Perubahan Normal</v>
      </c>
    </row>
    <row r="1446" ht="18.75" customHeight="1">
      <c r="A1446" s="80" t="s">
        <v>433</v>
      </c>
      <c r="B1446" s="81" t="str">
        <f t="shared" si="1"/>
        <v>Kab Tulungagung</v>
      </c>
      <c r="C1446" s="81" t="str">
        <f t="array" ref="C1446">XLOOKUP(B1446,Reference!$A$2:$A$152,Reference!$B$2:$B$152)</f>
        <v>Jawa Timur</v>
      </c>
      <c r="D1446" s="82" t="s">
        <v>1885</v>
      </c>
      <c r="E1446" s="83">
        <v>45323.0</v>
      </c>
      <c r="F1446" s="84" t="str">
        <f t="array" ref="F1446">XLOOKUP(G1446,Reference!$F:$F,Reference!$D:$D,"null")</f>
        <v>Pendidikan dan Kesehatan</v>
      </c>
      <c r="G1446" s="85" t="s">
        <v>98</v>
      </c>
      <c r="H1446" s="86">
        <v>99.11</v>
      </c>
      <c r="I1446" s="86">
        <v>99.11</v>
      </c>
      <c r="J1446" s="87">
        <f t="shared" si="2"/>
        <v>0</v>
      </c>
      <c r="K1446" s="84" t="str">
        <f t="shared" si="3"/>
        <v>Stabil</v>
      </c>
      <c r="L1446" s="84">
        <f t="shared" si="4"/>
        <v>0</v>
      </c>
      <c r="M1446" s="88" t="str">
        <f t="shared" si="5"/>
        <v>Perubahan Normal</v>
      </c>
    </row>
    <row r="1447" ht="18.75" customHeight="1">
      <c r="A1447" s="80" t="s">
        <v>524</v>
      </c>
      <c r="B1447" s="81" t="str">
        <f t="shared" si="1"/>
        <v>Kudus</v>
      </c>
      <c r="C1447" s="81" t="str">
        <f t="array" ref="C1447">XLOOKUP(B1447,Reference!$A$2:$A$152,Reference!$B$2:$B$152)</f>
        <v>Jawa Tengah</v>
      </c>
      <c r="D1447" s="82" t="s">
        <v>1886</v>
      </c>
      <c r="E1447" s="83">
        <v>45352.0</v>
      </c>
      <c r="F1447" s="84" t="str">
        <f t="array" ref="F1447">XLOOKUP(G1447,Reference!$F:$F,Reference!$D:$D,"null")</f>
        <v>Rekreasi dan Kendaraan</v>
      </c>
      <c r="G1447" s="85" t="s">
        <v>102</v>
      </c>
      <c r="H1447" s="86">
        <v>102.97</v>
      </c>
      <c r="I1447" s="86">
        <v>102.97</v>
      </c>
      <c r="J1447" s="87">
        <f t="shared" si="2"/>
        <v>0</v>
      </c>
      <c r="K1447" s="84" t="str">
        <f t="shared" si="3"/>
        <v>Stabil</v>
      </c>
      <c r="L1447" s="84">
        <f t="shared" si="4"/>
        <v>0</v>
      </c>
      <c r="M1447" s="88" t="str">
        <f t="shared" si="5"/>
        <v>Perubahan Normal</v>
      </c>
    </row>
    <row r="1448" ht="18.75" customHeight="1">
      <c r="A1448" s="80" t="s">
        <v>389</v>
      </c>
      <c r="B1448" s="81" t="str">
        <f t="shared" si="1"/>
        <v>Tembilahan</v>
      </c>
      <c r="C1448" s="81" t="str">
        <f t="array" ref="C1448">XLOOKUP(B1448,Reference!$A$2:$A$152,Reference!$B$2:$B$152)</f>
        <v>Riau</v>
      </c>
      <c r="D1448" s="82" t="s">
        <v>1887</v>
      </c>
      <c r="E1448" s="83">
        <v>45323.0</v>
      </c>
      <c r="F1448" s="84" t="str">
        <f t="array" ref="F1448">XLOOKUP(G1448,Reference!$F:$F,Reference!$D:$D,"null")</f>
        <v>Makanan dan Pakaian </v>
      </c>
      <c r="G1448" s="85" t="s">
        <v>48</v>
      </c>
      <c r="H1448" s="86">
        <v>105.98</v>
      </c>
      <c r="I1448" s="86">
        <v>105.12</v>
      </c>
      <c r="J1448" s="87">
        <f t="shared" si="2"/>
        <v>0.8181126332</v>
      </c>
      <c r="K1448" s="84" t="str">
        <f t="shared" si="3"/>
        <v>Inflasi Tinggi</v>
      </c>
      <c r="L1448" s="84">
        <f t="shared" si="4"/>
        <v>0.86</v>
      </c>
      <c r="M1448" s="88" t="str">
        <f t="shared" si="5"/>
        <v>Akselerasi Persentase</v>
      </c>
    </row>
    <row r="1449" ht="18.75" customHeight="1">
      <c r="A1449" s="80" t="s">
        <v>399</v>
      </c>
      <c r="B1449" s="81" t="str">
        <f t="shared" si="1"/>
        <v>Sampit</v>
      </c>
      <c r="C1449" s="81" t="str">
        <f t="array" ref="C1449">XLOOKUP(B1449,Reference!$A$2:$A$152,Reference!$B$2:$B$152)</f>
        <v>Kalimantan Tengah</v>
      </c>
      <c r="D1449" s="82" t="s">
        <v>1888</v>
      </c>
      <c r="E1449" s="83">
        <v>45352.0</v>
      </c>
      <c r="F1449" s="84" t="str">
        <f t="array" ref="F1449">XLOOKUP(G1449,Reference!$F:$F,Reference!$D:$D,"null")</f>
        <v>Makanan dan Pakaian </v>
      </c>
      <c r="G1449" s="85" t="s">
        <v>72</v>
      </c>
      <c r="H1449" s="86">
        <v>100.4</v>
      </c>
      <c r="I1449" s="86">
        <v>100.4</v>
      </c>
      <c r="J1449" s="87">
        <f t="shared" si="2"/>
        <v>0</v>
      </c>
      <c r="K1449" s="84" t="str">
        <f t="shared" si="3"/>
        <v>Stabil</v>
      </c>
      <c r="L1449" s="84">
        <f t="shared" si="4"/>
        <v>0</v>
      </c>
      <c r="M1449" s="88" t="str">
        <f t="shared" si="5"/>
        <v>Perubahan Normal</v>
      </c>
    </row>
    <row r="1450" ht="18.75" customHeight="1">
      <c r="A1450" s="80" t="s">
        <v>318</v>
      </c>
      <c r="B1450" s="81" t="str">
        <f t="shared" si="1"/>
        <v>Tanjung</v>
      </c>
      <c r="C1450" s="81" t="str">
        <f t="array" ref="C1450">XLOOKUP(B1450,Reference!$A$2:$A$152,Reference!$B$2:$B$152)</f>
        <v>Kalimantan Selatan</v>
      </c>
      <c r="D1450" s="82" t="s">
        <v>1889</v>
      </c>
      <c r="E1450" s="83">
        <v>45352.0</v>
      </c>
      <c r="F1450" s="84" t="str">
        <f t="array" ref="F1450">XLOOKUP(G1450,Reference!$F:$F,Reference!$D:$D,"null")</f>
        <v>Rumah Tangga</v>
      </c>
      <c r="G1450" s="85" t="s">
        <v>84</v>
      </c>
      <c r="H1450" s="86">
        <v>100.58</v>
      </c>
      <c r="I1450" s="86">
        <v>100.58</v>
      </c>
      <c r="J1450" s="87">
        <f t="shared" si="2"/>
        <v>0</v>
      </c>
      <c r="K1450" s="84" t="str">
        <f t="shared" si="3"/>
        <v>Stabil</v>
      </c>
      <c r="L1450" s="84">
        <f t="shared" si="4"/>
        <v>0</v>
      </c>
      <c r="M1450" s="88" t="str">
        <f t="shared" si="5"/>
        <v>Perubahan Normal</v>
      </c>
    </row>
    <row r="1451" ht="18.75" customHeight="1">
      <c r="A1451" s="80" t="s">
        <v>573</v>
      </c>
      <c r="B1451" s="81" t="str">
        <f t="shared" si="1"/>
        <v>Kota Palangkaraya</v>
      </c>
      <c r="C1451" s="81" t="str">
        <f t="array" ref="C1451">XLOOKUP(B1451,Reference!$A$2:$A$152,Reference!$B$2:$B$152)</f>
        <v>Kalimantan Tengah</v>
      </c>
      <c r="D1451" s="82" t="s">
        <v>1890</v>
      </c>
      <c r="E1451" s="83">
        <v>45323.0</v>
      </c>
      <c r="F1451" s="84" t="str">
        <f t="array" ref="F1451">XLOOKUP(G1451,Reference!$F:$F,Reference!$D:$D,"null")</f>
        <v>Makanan dan Pakaian </v>
      </c>
      <c r="G1451" s="85" t="s">
        <v>72</v>
      </c>
      <c r="H1451" s="86">
        <v>99.23</v>
      </c>
      <c r="I1451" s="86">
        <v>99.23</v>
      </c>
      <c r="J1451" s="87">
        <f t="shared" si="2"/>
        <v>0</v>
      </c>
      <c r="K1451" s="84" t="str">
        <f t="shared" si="3"/>
        <v>Stabil</v>
      </c>
      <c r="L1451" s="84">
        <f t="shared" si="4"/>
        <v>0</v>
      </c>
      <c r="M1451" s="88" t="str">
        <f t="shared" si="5"/>
        <v>Perubahan Normal</v>
      </c>
    </row>
    <row r="1452" ht="18.75" customHeight="1">
      <c r="A1452" s="80" t="s">
        <v>539</v>
      </c>
      <c r="B1452" s="81" t="str">
        <f t="shared" si="1"/>
        <v>Kab Sorong Selatan</v>
      </c>
      <c r="C1452" s="81" t="str">
        <f t="array" ref="C1452">XLOOKUP(B1452,Reference!$A$2:$A$152,Reference!$B$2:$B$152)</f>
        <v>Papua Barat Daya</v>
      </c>
      <c r="D1452" s="82" t="s">
        <v>1891</v>
      </c>
      <c r="E1452" s="83">
        <v>45352.0</v>
      </c>
      <c r="F1452" s="84" t="str">
        <f t="array" ref="F1452">XLOOKUP(G1452,Reference!$F:$F,Reference!$D:$D,"null")</f>
        <v>Makanan dan Pakaian </v>
      </c>
      <c r="G1452" s="89" t="s">
        <v>72</v>
      </c>
      <c r="H1452" s="90">
        <v>106.36</v>
      </c>
      <c r="I1452" s="90">
        <v>106.36</v>
      </c>
      <c r="J1452" s="87">
        <f t="shared" si="2"/>
        <v>0</v>
      </c>
      <c r="K1452" s="84" t="str">
        <f t="shared" si="3"/>
        <v>Stabil</v>
      </c>
      <c r="L1452" s="91">
        <f t="shared" si="4"/>
        <v>0</v>
      </c>
      <c r="M1452" s="88" t="str">
        <f t="shared" si="5"/>
        <v>Perubahan Normal</v>
      </c>
    </row>
    <row r="1453" ht="18.75" customHeight="1">
      <c r="A1453" s="80" t="s">
        <v>312</v>
      </c>
      <c r="B1453" s="81" t="str">
        <f t="shared" si="1"/>
        <v>Kab Jayawijaya</v>
      </c>
      <c r="C1453" s="81" t="str">
        <f t="array" ref="C1453">XLOOKUP(B1453,Reference!$A$2:$A$152,Reference!$B$2:$B$152)</f>
        <v>Papua</v>
      </c>
      <c r="D1453" s="82" t="s">
        <v>1892</v>
      </c>
      <c r="E1453" s="83">
        <v>45323.0</v>
      </c>
      <c r="F1453" s="84" t="str">
        <f t="array" ref="F1453">XLOOKUP(G1453,Reference!$F:$F,Reference!$D:$D,"null")</f>
        <v>Rekreasi dan Kendaraan</v>
      </c>
      <c r="G1453" s="85" t="s">
        <v>102</v>
      </c>
      <c r="H1453" s="86">
        <v>101.5</v>
      </c>
      <c r="I1453" s="86">
        <v>101.5</v>
      </c>
      <c r="J1453" s="87">
        <f t="shared" si="2"/>
        <v>0</v>
      </c>
      <c r="K1453" s="84" t="str">
        <f t="shared" si="3"/>
        <v>Stabil</v>
      </c>
      <c r="L1453" s="84">
        <f t="shared" si="4"/>
        <v>0</v>
      </c>
      <c r="M1453" s="88" t="str">
        <f t="shared" si="5"/>
        <v>Perubahan Normal</v>
      </c>
    </row>
    <row r="1454" ht="18.75" customHeight="1">
      <c r="A1454" s="80" t="s">
        <v>358</v>
      </c>
      <c r="B1454" s="81" t="str">
        <f t="shared" si="1"/>
        <v>Kab Minahasa Utara</v>
      </c>
      <c r="C1454" s="81" t="str">
        <f t="array" ref="C1454">XLOOKUP(B1454,Reference!$A$2:$A$152,Reference!$B$2:$B$152)</f>
        <v>Sulawesi Utara</v>
      </c>
      <c r="D1454" s="82" t="s">
        <v>1893</v>
      </c>
      <c r="E1454" s="83">
        <v>45352.0</v>
      </c>
      <c r="F1454" s="84" t="str">
        <f t="array" ref="F1454">XLOOKUP(G1454,Reference!$F:$F,Reference!$D:$D,"null")</f>
        <v>Pendidikan dan Kesehatan</v>
      </c>
      <c r="G1454" s="85" t="s">
        <v>98</v>
      </c>
      <c r="H1454" s="86">
        <v>107.19</v>
      </c>
      <c r="I1454" s="86">
        <v>107.65</v>
      </c>
      <c r="J1454" s="87">
        <f t="shared" si="2"/>
        <v>-0.4273107292</v>
      </c>
      <c r="K1454" s="84" t="str">
        <f t="shared" si="3"/>
        <v>Deflasi</v>
      </c>
      <c r="L1454" s="84">
        <f t="shared" si="4"/>
        <v>-0.46</v>
      </c>
      <c r="M1454" s="88" t="str">
        <f t="shared" si="5"/>
        <v>Perubahan Normal</v>
      </c>
    </row>
    <row r="1455" ht="18.75" customHeight="1">
      <c r="A1455" s="80" t="s">
        <v>515</v>
      </c>
      <c r="B1455" s="81" t="str">
        <f t="shared" si="1"/>
        <v>Kab Gresik</v>
      </c>
      <c r="C1455" s="81" t="str">
        <f t="array" ref="C1455">XLOOKUP(B1455,Reference!$A$2:$A$152,Reference!$B$2:$B$152)</f>
        <v>Jawa Timur</v>
      </c>
      <c r="D1455" s="82" t="s">
        <v>1894</v>
      </c>
      <c r="E1455" s="83">
        <v>45323.0</v>
      </c>
      <c r="F1455" s="84" t="str">
        <f t="array" ref="F1455">XLOOKUP(G1455,Reference!$F:$F,Reference!$D:$D,"null")</f>
        <v>Makanan dan Pakaian </v>
      </c>
      <c r="G1455" s="85" t="s">
        <v>48</v>
      </c>
      <c r="H1455" s="86">
        <v>107.37</v>
      </c>
      <c r="I1455" s="86">
        <v>105.42</v>
      </c>
      <c r="J1455" s="87">
        <f t="shared" si="2"/>
        <v>1.849743882</v>
      </c>
      <c r="K1455" s="84" t="str">
        <f t="shared" si="3"/>
        <v>Inflasi Tinggi</v>
      </c>
      <c r="L1455" s="84">
        <f t="shared" si="4"/>
        <v>1.95</v>
      </c>
      <c r="M1455" s="88" t="str">
        <f t="shared" si="5"/>
        <v>Akselerasi Persentase</v>
      </c>
    </row>
    <row r="1456" ht="18.75" customHeight="1">
      <c r="A1456" s="80" t="s">
        <v>1031</v>
      </c>
      <c r="B1456" s="81" t="str">
        <f t="shared" si="1"/>
        <v>Kab Majene</v>
      </c>
      <c r="C1456" s="81" t="str">
        <f t="array" ref="C1456">XLOOKUP(B1456,Reference!$A$2:$A$152,Reference!$B$2:$B$152)</f>
        <v>Sulawesi Barat</v>
      </c>
      <c r="D1456" s="82" t="s">
        <v>1895</v>
      </c>
      <c r="E1456" s="83">
        <v>45352.0</v>
      </c>
      <c r="F1456" s="84" t="str">
        <f t="array" ref="F1456">XLOOKUP(G1456,Reference!$F:$F,Reference!$D:$D,"null")</f>
        <v>Rumah Tangga</v>
      </c>
      <c r="G1456" s="85" t="s">
        <v>89</v>
      </c>
      <c r="H1456" s="86">
        <v>100.08</v>
      </c>
      <c r="I1456" s="86">
        <v>100.58</v>
      </c>
      <c r="J1456" s="87">
        <f t="shared" si="2"/>
        <v>-0.497116723</v>
      </c>
      <c r="K1456" s="84" t="str">
        <f t="shared" si="3"/>
        <v>Deflasi</v>
      </c>
      <c r="L1456" s="84">
        <f t="shared" si="4"/>
        <v>-0.5</v>
      </c>
      <c r="M1456" s="88" t="str">
        <f t="shared" si="5"/>
        <v>Perubahan Normal</v>
      </c>
    </row>
    <row r="1457" ht="18.75" customHeight="1">
      <c r="A1457" s="80" t="s">
        <v>349</v>
      </c>
      <c r="B1457" s="81" t="str">
        <f t="shared" si="1"/>
        <v>Kota Banjarmasin</v>
      </c>
      <c r="C1457" s="81" t="str">
        <f t="array" ref="C1457">XLOOKUP(B1457,Reference!$A$2:$A$152,Reference!$B$2:$B$152)</f>
        <v>Kalimantan Selatan</v>
      </c>
      <c r="D1457" s="82" t="s">
        <v>1896</v>
      </c>
      <c r="E1457" s="83">
        <v>45323.0</v>
      </c>
      <c r="F1457" s="84" t="str">
        <f t="array" ref="F1457">XLOOKUP(G1457,Reference!$F:$F,Reference!$D:$D,"null")</f>
        <v>Rekreasi dan Kendaraan</v>
      </c>
      <c r="G1457" s="85" t="s">
        <v>102</v>
      </c>
      <c r="H1457" s="86">
        <v>109.51</v>
      </c>
      <c r="I1457" s="86">
        <v>108.38</v>
      </c>
      <c r="J1457" s="87">
        <f t="shared" si="2"/>
        <v>1.042627791</v>
      </c>
      <c r="K1457" s="84" t="str">
        <f t="shared" si="3"/>
        <v>Inflasi Tinggi</v>
      </c>
      <c r="L1457" s="84">
        <f t="shared" si="4"/>
        <v>1.13</v>
      </c>
      <c r="M1457" s="88" t="str">
        <f t="shared" si="5"/>
        <v>Akselerasi Persentase</v>
      </c>
    </row>
    <row r="1458" ht="18.75" customHeight="1">
      <c r="A1458" s="80" t="s">
        <v>934</v>
      </c>
      <c r="B1458" s="81" t="str">
        <f t="shared" si="1"/>
        <v>Kab Kolaka</v>
      </c>
      <c r="C1458" s="81" t="str">
        <f t="array" ref="C1458">XLOOKUP(B1458,Reference!$A$2:$A$152,Reference!$B$2:$B$152)</f>
        <v>Sulawesi Tenggara</v>
      </c>
      <c r="D1458" s="82" t="s">
        <v>1897</v>
      </c>
      <c r="E1458" s="83">
        <v>45323.0</v>
      </c>
      <c r="F1458" s="84" t="str">
        <f t="array" ref="F1458">XLOOKUP(G1458,Reference!$F:$F,Reference!$D:$D,"null")</f>
        <v>Makanan dan Pakaian </v>
      </c>
      <c r="G1458" s="85" t="s">
        <v>56</v>
      </c>
      <c r="H1458" s="86">
        <v>107.21</v>
      </c>
      <c r="I1458" s="86">
        <v>107.35</v>
      </c>
      <c r="J1458" s="87">
        <f t="shared" si="2"/>
        <v>-0.1304145319</v>
      </c>
      <c r="K1458" s="84" t="str">
        <f t="shared" si="3"/>
        <v>Deflasi</v>
      </c>
      <c r="L1458" s="84">
        <f t="shared" si="4"/>
        <v>-0.14</v>
      </c>
      <c r="M1458" s="88" t="str">
        <f t="shared" si="5"/>
        <v>Perubahan Normal</v>
      </c>
    </row>
    <row r="1459" ht="18.75" customHeight="1">
      <c r="A1459" s="80" t="s">
        <v>1031</v>
      </c>
      <c r="B1459" s="81" t="str">
        <f t="shared" si="1"/>
        <v>Kab Majene</v>
      </c>
      <c r="C1459" s="81" t="str">
        <f t="array" ref="C1459">XLOOKUP(B1459,Reference!$A$2:$A$152,Reference!$B$2:$B$152)</f>
        <v>Sulawesi Barat</v>
      </c>
      <c r="D1459" s="82" t="s">
        <v>1898</v>
      </c>
      <c r="E1459" s="83">
        <v>45352.0</v>
      </c>
      <c r="F1459" s="84" t="str">
        <f t="array" ref="F1459">XLOOKUP(G1459,Reference!$F:$F,Reference!$D:$D,"null")</f>
        <v>Makanan dan Pakaian </v>
      </c>
      <c r="G1459" s="85" t="s">
        <v>64</v>
      </c>
      <c r="H1459" s="86">
        <v>100.65</v>
      </c>
      <c r="I1459" s="86">
        <v>100.37</v>
      </c>
      <c r="J1459" s="87">
        <f t="shared" si="2"/>
        <v>0.2789678191</v>
      </c>
      <c r="K1459" s="84" t="str">
        <f t="shared" si="3"/>
        <v>Inflasi Normal</v>
      </c>
      <c r="L1459" s="84">
        <f t="shared" si="4"/>
        <v>0.28</v>
      </c>
      <c r="M1459" s="88" t="str">
        <f t="shared" si="5"/>
        <v>Perubahan Normal</v>
      </c>
    </row>
    <row r="1460" ht="18.75" customHeight="1">
      <c r="A1460" s="80" t="s">
        <v>654</v>
      </c>
      <c r="B1460" s="81" t="str">
        <f t="shared" si="1"/>
        <v>Kab Aceh Tengah</v>
      </c>
      <c r="C1460" s="81" t="str">
        <f t="array" ref="C1460">XLOOKUP(B1460,Reference!$A$2:$A$152,Reference!$B$2:$B$152)</f>
        <v>Aceh</v>
      </c>
      <c r="D1460" s="82" t="s">
        <v>1899</v>
      </c>
      <c r="E1460" s="83">
        <v>45323.0</v>
      </c>
      <c r="F1460" s="84" t="str">
        <f t="array" ref="F1460">XLOOKUP(G1460,Reference!$F:$F,Reference!$D:$D,"null")</f>
        <v>Pendidikan dan Kesehatan</v>
      </c>
      <c r="G1460" s="85" t="s">
        <v>98</v>
      </c>
      <c r="H1460" s="86">
        <v>106.26</v>
      </c>
      <c r="I1460" s="86">
        <v>106.26</v>
      </c>
      <c r="J1460" s="87">
        <f t="shared" si="2"/>
        <v>0</v>
      </c>
      <c r="K1460" s="84" t="str">
        <f t="shared" si="3"/>
        <v>Stabil</v>
      </c>
      <c r="L1460" s="84">
        <f t="shared" si="4"/>
        <v>0</v>
      </c>
      <c r="M1460" s="88" t="str">
        <f t="shared" si="5"/>
        <v>Perubahan Normal</v>
      </c>
    </row>
    <row r="1461" ht="18.75" customHeight="1">
      <c r="A1461" s="80" t="s">
        <v>628</v>
      </c>
      <c r="B1461" s="81" t="str">
        <f t="shared" si="1"/>
        <v>Watampone</v>
      </c>
      <c r="C1461" s="81" t="str">
        <f t="array" ref="C1461">XLOOKUP(B1461,Reference!$A$2:$A$152,Reference!$B$2:$B$152)</f>
        <v>Sulawesi Selatan</v>
      </c>
      <c r="D1461" s="82" t="s">
        <v>1900</v>
      </c>
      <c r="E1461" s="83">
        <v>45323.0</v>
      </c>
      <c r="F1461" s="84" t="str">
        <f t="array" ref="F1461">XLOOKUP(G1461,Reference!$F:$F,Reference!$D:$D,"null")</f>
        <v>Makanan dan Pakaian </v>
      </c>
      <c r="G1461" s="85" t="s">
        <v>48</v>
      </c>
      <c r="H1461" s="86">
        <v>109.04</v>
      </c>
      <c r="I1461" s="86">
        <v>107.78</v>
      </c>
      <c r="J1461" s="87">
        <f t="shared" si="2"/>
        <v>1.169048061</v>
      </c>
      <c r="K1461" s="84" t="str">
        <f t="shared" si="3"/>
        <v>Inflasi Tinggi</v>
      </c>
      <c r="L1461" s="84">
        <f t="shared" si="4"/>
        <v>1.26</v>
      </c>
      <c r="M1461" s="88" t="str">
        <f t="shared" si="5"/>
        <v>Akselerasi Persentase</v>
      </c>
    </row>
    <row r="1462" ht="18.75" customHeight="1">
      <c r="A1462" s="80" t="s">
        <v>592</v>
      </c>
      <c r="B1462" s="81" t="str">
        <f t="shared" si="1"/>
        <v>Kab Lampung Timur</v>
      </c>
      <c r="C1462" s="81" t="str">
        <f t="array" ref="C1462">XLOOKUP(B1462,Reference!$A$2:$A$152,Reference!$B$2:$B$152)</f>
        <v>Lampung</v>
      </c>
      <c r="D1462" s="82" t="s">
        <v>1901</v>
      </c>
      <c r="E1462" s="83">
        <v>45352.0</v>
      </c>
      <c r="F1462" s="84" t="str">
        <f t="array" ref="F1462">XLOOKUP(G1462,Reference!$F:$F,Reference!$D:$D,"null")</f>
        <v>Makanan dan Pakaian </v>
      </c>
      <c r="G1462" s="85" t="s">
        <v>72</v>
      </c>
      <c r="H1462" s="86">
        <v>117.44</v>
      </c>
      <c r="I1462" s="86">
        <v>114.99</v>
      </c>
      <c r="J1462" s="87">
        <f t="shared" si="2"/>
        <v>2.130620054</v>
      </c>
      <c r="K1462" s="84" t="str">
        <f t="shared" si="3"/>
        <v>Inflasi Tinggi</v>
      </c>
      <c r="L1462" s="84">
        <f t="shared" si="4"/>
        <v>2.45</v>
      </c>
      <c r="M1462" s="88" t="str">
        <f t="shared" si="5"/>
        <v>Akselerasi Kuat</v>
      </c>
    </row>
    <row r="1463" ht="18.75" customHeight="1">
      <c r="A1463" s="80" t="s">
        <v>517</v>
      </c>
      <c r="B1463" s="81" t="str">
        <f t="shared" si="1"/>
        <v>Kota Kupang</v>
      </c>
      <c r="C1463" s="81" t="str">
        <f t="array" ref="C1463">XLOOKUP(B1463,Reference!$A$2:$A$152,Reference!$B$2:$B$152)</f>
        <v>Nusa Tenggara Timur (NTT)</v>
      </c>
      <c r="D1463" s="82" t="s">
        <v>1902</v>
      </c>
      <c r="E1463" s="83">
        <v>45323.0</v>
      </c>
      <c r="F1463" s="84" t="str">
        <f t="array" ref="F1463">XLOOKUP(G1463,Reference!$F:$F,Reference!$D:$D,"null")</f>
        <v>Makanan dan Pakaian </v>
      </c>
      <c r="G1463" s="85" t="s">
        <v>64</v>
      </c>
      <c r="H1463" s="86">
        <v>100.4</v>
      </c>
      <c r="I1463" s="86">
        <v>100.42</v>
      </c>
      <c r="J1463" s="87">
        <f t="shared" si="2"/>
        <v>-0.01991635132</v>
      </c>
      <c r="K1463" s="84" t="str">
        <f t="shared" si="3"/>
        <v>Deflasi</v>
      </c>
      <c r="L1463" s="84">
        <f t="shared" si="4"/>
        <v>-0.02</v>
      </c>
      <c r="M1463" s="88" t="str">
        <f t="shared" si="5"/>
        <v>Perubahan Normal</v>
      </c>
    </row>
    <row r="1464" ht="18.75" customHeight="1">
      <c r="A1464" s="80" t="s">
        <v>331</v>
      </c>
      <c r="B1464" s="81" t="str">
        <f t="shared" si="1"/>
        <v>Kota Lhokseumawe</v>
      </c>
      <c r="C1464" s="81" t="str">
        <f t="array" ref="C1464">XLOOKUP(B1464,Reference!$A$2:$A$152,Reference!$B$2:$B$152)</f>
        <v>Aceh</v>
      </c>
      <c r="D1464" s="82" t="s">
        <v>1903</v>
      </c>
      <c r="E1464" s="83">
        <v>45352.0</v>
      </c>
      <c r="F1464" s="84" t="str">
        <f t="array" ref="F1464">XLOOKUP(G1464,Reference!$F:$F,Reference!$D:$D,"null")</f>
        <v>Rumah Tangga</v>
      </c>
      <c r="G1464" s="85" t="s">
        <v>80</v>
      </c>
      <c r="H1464" s="86">
        <v>101.71</v>
      </c>
      <c r="I1464" s="86">
        <v>101.71</v>
      </c>
      <c r="J1464" s="87">
        <f t="shared" si="2"/>
        <v>0</v>
      </c>
      <c r="K1464" s="84" t="str">
        <f t="shared" si="3"/>
        <v>Stabil</v>
      </c>
      <c r="L1464" s="84">
        <f t="shared" si="4"/>
        <v>0</v>
      </c>
      <c r="M1464" s="88" t="str">
        <f t="shared" si="5"/>
        <v>Perubahan Normal</v>
      </c>
    </row>
    <row r="1465" ht="18.75" customHeight="1">
      <c r="A1465" s="80" t="s">
        <v>367</v>
      </c>
      <c r="B1465" s="81" t="str">
        <f t="shared" si="1"/>
        <v>Kota Jambi</v>
      </c>
      <c r="C1465" s="81" t="str">
        <f t="array" ref="C1465">XLOOKUP(B1465,Reference!$A$2:$A$152,Reference!$B$2:$B$152)</f>
        <v>Jambi</v>
      </c>
      <c r="D1465" s="82" t="s">
        <v>1904</v>
      </c>
      <c r="E1465" s="83">
        <v>45352.0</v>
      </c>
      <c r="F1465" s="84" t="str">
        <f t="array" ref="F1465">XLOOKUP(G1465,Reference!$F:$F,Reference!$D:$D,"null")</f>
        <v>Rumah Tangga</v>
      </c>
      <c r="G1465" s="89" t="s">
        <v>80</v>
      </c>
      <c r="H1465" s="90">
        <v>100.4</v>
      </c>
      <c r="I1465" s="90">
        <v>100.4</v>
      </c>
      <c r="J1465" s="87">
        <f t="shared" si="2"/>
        <v>0</v>
      </c>
      <c r="K1465" s="84" t="str">
        <f t="shared" si="3"/>
        <v>Stabil</v>
      </c>
      <c r="L1465" s="91">
        <f t="shared" si="4"/>
        <v>0</v>
      </c>
      <c r="M1465" s="88" t="str">
        <f t="shared" si="5"/>
        <v>Perubahan Normal</v>
      </c>
    </row>
    <row r="1466" ht="18.75" customHeight="1">
      <c r="A1466" s="80" t="s">
        <v>349</v>
      </c>
      <c r="B1466" s="81" t="str">
        <f t="shared" si="1"/>
        <v>Kota Banjarmasin</v>
      </c>
      <c r="C1466" s="81" t="str">
        <f t="array" ref="C1466">XLOOKUP(B1466,Reference!$A$2:$A$152,Reference!$B$2:$B$152)</f>
        <v>Kalimantan Selatan</v>
      </c>
      <c r="D1466" s="82" t="s">
        <v>1905</v>
      </c>
      <c r="E1466" s="83">
        <v>45323.0</v>
      </c>
      <c r="F1466" s="84" t="str">
        <f t="array" ref="F1466">XLOOKUP(G1466,Reference!$F:$F,Reference!$D:$D,"null")</f>
        <v>Rumah Tangga</v>
      </c>
      <c r="G1466" s="85" t="s">
        <v>80</v>
      </c>
      <c r="H1466" s="86">
        <v>102.63</v>
      </c>
      <c r="I1466" s="86">
        <v>102.14</v>
      </c>
      <c r="J1466" s="87">
        <f t="shared" si="2"/>
        <v>0.4797336988</v>
      </c>
      <c r="K1466" s="84" t="str">
        <f t="shared" si="3"/>
        <v>Inflasi Normal</v>
      </c>
      <c r="L1466" s="84">
        <f t="shared" si="4"/>
        <v>0.49</v>
      </c>
      <c r="M1466" s="88" t="str">
        <f t="shared" si="5"/>
        <v>Perubahan Normal</v>
      </c>
    </row>
    <row r="1467" ht="18.75" customHeight="1">
      <c r="A1467" s="80" t="s">
        <v>598</v>
      </c>
      <c r="B1467" s="81" t="str">
        <f t="shared" si="1"/>
        <v>Kota Surakarta</v>
      </c>
      <c r="C1467" s="81" t="str">
        <f t="array" ref="C1467">XLOOKUP(B1467,Reference!$A$2:$A$152,Reference!$B$2:$B$152)</f>
        <v>Jawa Tengah</v>
      </c>
      <c r="D1467" s="82" t="s">
        <v>1906</v>
      </c>
      <c r="E1467" s="83">
        <v>45323.0</v>
      </c>
      <c r="F1467" s="84" t="str">
        <f t="array" ref="F1467">XLOOKUP(G1467,Reference!$F:$F,Reference!$D:$D,"null")</f>
        <v>Rumah Tangga</v>
      </c>
      <c r="G1467" s="85" t="s">
        <v>89</v>
      </c>
      <c r="H1467" s="86">
        <v>107.7</v>
      </c>
      <c r="I1467" s="86">
        <v>107.7</v>
      </c>
      <c r="J1467" s="87">
        <f t="shared" si="2"/>
        <v>0</v>
      </c>
      <c r="K1467" s="84" t="str">
        <f t="shared" si="3"/>
        <v>Stabil</v>
      </c>
      <c r="L1467" s="84">
        <f t="shared" si="4"/>
        <v>0</v>
      </c>
      <c r="M1467" s="88" t="str">
        <f t="shared" si="5"/>
        <v>Perubahan Normal</v>
      </c>
    </row>
    <row r="1468" ht="18.75" customHeight="1">
      <c r="A1468" s="80" t="s">
        <v>532</v>
      </c>
      <c r="B1468" s="81" t="str">
        <f t="shared" si="1"/>
        <v>Kota Palembang</v>
      </c>
      <c r="C1468" s="81" t="str">
        <f t="array" ref="C1468">XLOOKUP(B1468,Reference!$A$2:$A$152,Reference!$B$2:$B$152)</f>
        <v>Sumatera Selatan</v>
      </c>
      <c r="D1468" s="82" t="s">
        <v>1907</v>
      </c>
      <c r="E1468" s="83">
        <v>45352.0</v>
      </c>
      <c r="F1468" s="84" t="str">
        <f t="array" ref="F1468">XLOOKUP(G1468,Reference!$F:$F,Reference!$D:$D,"null")</f>
        <v>Pendidikan dan Kesehatan</v>
      </c>
      <c r="G1468" s="85" t="s">
        <v>98</v>
      </c>
      <c r="H1468" s="86">
        <v>102.04</v>
      </c>
      <c r="I1468" s="86">
        <v>102.41</v>
      </c>
      <c r="J1468" s="87">
        <f t="shared" si="2"/>
        <v>-0.3612928425</v>
      </c>
      <c r="K1468" s="84" t="str">
        <f t="shared" si="3"/>
        <v>Deflasi</v>
      </c>
      <c r="L1468" s="84">
        <f t="shared" si="4"/>
        <v>-0.37</v>
      </c>
      <c r="M1468" s="88" t="str">
        <f t="shared" si="5"/>
        <v>Perubahan Normal</v>
      </c>
    </row>
    <row r="1469" ht="18.75" customHeight="1">
      <c r="A1469" s="80" t="s">
        <v>454</v>
      </c>
      <c r="B1469" s="81" t="str">
        <f t="shared" si="1"/>
        <v>Kab Ketapang</v>
      </c>
      <c r="C1469" s="81" t="str">
        <f t="array" ref="C1469">XLOOKUP(B1469,Reference!$A$2:$A$152,Reference!$B$2:$B$152)</f>
        <v>Kalimantan Barat</v>
      </c>
      <c r="D1469" s="82" t="s">
        <v>1908</v>
      </c>
      <c r="E1469" s="83">
        <v>45323.0</v>
      </c>
      <c r="F1469" s="84" t="str">
        <f t="array" ref="F1469">XLOOKUP(G1469,Reference!$F:$F,Reference!$D:$D,"null")</f>
        <v>Rumah Tangga</v>
      </c>
      <c r="G1469" s="85" t="s">
        <v>80</v>
      </c>
      <c r="H1469" s="86">
        <v>100.26</v>
      </c>
      <c r="I1469" s="86">
        <v>100.26</v>
      </c>
      <c r="J1469" s="87">
        <f t="shared" si="2"/>
        <v>0</v>
      </c>
      <c r="K1469" s="84" t="str">
        <f t="shared" si="3"/>
        <v>Stabil</v>
      </c>
      <c r="L1469" s="84">
        <f t="shared" si="4"/>
        <v>0</v>
      </c>
      <c r="M1469" s="88" t="str">
        <f t="shared" si="5"/>
        <v>Perubahan Normal</v>
      </c>
    </row>
    <row r="1470" ht="18.75" customHeight="1">
      <c r="A1470" s="80" t="s">
        <v>822</v>
      </c>
      <c r="B1470" s="81" t="str">
        <f t="shared" si="1"/>
        <v>Kota Pontianak</v>
      </c>
      <c r="C1470" s="81" t="str">
        <f t="array" ref="C1470">XLOOKUP(B1470,Reference!$A$2:$A$152,Reference!$B$2:$B$152)</f>
        <v>Kalimantan Barat</v>
      </c>
      <c r="D1470" s="82" t="s">
        <v>1909</v>
      </c>
      <c r="E1470" s="83">
        <v>45352.0</v>
      </c>
      <c r="F1470" s="84" t="str">
        <f t="array" ref="F1470">XLOOKUP(G1470,Reference!$F:$F,Reference!$D:$D,"null")</f>
        <v>Makanan dan Pakaian </v>
      </c>
      <c r="G1470" s="85" t="s">
        <v>56</v>
      </c>
      <c r="H1470" s="86">
        <v>108.89</v>
      </c>
      <c r="I1470" s="86">
        <v>107.44</v>
      </c>
      <c r="J1470" s="87">
        <f t="shared" si="2"/>
        <v>1.349590469</v>
      </c>
      <c r="K1470" s="84" t="str">
        <f t="shared" si="3"/>
        <v>Inflasi Tinggi</v>
      </c>
      <c r="L1470" s="84">
        <f t="shared" si="4"/>
        <v>1.45</v>
      </c>
      <c r="M1470" s="88" t="str">
        <f t="shared" si="5"/>
        <v>Akselerasi Persentase</v>
      </c>
    </row>
    <row r="1471" ht="18.75" customHeight="1">
      <c r="A1471" s="80" t="s">
        <v>414</v>
      </c>
      <c r="B1471" s="81" t="str">
        <f t="shared" si="1"/>
        <v>Kota Bandung</v>
      </c>
      <c r="C1471" s="81" t="str">
        <f t="array" ref="C1471">XLOOKUP(B1471,Reference!$A$2:$A$152,Reference!$B$2:$B$152)</f>
        <v>Jawa Barat</v>
      </c>
      <c r="D1471" s="82" t="s">
        <v>1910</v>
      </c>
      <c r="E1471" s="83">
        <v>45352.0</v>
      </c>
      <c r="F1471" s="84" t="str">
        <f t="array" ref="F1471">XLOOKUP(G1471,Reference!$F:$F,Reference!$D:$D,"null")</f>
        <v>Makanan dan Pakaian </v>
      </c>
      <c r="G1471" s="85" t="s">
        <v>64</v>
      </c>
      <c r="H1471" s="86">
        <v>101.52</v>
      </c>
      <c r="I1471" s="86">
        <v>101.37</v>
      </c>
      <c r="J1471" s="87">
        <f t="shared" si="2"/>
        <v>0.147972773</v>
      </c>
      <c r="K1471" s="84" t="str">
        <f t="shared" si="3"/>
        <v>Inflasi Normal</v>
      </c>
      <c r="L1471" s="84">
        <f t="shared" si="4"/>
        <v>0.15</v>
      </c>
      <c r="M1471" s="88" t="str">
        <f t="shared" si="5"/>
        <v>Perubahan Normal</v>
      </c>
    </row>
    <row r="1472" ht="18.75" customHeight="1">
      <c r="A1472" s="80" t="s">
        <v>322</v>
      </c>
      <c r="B1472" s="81" t="str">
        <f t="shared" si="1"/>
        <v>Purwokerto</v>
      </c>
      <c r="C1472" s="81" t="str">
        <f t="array" ref="C1472">XLOOKUP(B1472,Reference!$A$2:$A$152,Reference!$B$2:$B$152)</f>
        <v>Jawa Tengah</v>
      </c>
      <c r="D1472" s="82" t="s">
        <v>1911</v>
      </c>
      <c r="E1472" s="83">
        <v>45352.0</v>
      </c>
      <c r="F1472" s="84" t="str">
        <f t="array" ref="F1472">XLOOKUP(G1472,Reference!$F:$F,Reference!$D:$D,"null")</f>
        <v>Makanan dan Pakaian </v>
      </c>
      <c r="G1472" s="85" t="s">
        <v>56</v>
      </c>
      <c r="H1472" s="86">
        <v>104.93</v>
      </c>
      <c r="I1472" s="86">
        <v>104.61</v>
      </c>
      <c r="J1472" s="87">
        <f t="shared" si="2"/>
        <v>0.3058980977</v>
      </c>
      <c r="K1472" s="84" t="str">
        <f t="shared" si="3"/>
        <v>Inflasi Normal</v>
      </c>
      <c r="L1472" s="84">
        <f t="shared" si="4"/>
        <v>0.32</v>
      </c>
      <c r="M1472" s="88" t="str">
        <f t="shared" si="5"/>
        <v>Perubahan Normal</v>
      </c>
    </row>
    <row r="1473" ht="18.75" customHeight="1">
      <c r="A1473" s="80" t="s">
        <v>404</v>
      </c>
      <c r="B1473" s="81" t="str">
        <f t="shared" si="1"/>
        <v>Kab Mesuji</v>
      </c>
      <c r="C1473" s="81" t="str">
        <f t="array" ref="C1473">XLOOKUP(B1473,Reference!$A$2:$A$152,Reference!$B$2:$B$152)</f>
        <v>Lampung</v>
      </c>
      <c r="D1473" s="82" t="s">
        <v>1912</v>
      </c>
      <c r="E1473" s="83">
        <v>45352.0</v>
      </c>
      <c r="F1473" s="84" t="str">
        <f t="array" ref="F1473">XLOOKUP(G1473,Reference!$F:$F,Reference!$D:$D,"null")</f>
        <v>Makanan dan Pakaian </v>
      </c>
      <c r="G1473" s="85" t="s">
        <v>48</v>
      </c>
      <c r="H1473" s="86">
        <v>116.69</v>
      </c>
      <c r="I1473" s="86">
        <v>114.54</v>
      </c>
      <c r="J1473" s="87">
        <f t="shared" si="2"/>
        <v>1.877073511</v>
      </c>
      <c r="K1473" s="84" t="str">
        <f t="shared" si="3"/>
        <v>Inflasi Tinggi</v>
      </c>
      <c r="L1473" s="84">
        <f t="shared" si="4"/>
        <v>2.15</v>
      </c>
      <c r="M1473" s="88" t="str">
        <f t="shared" si="5"/>
        <v>Akselerasi Kuat</v>
      </c>
    </row>
    <row r="1474" ht="18.75" customHeight="1">
      <c r="A1474" s="80" t="s">
        <v>934</v>
      </c>
      <c r="B1474" s="81" t="str">
        <f t="shared" si="1"/>
        <v>Kab Kolaka</v>
      </c>
      <c r="C1474" s="81" t="str">
        <f t="array" ref="C1474">XLOOKUP(B1474,Reference!$A$2:$A$152,Reference!$B$2:$B$152)</f>
        <v>Sulawesi Tenggara</v>
      </c>
      <c r="D1474" s="82" t="s">
        <v>1913</v>
      </c>
      <c r="E1474" s="83">
        <v>45352.0</v>
      </c>
      <c r="F1474" s="84" t="str">
        <f t="array" ref="F1474">XLOOKUP(G1474,Reference!$F:$F,Reference!$D:$D,"null")</f>
        <v>Rekreasi dan Kendaraan</v>
      </c>
      <c r="G1474" s="85" t="s">
        <v>102</v>
      </c>
      <c r="H1474" s="86">
        <v>108.83</v>
      </c>
      <c r="I1474" s="86">
        <v>106.08</v>
      </c>
      <c r="J1474" s="87">
        <f t="shared" si="2"/>
        <v>2.592383107</v>
      </c>
      <c r="K1474" s="84" t="str">
        <f t="shared" si="3"/>
        <v>Inflasi Tinggi</v>
      </c>
      <c r="L1474" s="84">
        <f t="shared" si="4"/>
        <v>2.75</v>
      </c>
      <c r="M1474" s="88" t="str">
        <f t="shared" si="5"/>
        <v>Akselerasi Kuat</v>
      </c>
    </row>
    <row r="1475" ht="18.75" customHeight="1">
      <c r="A1475" s="80" t="s">
        <v>490</v>
      </c>
      <c r="B1475" s="81" t="str">
        <f t="shared" si="1"/>
        <v>Kab Kerinci</v>
      </c>
      <c r="C1475" s="81" t="str">
        <f t="array" ref="C1475">XLOOKUP(B1475,Reference!$A$2:$A$152,Reference!$B$2:$B$152)</f>
        <v>Jambi</v>
      </c>
      <c r="D1475" s="82" t="s">
        <v>1914</v>
      </c>
      <c r="E1475" s="83">
        <v>45352.0</v>
      </c>
      <c r="F1475" s="84" t="str">
        <f t="array" ref="F1475">XLOOKUP(G1475,Reference!$F:$F,Reference!$D:$D,"null")</f>
        <v>Makanan dan Pakaian </v>
      </c>
      <c r="G1475" s="85" t="s">
        <v>48</v>
      </c>
      <c r="H1475" s="86">
        <v>111.25</v>
      </c>
      <c r="I1475" s="86">
        <v>107.26</v>
      </c>
      <c r="J1475" s="87">
        <f t="shared" si="2"/>
        <v>3.719932873</v>
      </c>
      <c r="K1475" s="84" t="str">
        <f t="shared" si="3"/>
        <v>Inflasi Tinggi</v>
      </c>
      <c r="L1475" s="84">
        <f t="shared" si="4"/>
        <v>3.99</v>
      </c>
      <c r="M1475" s="88" t="str">
        <f t="shared" si="5"/>
        <v>Akselerasi Kuat</v>
      </c>
    </row>
    <row r="1476" ht="18.75" customHeight="1">
      <c r="A1476" s="80" t="s">
        <v>397</v>
      </c>
      <c r="B1476" s="81" t="str">
        <f t="shared" si="1"/>
        <v>Kota Pematangsiantar</v>
      </c>
      <c r="C1476" s="81" t="str">
        <f t="array" ref="C1476">XLOOKUP(B1476,Reference!$A$2:$A$152,Reference!$B$2:$B$152)</f>
        <v>Sumatera Utara</v>
      </c>
      <c r="D1476" s="82" t="s">
        <v>1915</v>
      </c>
      <c r="E1476" s="83">
        <v>45352.0</v>
      </c>
      <c r="F1476" s="84" t="str">
        <f t="array" ref="F1476">XLOOKUP(G1476,Reference!$F:$F,Reference!$D:$D,"null")</f>
        <v>Rumah Tangga</v>
      </c>
      <c r="G1476" s="89" t="s">
        <v>80</v>
      </c>
      <c r="H1476" s="90">
        <v>110.22</v>
      </c>
      <c r="I1476" s="90">
        <v>110.22</v>
      </c>
      <c r="J1476" s="87">
        <f t="shared" si="2"/>
        <v>0</v>
      </c>
      <c r="K1476" s="84" t="str">
        <f t="shared" si="3"/>
        <v>Stabil</v>
      </c>
      <c r="L1476" s="91">
        <f t="shared" si="4"/>
        <v>0</v>
      </c>
      <c r="M1476" s="88" t="str">
        <f t="shared" si="5"/>
        <v>Perubahan Normal</v>
      </c>
    </row>
    <row r="1477" ht="18.75" customHeight="1">
      <c r="A1477" s="80" t="s">
        <v>965</v>
      </c>
      <c r="B1477" s="81" t="str">
        <f t="shared" si="1"/>
        <v>Kab Konawe</v>
      </c>
      <c r="C1477" s="81" t="str">
        <f t="array" ref="C1477">XLOOKUP(B1477,Reference!$A$2:$A$152,Reference!$B$2:$B$152)</f>
        <v>Sulawesi Tenggara</v>
      </c>
      <c r="D1477" s="82" t="s">
        <v>1916</v>
      </c>
      <c r="E1477" s="83">
        <v>45352.0</v>
      </c>
      <c r="F1477" s="84" t="str">
        <f t="array" ref="F1477">XLOOKUP(G1477,Reference!$F:$F,Reference!$D:$D,"null")</f>
        <v>Makanan dan Pakaian </v>
      </c>
      <c r="G1477" s="85" t="s">
        <v>72</v>
      </c>
      <c r="H1477" s="86">
        <v>107.12</v>
      </c>
      <c r="I1477" s="86">
        <v>107.12</v>
      </c>
      <c r="J1477" s="87">
        <f t="shared" si="2"/>
        <v>0</v>
      </c>
      <c r="K1477" s="84" t="str">
        <f t="shared" si="3"/>
        <v>Stabil</v>
      </c>
      <c r="L1477" s="84">
        <f t="shared" si="4"/>
        <v>0</v>
      </c>
      <c r="M1477" s="88" t="str">
        <f t="shared" si="5"/>
        <v>Perubahan Normal</v>
      </c>
    </row>
    <row r="1478" ht="18.75" customHeight="1">
      <c r="A1478" s="80" t="s">
        <v>322</v>
      </c>
      <c r="B1478" s="81" t="str">
        <f t="shared" si="1"/>
        <v>Purwokerto</v>
      </c>
      <c r="C1478" s="81" t="str">
        <f t="array" ref="C1478">XLOOKUP(B1478,Reference!$A$2:$A$152,Reference!$B$2:$B$152)</f>
        <v>Jawa Tengah</v>
      </c>
      <c r="D1478" s="82" t="s">
        <v>1917</v>
      </c>
      <c r="E1478" s="83">
        <v>45352.0</v>
      </c>
      <c r="F1478" s="84" t="str">
        <f t="array" ref="F1478">XLOOKUP(G1478,Reference!$F:$F,Reference!$D:$D,"null")</f>
        <v>Makanan dan Pakaian </v>
      </c>
      <c r="G1478" s="85" t="s">
        <v>72</v>
      </c>
      <c r="H1478" s="86">
        <v>100.03</v>
      </c>
      <c r="I1478" s="86">
        <v>100.04</v>
      </c>
      <c r="J1478" s="87">
        <f t="shared" si="2"/>
        <v>-0.009996001599</v>
      </c>
      <c r="K1478" s="84" t="str">
        <f t="shared" si="3"/>
        <v>Deflasi</v>
      </c>
      <c r="L1478" s="84">
        <f t="shared" si="4"/>
        <v>-0.01</v>
      </c>
      <c r="M1478" s="88" t="str">
        <f t="shared" si="5"/>
        <v>Perubahan Normal</v>
      </c>
    </row>
    <row r="1479" ht="18.75" customHeight="1">
      <c r="A1479" s="80" t="s">
        <v>433</v>
      </c>
      <c r="B1479" s="81" t="str">
        <f t="shared" si="1"/>
        <v>Kab Tulungagung</v>
      </c>
      <c r="C1479" s="81" t="str">
        <f t="array" ref="C1479">XLOOKUP(B1479,Reference!$A$2:$A$152,Reference!$B$2:$B$152)</f>
        <v>Jawa Timur</v>
      </c>
      <c r="D1479" s="82" t="s">
        <v>1918</v>
      </c>
      <c r="E1479" s="83">
        <v>45323.0</v>
      </c>
      <c r="F1479" s="84" t="str">
        <f t="array" ref="F1479">XLOOKUP(G1479,Reference!$F:$F,Reference!$D:$D,"null")</f>
        <v>Rumah Tangga</v>
      </c>
      <c r="G1479" s="85" t="s">
        <v>89</v>
      </c>
      <c r="H1479" s="86">
        <v>107.23</v>
      </c>
      <c r="I1479" s="86">
        <v>107.23</v>
      </c>
      <c r="J1479" s="87">
        <f t="shared" si="2"/>
        <v>0</v>
      </c>
      <c r="K1479" s="84" t="str">
        <f t="shared" si="3"/>
        <v>Stabil</v>
      </c>
      <c r="L1479" s="84">
        <f t="shared" si="4"/>
        <v>0</v>
      </c>
      <c r="M1479" s="88" t="str">
        <f t="shared" si="5"/>
        <v>Perubahan Normal</v>
      </c>
    </row>
    <row r="1480" ht="18.75" customHeight="1">
      <c r="A1480" s="80" t="s">
        <v>318</v>
      </c>
      <c r="B1480" s="81" t="str">
        <f t="shared" si="1"/>
        <v>Tanjung</v>
      </c>
      <c r="C1480" s="81" t="str">
        <f t="array" ref="C1480">XLOOKUP(B1480,Reference!$A$2:$A$152,Reference!$B$2:$B$152)</f>
        <v>Kalimantan Selatan</v>
      </c>
      <c r="D1480" s="82" t="s">
        <v>1919</v>
      </c>
      <c r="E1480" s="83">
        <v>45323.0</v>
      </c>
      <c r="F1480" s="84" t="str">
        <f t="array" ref="F1480">XLOOKUP(G1480,Reference!$F:$F,Reference!$D:$D,"null")</f>
        <v>Rumah Tangga</v>
      </c>
      <c r="G1480" s="85" t="s">
        <v>80</v>
      </c>
      <c r="H1480" s="86">
        <v>102.76</v>
      </c>
      <c r="I1480" s="86">
        <v>102.76</v>
      </c>
      <c r="J1480" s="87">
        <f t="shared" si="2"/>
        <v>0</v>
      </c>
      <c r="K1480" s="84" t="str">
        <f t="shared" si="3"/>
        <v>Stabil</v>
      </c>
      <c r="L1480" s="84">
        <f t="shared" si="4"/>
        <v>0</v>
      </c>
      <c r="M1480" s="88" t="str">
        <f t="shared" si="5"/>
        <v>Perubahan Normal</v>
      </c>
    </row>
    <row r="1481" ht="18.75" customHeight="1">
      <c r="A1481" s="80" t="s">
        <v>715</v>
      </c>
      <c r="B1481" s="81" t="str">
        <f t="shared" si="1"/>
        <v>Kab Bojonegoro</v>
      </c>
      <c r="C1481" s="81" t="str">
        <f t="array" ref="C1481">XLOOKUP(B1481,Reference!$A$2:$A$152,Reference!$B$2:$B$152)</f>
        <v>Jawa Timur</v>
      </c>
      <c r="D1481" s="82" t="s">
        <v>1920</v>
      </c>
      <c r="E1481" s="83">
        <v>45323.0</v>
      </c>
      <c r="F1481" s="84" t="str">
        <f t="array" ref="F1481">XLOOKUP(G1481,Reference!$F:$F,Reference!$D:$D,"null")</f>
        <v>Pendidikan dan Kesehatan</v>
      </c>
      <c r="G1481" s="85" t="s">
        <v>98</v>
      </c>
      <c r="H1481" s="86">
        <v>106.73</v>
      </c>
      <c r="I1481" s="86">
        <v>102.53</v>
      </c>
      <c r="J1481" s="87">
        <f t="shared" si="2"/>
        <v>4.09636204</v>
      </c>
      <c r="K1481" s="84" t="str">
        <f t="shared" si="3"/>
        <v>Inflasi Tinggi</v>
      </c>
      <c r="L1481" s="84">
        <f t="shared" si="4"/>
        <v>4.2</v>
      </c>
      <c r="M1481" s="88" t="str">
        <f t="shared" si="5"/>
        <v>Akselerasi Kuat</v>
      </c>
    </row>
    <row r="1482" ht="18.75" customHeight="1">
      <c r="A1482" s="80" t="s">
        <v>920</v>
      </c>
      <c r="B1482" s="81" t="str">
        <f t="shared" si="1"/>
        <v>Kab Deli Serdang</v>
      </c>
      <c r="C1482" s="81" t="str">
        <f t="array" ref="C1482">XLOOKUP(B1482,Reference!$A$2:$A$152,Reference!$B$2:$B$152)</f>
        <v>Sumatera Utara</v>
      </c>
      <c r="D1482" s="82" t="s">
        <v>1921</v>
      </c>
      <c r="E1482" s="83">
        <v>45323.0</v>
      </c>
      <c r="F1482" s="84" t="str">
        <f t="array" ref="F1482">XLOOKUP(G1482,Reference!$F:$F,Reference!$D:$D,"null")</f>
        <v>Rumah Tangga</v>
      </c>
      <c r="G1482" s="85" t="s">
        <v>84</v>
      </c>
      <c r="H1482" s="86">
        <v>100.48</v>
      </c>
      <c r="I1482" s="86">
        <v>100.68</v>
      </c>
      <c r="J1482" s="87">
        <f t="shared" si="2"/>
        <v>-0.1986491855</v>
      </c>
      <c r="K1482" s="84" t="str">
        <f t="shared" si="3"/>
        <v>Deflasi</v>
      </c>
      <c r="L1482" s="84">
        <f t="shared" si="4"/>
        <v>-0.2</v>
      </c>
      <c r="M1482" s="88" t="str">
        <f t="shared" si="5"/>
        <v>Perubahan Normal</v>
      </c>
    </row>
    <row r="1483" ht="18.75" customHeight="1">
      <c r="A1483" s="80" t="s">
        <v>731</v>
      </c>
      <c r="B1483" s="81" t="str">
        <f t="shared" si="1"/>
        <v>Kab Hulu Sungai Tengah</v>
      </c>
      <c r="C1483" s="81" t="str">
        <f t="array" ref="C1483">XLOOKUP(B1483,Reference!$A$2:$A$152,Reference!$B$2:$B$152)</f>
        <v>Kalimantan Selatan</v>
      </c>
      <c r="D1483" s="82" t="s">
        <v>1922</v>
      </c>
      <c r="E1483" s="83">
        <v>45352.0</v>
      </c>
      <c r="F1483" s="84" t="str">
        <f t="array" ref="F1483">XLOOKUP(G1483,Reference!$F:$F,Reference!$D:$D,"null")</f>
        <v>Makanan dan Pakaian </v>
      </c>
      <c r="G1483" s="85" t="s">
        <v>72</v>
      </c>
      <c r="H1483" s="86">
        <v>101.93</v>
      </c>
      <c r="I1483" s="86">
        <v>102.43</v>
      </c>
      <c r="J1483" s="87">
        <f t="shared" si="2"/>
        <v>-0.4881382407</v>
      </c>
      <c r="K1483" s="84" t="str">
        <f t="shared" si="3"/>
        <v>Deflasi</v>
      </c>
      <c r="L1483" s="84">
        <f t="shared" si="4"/>
        <v>-0.5</v>
      </c>
      <c r="M1483" s="88" t="str">
        <f t="shared" si="5"/>
        <v>Perubahan Normal</v>
      </c>
    </row>
    <row r="1484" ht="18.75" customHeight="1">
      <c r="A1484" s="80" t="s">
        <v>429</v>
      </c>
      <c r="B1484" s="81" t="str">
        <f t="shared" si="1"/>
        <v>Kab Nabire</v>
      </c>
      <c r="C1484" s="81" t="str">
        <f t="array" ref="C1484">XLOOKUP(B1484,Reference!$A$2:$A$152,Reference!$B$2:$B$152)</f>
        <v>Papua</v>
      </c>
      <c r="D1484" s="82" t="s">
        <v>1923</v>
      </c>
      <c r="E1484" s="83">
        <v>45352.0</v>
      </c>
      <c r="F1484" s="84" t="str">
        <f t="array" ref="F1484">XLOOKUP(G1484,Reference!$F:$F,Reference!$D:$D,"null")</f>
        <v>Rumah Tangga</v>
      </c>
      <c r="G1484" s="85" t="s">
        <v>80</v>
      </c>
      <c r="H1484" s="86">
        <v>100.8</v>
      </c>
      <c r="I1484" s="86">
        <v>100.8</v>
      </c>
      <c r="J1484" s="87">
        <f t="shared" si="2"/>
        <v>0</v>
      </c>
      <c r="K1484" s="84" t="str">
        <f t="shared" si="3"/>
        <v>Stabil</v>
      </c>
      <c r="L1484" s="84">
        <f t="shared" si="4"/>
        <v>0</v>
      </c>
      <c r="M1484" s="88" t="str">
        <f t="shared" si="5"/>
        <v>Perubahan Normal</v>
      </c>
    </row>
    <row r="1485" ht="18.75" customHeight="1">
      <c r="A1485" s="80" t="s">
        <v>656</v>
      </c>
      <c r="B1485" s="81" t="str">
        <f t="shared" si="1"/>
        <v>Kota Palopo</v>
      </c>
      <c r="C1485" s="81" t="str">
        <f t="array" ref="C1485">XLOOKUP(B1485,Reference!$A$2:$A$152,Reference!$B$2:$B$152)</f>
        <v>Sulawesi Selatan</v>
      </c>
      <c r="D1485" s="82" t="s">
        <v>1924</v>
      </c>
      <c r="E1485" s="83">
        <v>45323.0</v>
      </c>
      <c r="F1485" s="84" t="str">
        <f t="array" ref="F1485">XLOOKUP(G1485,Reference!$F:$F,Reference!$D:$D,"null")</f>
        <v>Makanan dan Pakaian </v>
      </c>
      <c r="G1485" s="85" t="s">
        <v>64</v>
      </c>
      <c r="H1485" s="86">
        <v>102.35</v>
      </c>
      <c r="I1485" s="86">
        <v>102.35</v>
      </c>
      <c r="J1485" s="87">
        <f t="shared" si="2"/>
        <v>0</v>
      </c>
      <c r="K1485" s="84" t="str">
        <f t="shared" si="3"/>
        <v>Stabil</v>
      </c>
      <c r="L1485" s="84">
        <f t="shared" si="4"/>
        <v>0</v>
      </c>
      <c r="M1485" s="88" t="str">
        <f t="shared" si="5"/>
        <v>Perubahan Normal</v>
      </c>
    </row>
    <row r="1486" ht="18.75" customHeight="1">
      <c r="A1486" s="80" t="s">
        <v>374</v>
      </c>
      <c r="B1486" s="81" t="str">
        <f t="shared" si="1"/>
        <v>Kab Majalengka</v>
      </c>
      <c r="C1486" s="81" t="str">
        <f t="array" ref="C1486">XLOOKUP(B1486,Reference!$A$2:$A$152,Reference!$B$2:$B$152)</f>
        <v>Jawa Barat</v>
      </c>
      <c r="D1486" s="82" t="s">
        <v>1925</v>
      </c>
      <c r="E1486" s="83">
        <v>45352.0</v>
      </c>
      <c r="F1486" s="84" t="str">
        <f t="array" ref="F1486">XLOOKUP(G1486,Reference!$F:$F,Reference!$D:$D,"null")</f>
        <v>Rekreasi dan Kendaraan</v>
      </c>
      <c r="G1486" s="85" t="s">
        <v>102</v>
      </c>
      <c r="H1486" s="86">
        <v>100.47</v>
      </c>
      <c r="I1486" s="86">
        <v>100.43</v>
      </c>
      <c r="J1486" s="87">
        <f t="shared" si="2"/>
        <v>0.03982873643</v>
      </c>
      <c r="K1486" s="84" t="str">
        <f t="shared" si="3"/>
        <v>Inflasi Normal</v>
      </c>
      <c r="L1486" s="84">
        <f t="shared" si="4"/>
        <v>0.04</v>
      </c>
      <c r="M1486" s="88" t="str">
        <f t="shared" si="5"/>
        <v>Perubahan Normal</v>
      </c>
    </row>
    <row r="1487" ht="18.75" customHeight="1">
      <c r="A1487" s="80" t="s">
        <v>598</v>
      </c>
      <c r="B1487" s="81" t="str">
        <f t="shared" si="1"/>
        <v>Kota Surakarta</v>
      </c>
      <c r="C1487" s="81" t="str">
        <f t="array" ref="C1487">XLOOKUP(B1487,Reference!$A$2:$A$152,Reference!$B$2:$B$152)</f>
        <v>Jawa Tengah</v>
      </c>
      <c r="D1487" s="82" t="s">
        <v>1926</v>
      </c>
      <c r="E1487" s="83">
        <v>45323.0</v>
      </c>
      <c r="F1487" s="84" t="str">
        <f t="array" ref="F1487">XLOOKUP(G1487,Reference!$F:$F,Reference!$D:$D,"null")</f>
        <v>Makanan dan Pakaian </v>
      </c>
      <c r="G1487" s="85" t="s">
        <v>64</v>
      </c>
      <c r="H1487" s="86">
        <v>102.47</v>
      </c>
      <c r="I1487" s="86">
        <v>102.84</v>
      </c>
      <c r="J1487" s="87">
        <f t="shared" si="2"/>
        <v>-0.3597821859</v>
      </c>
      <c r="K1487" s="84" t="str">
        <f t="shared" si="3"/>
        <v>Deflasi</v>
      </c>
      <c r="L1487" s="84">
        <f t="shared" si="4"/>
        <v>-0.37</v>
      </c>
      <c r="M1487" s="88" t="str">
        <f t="shared" si="5"/>
        <v>Perubahan Normal</v>
      </c>
    </row>
    <row r="1488" ht="18.75" customHeight="1">
      <c r="A1488" s="80" t="s">
        <v>905</v>
      </c>
      <c r="B1488" s="81" t="str">
        <f t="shared" si="1"/>
        <v>Kota Ambon</v>
      </c>
      <c r="C1488" s="81" t="str">
        <f t="array" ref="C1488">XLOOKUP(B1488,Reference!$A$2:$A$152,Reference!$B$2:$B$152)</f>
        <v>Maluku</v>
      </c>
      <c r="D1488" s="82" t="s">
        <v>1927</v>
      </c>
      <c r="E1488" s="83">
        <v>45323.0</v>
      </c>
      <c r="F1488" s="84" t="str">
        <f t="array" ref="F1488">XLOOKUP(G1488,Reference!$F:$F,Reference!$D:$D,"null")</f>
        <v>Rumah Tangga</v>
      </c>
      <c r="G1488" s="85" t="s">
        <v>89</v>
      </c>
      <c r="H1488" s="86">
        <v>106.5</v>
      </c>
      <c r="I1488" s="86">
        <v>102.49</v>
      </c>
      <c r="J1488" s="87">
        <f t="shared" si="2"/>
        <v>3.912576837</v>
      </c>
      <c r="K1488" s="84" t="str">
        <f t="shared" si="3"/>
        <v>Inflasi Tinggi</v>
      </c>
      <c r="L1488" s="84">
        <f t="shared" si="4"/>
        <v>4.01</v>
      </c>
      <c r="M1488" s="88" t="str">
        <f t="shared" si="5"/>
        <v>Akselerasi Kuat</v>
      </c>
    </row>
    <row r="1489" ht="18.75" customHeight="1">
      <c r="A1489" s="80" t="s">
        <v>389</v>
      </c>
      <c r="B1489" s="81" t="str">
        <f t="shared" si="1"/>
        <v>Tembilahan</v>
      </c>
      <c r="C1489" s="81" t="str">
        <f t="array" ref="C1489">XLOOKUP(B1489,Reference!$A$2:$A$152,Reference!$B$2:$B$152)</f>
        <v>Riau</v>
      </c>
      <c r="D1489" s="82" t="s">
        <v>1928</v>
      </c>
      <c r="E1489" s="83">
        <v>45352.0</v>
      </c>
      <c r="F1489" s="84" t="str">
        <f t="array" ref="F1489">XLOOKUP(G1489,Reference!$F:$F,Reference!$D:$D,"null")</f>
        <v>Makanan dan Pakaian </v>
      </c>
      <c r="G1489" s="85" t="s">
        <v>72</v>
      </c>
      <c r="H1489" s="86">
        <v>100.31</v>
      </c>
      <c r="I1489" s="86">
        <v>100.23</v>
      </c>
      <c r="J1489" s="87">
        <f t="shared" si="2"/>
        <v>0.07981642223</v>
      </c>
      <c r="K1489" s="84" t="str">
        <f t="shared" si="3"/>
        <v>Inflasi Normal</v>
      </c>
      <c r="L1489" s="84">
        <f t="shared" si="4"/>
        <v>0.08</v>
      </c>
      <c r="M1489" s="88" t="str">
        <f t="shared" si="5"/>
        <v>Perubahan Normal</v>
      </c>
    </row>
    <row r="1490" ht="18.75" customHeight="1">
      <c r="A1490" s="80" t="s">
        <v>594</v>
      </c>
      <c r="B1490" s="81" t="str">
        <f t="shared" si="1"/>
        <v>Kota Kendari</v>
      </c>
      <c r="C1490" s="81" t="str">
        <f t="array" ref="C1490">XLOOKUP(B1490,Reference!$A$2:$A$152,Reference!$B$2:$B$152)</f>
        <v>Sulawesi Tenggara</v>
      </c>
      <c r="D1490" s="82" t="s">
        <v>1929</v>
      </c>
      <c r="E1490" s="83">
        <v>45352.0</v>
      </c>
      <c r="F1490" s="84" t="str">
        <f t="array" ref="F1490">XLOOKUP(G1490,Reference!$F:$F,Reference!$D:$D,"null")</f>
        <v>Pendidikan dan Kesehatan</v>
      </c>
      <c r="G1490" s="85" t="s">
        <v>98</v>
      </c>
      <c r="H1490" s="86">
        <v>101.34</v>
      </c>
      <c r="I1490" s="86">
        <v>101.04</v>
      </c>
      <c r="J1490" s="87">
        <f t="shared" si="2"/>
        <v>0.296912114</v>
      </c>
      <c r="K1490" s="84" t="str">
        <f t="shared" si="3"/>
        <v>Inflasi Normal</v>
      </c>
      <c r="L1490" s="84">
        <f t="shared" si="4"/>
        <v>0.3</v>
      </c>
      <c r="M1490" s="88" t="str">
        <f t="shared" si="5"/>
        <v>Perubahan Normal</v>
      </c>
    </row>
    <row r="1491" ht="18.75" customHeight="1">
      <c r="A1491" s="80" t="s">
        <v>539</v>
      </c>
      <c r="B1491" s="81" t="str">
        <f t="shared" si="1"/>
        <v>Kab Sorong Selatan</v>
      </c>
      <c r="C1491" s="81" t="str">
        <f t="array" ref="C1491">XLOOKUP(B1491,Reference!$A$2:$A$152,Reference!$B$2:$B$152)</f>
        <v>Papua Barat Daya</v>
      </c>
      <c r="D1491" s="82" t="s">
        <v>1930</v>
      </c>
      <c r="E1491" s="83">
        <v>45323.0</v>
      </c>
      <c r="F1491" s="84" t="str">
        <f t="array" ref="F1491">XLOOKUP(G1491,Reference!$F:$F,Reference!$D:$D,"null")</f>
        <v>Rumah Tangga</v>
      </c>
      <c r="G1491" s="85" t="s">
        <v>84</v>
      </c>
      <c r="H1491" s="86">
        <v>106.18</v>
      </c>
      <c r="I1491" s="86">
        <v>106.18</v>
      </c>
      <c r="J1491" s="87">
        <f t="shared" si="2"/>
        <v>0</v>
      </c>
      <c r="K1491" s="84" t="str">
        <f t="shared" si="3"/>
        <v>Stabil</v>
      </c>
      <c r="L1491" s="84">
        <f t="shared" si="4"/>
        <v>0</v>
      </c>
      <c r="M1491" s="88" t="str">
        <f t="shared" si="5"/>
        <v>Perubahan Normal</v>
      </c>
    </row>
    <row r="1492" ht="18.75" customHeight="1">
      <c r="A1492" s="80" t="s">
        <v>380</v>
      </c>
      <c r="B1492" s="81" t="str">
        <f t="shared" si="1"/>
        <v>Kota Bengkulu</v>
      </c>
      <c r="C1492" s="81" t="str">
        <f t="array" ref="C1492">XLOOKUP(B1492,Reference!$A$2:$A$152,Reference!$B$2:$B$152)</f>
        <v>Bengkulu</v>
      </c>
      <c r="D1492" s="82" t="s">
        <v>1931</v>
      </c>
      <c r="E1492" s="83">
        <v>45352.0</v>
      </c>
      <c r="F1492" s="84" t="str">
        <f t="array" ref="F1492">XLOOKUP(G1492,Reference!$F:$F,Reference!$D:$D,"null")</f>
        <v>Makanan dan Pakaian </v>
      </c>
      <c r="G1492" s="85" t="s">
        <v>48</v>
      </c>
      <c r="H1492" s="86">
        <v>109.77</v>
      </c>
      <c r="I1492" s="86">
        <v>109.16</v>
      </c>
      <c r="J1492" s="87">
        <f t="shared" si="2"/>
        <v>0.5588127519</v>
      </c>
      <c r="K1492" s="84" t="str">
        <f t="shared" si="3"/>
        <v>Inflasi Tinggi</v>
      </c>
      <c r="L1492" s="84">
        <f t="shared" si="4"/>
        <v>0.61</v>
      </c>
      <c r="M1492" s="88" t="str">
        <f t="shared" si="5"/>
        <v>Akselerasi Persentase</v>
      </c>
    </row>
    <row r="1493" ht="18.75" customHeight="1">
      <c r="A1493" s="80" t="s">
        <v>308</v>
      </c>
      <c r="B1493" s="81" t="str">
        <f t="shared" si="1"/>
        <v>Kab Sukamara</v>
      </c>
      <c r="C1493" s="81" t="str">
        <f t="array" ref="C1493">XLOOKUP(B1493,Reference!$A$2:$A$152,Reference!$B$2:$B$152)</f>
        <v>Kalimantan Tengah</v>
      </c>
      <c r="D1493" s="82" t="s">
        <v>1932</v>
      </c>
      <c r="E1493" s="83">
        <v>45323.0</v>
      </c>
      <c r="F1493" s="84" t="str">
        <f t="array" ref="F1493">XLOOKUP(G1493,Reference!$F:$F,Reference!$D:$D,"null")</f>
        <v>Makanan dan Pakaian </v>
      </c>
      <c r="G1493" s="85" t="s">
        <v>48</v>
      </c>
      <c r="H1493" s="86">
        <v>107.39</v>
      </c>
      <c r="I1493" s="86">
        <v>109.41</v>
      </c>
      <c r="J1493" s="87">
        <f t="shared" si="2"/>
        <v>-1.846266338</v>
      </c>
      <c r="K1493" s="84" t="str">
        <f t="shared" si="3"/>
        <v>Deflasi</v>
      </c>
      <c r="L1493" s="84">
        <f t="shared" si="4"/>
        <v>-2.02</v>
      </c>
      <c r="M1493" s="88" t="str">
        <f t="shared" si="5"/>
        <v>Perubahan Normal</v>
      </c>
    </row>
    <row r="1494" ht="18.75" customHeight="1">
      <c r="A1494" s="80" t="s">
        <v>526</v>
      </c>
      <c r="B1494" s="81" t="str">
        <f t="shared" si="1"/>
        <v>Maumere</v>
      </c>
      <c r="C1494" s="81" t="str">
        <f t="array" ref="C1494">XLOOKUP(B1494,Reference!$A$2:$A$152,Reference!$B$2:$B$152)</f>
        <v>Nusa Tenggara Timur (NTT)</v>
      </c>
      <c r="D1494" s="82" t="s">
        <v>1933</v>
      </c>
      <c r="E1494" s="83">
        <v>45323.0</v>
      </c>
      <c r="F1494" s="84" t="str">
        <f t="array" ref="F1494">XLOOKUP(G1494,Reference!$F:$F,Reference!$D:$D,"null")</f>
        <v>Makanan dan Pakaian </v>
      </c>
      <c r="G1494" s="85" t="s">
        <v>48</v>
      </c>
      <c r="H1494" s="86">
        <v>109.16</v>
      </c>
      <c r="I1494" s="86">
        <v>110.4</v>
      </c>
      <c r="J1494" s="87">
        <f t="shared" si="2"/>
        <v>-1.123188406</v>
      </c>
      <c r="K1494" s="84" t="str">
        <f t="shared" si="3"/>
        <v>Deflasi</v>
      </c>
      <c r="L1494" s="84">
        <f t="shared" si="4"/>
        <v>-1.24</v>
      </c>
      <c r="M1494" s="88" t="str">
        <f t="shared" si="5"/>
        <v>Perubahan Normal</v>
      </c>
    </row>
    <row r="1495" ht="18.75" customHeight="1">
      <c r="A1495" s="80" t="s">
        <v>740</v>
      </c>
      <c r="B1495" s="81" t="str">
        <f t="shared" si="1"/>
        <v>Kota Gunungsitoli</v>
      </c>
      <c r="C1495" s="81" t="str">
        <f t="array" ref="C1495">XLOOKUP(B1495,Reference!$A$2:$A$152,Reference!$B$2:$B$152)</f>
        <v>Sumatera Utara</v>
      </c>
      <c r="D1495" s="82" t="s">
        <v>1934</v>
      </c>
      <c r="E1495" s="83">
        <v>45352.0</v>
      </c>
      <c r="F1495" s="84" t="str">
        <f t="array" ref="F1495">XLOOKUP(G1495,Reference!$F:$F,Reference!$D:$D,"null")</f>
        <v>Rekreasi dan Kendaraan</v>
      </c>
      <c r="G1495" s="89" t="s">
        <v>105</v>
      </c>
      <c r="H1495" s="90">
        <v>101.97</v>
      </c>
      <c r="I1495" s="90">
        <v>101.83</v>
      </c>
      <c r="J1495" s="87">
        <f t="shared" si="2"/>
        <v>0.137484042</v>
      </c>
      <c r="K1495" s="84" t="str">
        <f t="shared" si="3"/>
        <v>Inflasi Normal</v>
      </c>
      <c r="L1495" s="91">
        <f t="shared" si="4"/>
        <v>0.14</v>
      </c>
      <c r="M1495" s="88" t="str">
        <f t="shared" si="5"/>
        <v>Perubahan Normal</v>
      </c>
    </row>
    <row r="1496" ht="18.75" customHeight="1">
      <c r="A1496" s="80" t="s">
        <v>920</v>
      </c>
      <c r="B1496" s="81" t="str">
        <f t="shared" si="1"/>
        <v>Kab Deli Serdang</v>
      </c>
      <c r="C1496" s="81" t="str">
        <f t="array" ref="C1496">XLOOKUP(B1496,Reference!$A$2:$A$152,Reference!$B$2:$B$152)</f>
        <v>Sumatera Utara</v>
      </c>
      <c r="D1496" s="82" t="s">
        <v>1935</v>
      </c>
      <c r="E1496" s="83">
        <v>45323.0</v>
      </c>
      <c r="F1496" s="84" t="str">
        <f t="array" ref="F1496">XLOOKUP(G1496,Reference!$F:$F,Reference!$D:$D,"null")</f>
        <v>Makanan dan Pakaian </v>
      </c>
      <c r="G1496" s="85" t="s">
        <v>56</v>
      </c>
      <c r="H1496" s="86">
        <v>102.52</v>
      </c>
      <c r="I1496" s="86">
        <v>102.52</v>
      </c>
      <c r="J1496" s="87">
        <f t="shared" si="2"/>
        <v>0</v>
      </c>
      <c r="K1496" s="84" t="str">
        <f t="shared" si="3"/>
        <v>Stabil</v>
      </c>
      <c r="L1496" s="84">
        <f t="shared" si="4"/>
        <v>0</v>
      </c>
      <c r="M1496" s="88" t="str">
        <f t="shared" si="5"/>
        <v>Perubahan Normal</v>
      </c>
    </row>
    <row r="1497" ht="18.75" customHeight="1">
      <c r="A1497" s="80" t="s">
        <v>920</v>
      </c>
      <c r="B1497" s="81" t="str">
        <f t="shared" si="1"/>
        <v>Kab Deli Serdang</v>
      </c>
      <c r="C1497" s="81" t="str">
        <f t="array" ref="C1497">XLOOKUP(B1497,Reference!$A$2:$A$152,Reference!$B$2:$B$152)</f>
        <v>Sumatera Utara</v>
      </c>
      <c r="D1497" s="82" t="s">
        <v>1936</v>
      </c>
      <c r="E1497" s="83">
        <v>45352.0</v>
      </c>
      <c r="F1497" s="84" t="str">
        <f t="array" ref="F1497">XLOOKUP(G1497,Reference!$F:$F,Reference!$D:$D,"null")</f>
        <v>Pendidikan dan Kesehatan</v>
      </c>
      <c r="G1497" s="89" t="s">
        <v>98</v>
      </c>
      <c r="H1497" s="90">
        <v>109.58</v>
      </c>
      <c r="I1497" s="90">
        <v>109.58</v>
      </c>
      <c r="J1497" s="87">
        <f t="shared" si="2"/>
        <v>0</v>
      </c>
      <c r="K1497" s="84" t="str">
        <f t="shared" si="3"/>
        <v>Stabil</v>
      </c>
      <c r="L1497" s="91">
        <f t="shared" si="4"/>
        <v>0</v>
      </c>
      <c r="M1497" s="88" t="str">
        <f t="shared" si="5"/>
        <v>Perubahan Normal</v>
      </c>
    </row>
    <row r="1498" ht="18.75" customHeight="1">
      <c r="A1498" s="80" t="s">
        <v>362</v>
      </c>
      <c r="B1498" s="81" t="str">
        <f t="shared" si="1"/>
        <v>Sumenep</v>
      </c>
      <c r="C1498" s="81" t="str">
        <f t="array" ref="C1498">XLOOKUP(B1498,Reference!$A$2:$A$152,Reference!$B$2:$B$152)</f>
        <v>Jawa Timur</v>
      </c>
      <c r="D1498" s="82" t="s">
        <v>1937</v>
      </c>
      <c r="E1498" s="83">
        <v>45352.0</v>
      </c>
      <c r="F1498" s="84" t="str">
        <f t="array" ref="F1498">XLOOKUP(G1498,Reference!$F:$F,Reference!$D:$D,"null")</f>
        <v>Rumah Tangga</v>
      </c>
      <c r="G1498" s="85" t="s">
        <v>89</v>
      </c>
      <c r="H1498" s="86">
        <v>104.92</v>
      </c>
      <c r="I1498" s="86">
        <v>104.52</v>
      </c>
      <c r="J1498" s="87">
        <f t="shared" si="2"/>
        <v>0.3827018752</v>
      </c>
      <c r="K1498" s="84" t="str">
        <f t="shared" si="3"/>
        <v>Inflasi Normal</v>
      </c>
      <c r="L1498" s="84">
        <f t="shared" si="4"/>
        <v>0.4</v>
      </c>
      <c r="M1498" s="88" t="str">
        <f t="shared" si="5"/>
        <v>Perubahan Normal</v>
      </c>
    </row>
    <row r="1499" ht="18.75" customHeight="1">
      <c r="A1499" s="80" t="s">
        <v>306</v>
      </c>
      <c r="B1499" s="81" t="str">
        <f t="shared" si="1"/>
        <v>Kota Padang</v>
      </c>
      <c r="C1499" s="81" t="str">
        <f t="array" ref="C1499">XLOOKUP(B1499,Reference!$A$2:$A$152,Reference!$B$2:$B$152)</f>
        <v>Sumatera Barat</v>
      </c>
      <c r="D1499" s="82" t="s">
        <v>1938</v>
      </c>
      <c r="E1499" s="83">
        <v>45352.0</v>
      </c>
      <c r="F1499" s="84" t="str">
        <f t="array" ref="F1499">XLOOKUP(G1499,Reference!$F:$F,Reference!$D:$D,"null")</f>
        <v>Pendidikan dan Kesehatan</v>
      </c>
      <c r="G1499" s="85" t="s">
        <v>98</v>
      </c>
      <c r="H1499" s="86">
        <v>102.74</v>
      </c>
      <c r="I1499" s="86">
        <v>102.72</v>
      </c>
      <c r="J1499" s="87">
        <f t="shared" si="2"/>
        <v>0.01947040498</v>
      </c>
      <c r="K1499" s="84" t="str">
        <f t="shared" si="3"/>
        <v>Inflasi Normal</v>
      </c>
      <c r="L1499" s="84">
        <f t="shared" si="4"/>
        <v>0.02</v>
      </c>
      <c r="M1499" s="88" t="str">
        <f t="shared" si="5"/>
        <v>Perubahan Normal</v>
      </c>
    </row>
    <row r="1500" ht="18.75" customHeight="1">
      <c r="A1500" s="80" t="s">
        <v>606</v>
      </c>
      <c r="B1500" s="81" t="str">
        <f t="shared" si="1"/>
        <v>Kota Pare Pare</v>
      </c>
      <c r="C1500" s="81" t="str">
        <f t="array" ref="C1500">XLOOKUP(B1500,Reference!$A$2:$A$152,Reference!$B$2:$B$152)</f>
        <v>Sulawesi Selatan</v>
      </c>
      <c r="D1500" s="82" t="s">
        <v>1939</v>
      </c>
      <c r="E1500" s="83">
        <v>45323.0</v>
      </c>
      <c r="F1500" s="84" t="str">
        <f t="array" ref="F1500">XLOOKUP(G1500,Reference!$F:$F,Reference!$D:$D,"null")</f>
        <v>Rekreasi dan Kendaraan</v>
      </c>
      <c r="G1500" s="85" t="s">
        <v>102</v>
      </c>
      <c r="H1500" s="86">
        <v>102.89</v>
      </c>
      <c r="I1500" s="86">
        <v>102.61</v>
      </c>
      <c r="J1500" s="87">
        <f t="shared" si="2"/>
        <v>0.2728778871</v>
      </c>
      <c r="K1500" s="84" t="str">
        <f t="shared" si="3"/>
        <v>Inflasi Normal</v>
      </c>
      <c r="L1500" s="84">
        <f t="shared" si="4"/>
        <v>0.28</v>
      </c>
      <c r="M1500" s="88" t="str">
        <f t="shared" si="5"/>
        <v>Perubahan Normal</v>
      </c>
    </row>
    <row r="1501" ht="18.75" customHeight="1">
      <c r="A1501" s="80" t="s">
        <v>414</v>
      </c>
      <c r="B1501" s="81" t="str">
        <f t="shared" si="1"/>
        <v>Kota Bandung</v>
      </c>
      <c r="C1501" s="81" t="str">
        <f t="array" ref="C1501">XLOOKUP(B1501,Reference!$A$2:$A$152,Reference!$B$2:$B$152)</f>
        <v>Jawa Barat</v>
      </c>
      <c r="D1501" s="82" t="s">
        <v>1940</v>
      </c>
      <c r="E1501" s="83">
        <v>45323.0</v>
      </c>
      <c r="F1501" s="84" t="str">
        <f t="array" ref="F1501">XLOOKUP(G1501,Reference!$F:$F,Reference!$D:$D,"null")</f>
        <v>Makanan dan Pakaian </v>
      </c>
      <c r="G1501" s="85" t="s">
        <v>64</v>
      </c>
      <c r="H1501" s="86">
        <v>101.37</v>
      </c>
      <c r="I1501" s="86">
        <v>101.12</v>
      </c>
      <c r="J1501" s="87">
        <f t="shared" si="2"/>
        <v>0.2472310127</v>
      </c>
      <c r="K1501" s="84" t="str">
        <f t="shared" si="3"/>
        <v>Inflasi Normal</v>
      </c>
      <c r="L1501" s="84">
        <f t="shared" si="4"/>
        <v>0.25</v>
      </c>
      <c r="M1501" s="88" t="str">
        <f t="shared" si="5"/>
        <v>Perubahan Normal</v>
      </c>
    </row>
    <row r="1502" ht="18.75" customHeight="1">
      <c r="A1502" s="80" t="s">
        <v>502</v>
      </c>
      <c r="B1502" s="81" t="str">
        <f t="shared" si="1"/>
        <v>Muara Bungo</v>
      </c>
      <c r="C1502" s="81" t="str">
        <f t="array" ref="C1502">XLOOKUP(B1502,Reference!$A$2:$A$152,Reference!$B$2:$B$152)</f>
        <v>Jambi</v>
      </c>
      <c r="D1502" s="82" t="s">
        <v>1941</v>
      </c>
      <c r="E1502" s="83">
        <v>45352.0</v>
      </c>
      <c r="F1502" s="84" t="str">
        <f t="array" ref="F1502">XLOOKUP(G1502,Reference!$F:$F,Reference!$D:$D,"null")</f>
        <v>Pendidikan dan Kesehatan</v>
      </c>
      <c r="G1502" s="85" t="s">
        <v>95</v>
      </c>
      <c r="H1502" s="86">
        <v>103.44</v>
      </c>
      <c r="I1502" s="86">
        <v>103.44</v>
      </c>
      <c r="J1502" s="87">
        <f t="shared" si="2"/>
        <v>0</v>
      </c>
      <c r="K1502" s="84" t="str">
        <f t="shared" si="3"/>
        <v>Stabil</v>
      </c>
      <c r="L1502" s="84">
        <f t="shared" si="4"/>
        <v>0</v>
      </c>
      <c r="M1502" s="88" t="str">
        <f t="shared" si="5"/>
        <v>Perubahan Normal</v>
      </c>
    </row>
    <row r="1503" ht="18.75" customHeight="1">
      <c r="A1503" s="80" t="s">
        <v>466</v>
      </c>
      <c r="B1503" s="81" t="str">
        <f t="shared" si="1"/>
        <v>Kota Surabaya</v>
      </c>
      <c r="C1503" s="81" t="str">
        <f t="array" ref="C1503">XLOOKUP(B1503,Reference!$A$2:$A$152,Reference!$B$2:$B$152)</f>
        <v>Jawa Timur</v>
      </c>
      <c r="D1503" s="82" t="s">
        <v>1942</v>
      </c>
      <c r="E1503" s="83">
        <v>45352.0</v>
      </c>
      <c r="F1503" s="84" t="str">
        <f t="array" ref="F1503">XLOOKUP(G1503,Reference!$F:$F,Reference!$D:$D,"null")</f>
        <v>Rekreasi dan Kendaraan</v>
      </c>
      <c r="G1503" s="85" t="s">
        <v>105</v>
      </c>
      <c r="H1503" s="86">
        <v>105.03</v>
      </c>
      <c r="I1503" s="86">
        <v>104.72</v>
      </c>
      <c r="J1503" s="87">
        <f t="shared" si="2"/>
        <v>0.2960275019</v>
      </c>
      <c r="K1503" s="84" t="str">
        <f t="shared" si="3"/>
        <v>Inflasi Normal</v>
      </c>
      <c r="L1503" s="84">
        <f t="shared" si="4"/>
        <v>0.31</v>
      </c>
      <c r="M1503" s="88" t="str">
        <f t="shared" si="5"/>
        <v>Perubahan Normal</v>
      </c>
    </row>
    <row r="1504" ht="18.75" customHeight="1">
      <c r="A1504" s="80" t="s">
        <v>517</v>
      </c>
      <c r="B1504" s="81" t="str">
        <f t="shared" si="1"/>
        <v>Kota Kupang</v>
      </c>
      <c r="C1504" s="81" t="str">
        <f t="array" ref="C1504">XLOOKUP(B1504,Reference!$A$2:$A$152,Reference!$B$2:$B$152)</f>
        <v>Nusa Tenggara Timur (NTT)</v>
      </c>
      <c r="D1504" s="82" t="s">
        <v>1943</v>
      </c>
      <c r="E1504" s="83">
        <v>45323.0</v>
      </c>
      <c r="F1504" s="84" t="str">
        <f t="array" ref="F1504">XLOOKUP(G1504,Reference!$F:$F,Reference!$D:$D,"null")</f>
        <v>Pendidikan dan Kesehatan</v>
      </c>
      <c r="G1504" s="85" t="s">
        <v>95</v>
      </c>
      <c r="H1504" s="86">
        <v>100.18</v>
      </c>
      <c r="I1504" s="86">
        <v>100.18</v>
      </c>
      <c r="J1504" s="87">
        <f t="shared" si="2"/>
        <v>0</v>
      </c>
      <c r="K1504" s="84" t="str">
        <f t="shared" si="3"/>
        <v>Stabil</v>
      </c>
      <c r="L1504" s="84">
        <f t="shared" si="4"/>
        <v>0</v>
      </c>
      <c r="M1504" s="88" t="str">
        <f t="shared" si="5"/>
        <v>Perubahan Normal</v>
      </c>
    </row>
    <row r="1505" ht="18.75" customHeight="1">
      <c r="A1505" s="80" t="s">
        <v>342</v>
      </c>
      <c r="B1505" s="81" t="str">
        <f t="shared" si="1"/>
        <v>Kab Bandung</v>
      </c>
      <c r="C1505" s="81" t="str">
        <f t="array" ref="C1505">XLOOKUP(B1505,Reference!$A$2:$A$152,Reference!$B$2:$B$152)</f>
        <v>Jawa Barat</v>
      </c>
      <c r="D1505" s="82" t="s">
        <v>1944</v>
      </c>
      <c r="E1505" s="83">
        <v>45352.0</v>
      </c>
      <c r="F1505" s="84" t="str">
        <f t="array" ref="F1505">XLOOKUP(G1505,Reference!$F:$F,Reference!$D:$D,"null")</f>
        <v>Makanan dan Pakaian </v>
      </c>
      <c r="G1505" s="85" t="s">
        <v>64</v>
      </c>
      <c r="H1505" s="86">
        <v>104.79</v>
      </c>
      <c r="I1505" s="86">
        <v>104.79</v>
      </c>
      <c r="J1505" s="87">
        <f t="shared" si="2"/>
        <v>0</v>
      </c>
      <c r="K1505" s="84" t="str">
        <f t="shared" si="3"/>
        <v>Stabil</v>
      </c>
      <c r="L1505" s="84">
        <f t="shared" si="4"/>
        <v>0</v>
      </c>
      <c r="M1505" s="88" t="str">
        <f t="shared" si="5"/>
        <v>Perubahan Normal</v>
      </c>
    </row>
    <row r="1506" ht="18.75" customHeight="1">
      <c r="A1506" s="80" t="s">
        <v>337</v>
      </c>
      <c r="B1506" s="81" t="str">
        <f t="shared" si="1"/>
        <v>Merauke</v>
      </c>
      <c r="C1506" s="81" t="str">
        <f t="array" ref="C1506">XLOOKUP(B1506,Reference!$A$2:$A$152,Reference!$B$2:$B$152)</f>
        <v>Papua</v>
      </c>
      <c r="D1506" s="82" t="s">
        <v>1945</v>
      </c>
      <c r="E1506" s="83">
        <v>45323.0</v>
      </c>
      <c r="F1506" s="84" t="str">
        <f t="array" ref="F1506">XLOOKUP(G1506,Reference!$F:$F,Reference!$D:$D,"null")</f>
        <v>Rumah Tangga</v>
      </c>
      <c r="G1506" s="85" t="s">
        <v>84</v>
      </c>
      <c r="H1506" s="86">
        <v>100.21</v>
      </c>
      <c r="I1506" s="86">
        <v>100.21</v>
      </c>
      <c r="J1506" s="87">
        <f t="shared" si="2"/>
        <v>0</v>
      </c>
      <c r="K1506" s="84" t="str">
        <f t="shared" si="3"/>
        <v>Stabil</v>
      </c>
      <c r="L1506" s="84">
        <f t="shared" si="4"/>
        <v>0</v>
      </c>
      <c r="M1506" s="88" t="str">
        <f t="shared" si="5"/>
        <v>Perubahan Normal</v>
      </c>
    </row>
    <row r="1507" ht="18.75" customHeight="1">
      <c r="A1507" s="80" t="s">
        <v>427</v>
      </c>
      <c r="B1507" s="81" t="str">
        <f t="shared" si="1"/>
        <v>Kota Malang</v>
      </c>
      <c r="C1507" s="81" t="str">
        <f t="array" ref="C1507">XLOOKUP(B1507,Reference!$A$2:$A$152,Reference!$B$2:$B$152)</f>
        <v>Jawa Timur</v>
      </c>
      <c r="D1507" s="82" t="s">
        <v>1946</v>
      </c>
      <c r="E1507" s="83">
        <v>45323.0</v>
      </c>
      <c r="F1507" s="84" t="str">
        <f t="array" ref="F1507">XLOOKUP(G1507,Reference!$F:$F,Reference!$D:$D,"null")</f>
        <v>Pendidikan dan Kesehatan</v>
      </c>
      <c r="G1507" s="85" t="s">
        <v>95</v>
      </c>
      <c r="H1507" s="86">
        <v>103.31</v>
      </c>
      <c r="I1507" s="86">
        <v>103.31</v>
      </c>
      <c r="J1507" s="87">
        <f t="shared" si="2"/>
        <v>0</v>
      </c>
      <c r="K1507" s="84" t="str">
        <f t="shared" si="3"/>
        <v>Stabil</v>
      </c>
      <c r="L1507" s="84">
        <f t="shared" si="4"/>
        <v>0</v>
      </c>
      <c r="M1507" s="88" t="str">
        <f t="shared" si="5"/>
        <v>Perubahan Normal</v>
      </c>
    </row>
    <row r="1508" ht="18.75" customHeight="1">
      <c r="A1508" s="80" t="s">
        <v>351</v>
      </c>
      <c r="B1508" s="81" t="str">
        <f t="shared" si="1"/>
        <v>Kota Balikpapan</v>
      </c>
      <c r="C1508" s="81" t="str">
        <f t="array" ref="C1508">XLOOKUP(B1508,Reference!$A$2:$A$152,Reference!$B$2:$B$152)</f>
        <v>Kalimantan Timur</v>
      </c>
      <c r="D1508" s="82" t="s">
        <v>1947</v>
      </c>
      <c r="E1508" s="83">
        <v>45323.0</v>
      </c>
      <c r="F1508" s="84" t="str">
        <f t="array" ref="F1508">XLOOKUP(G1508,Reference!$F:$F,Reference!$D:$D,"null")</f>
        <v>Makanan dan Pakaian </v>
      </c>
      <c r="G1508" s="85" t="s">
        <v>64</v>
      </c>
      <c r="H1508" s="86">
        <v>103.89</v>
      </c>
      <c r="I1508" s="86">
        <v>104.49</v>
      </c>
      <c r="J1508" s="87">
        <f t="shared" si="2"/>
        <v>-0.5742176285</v>
      </c>
      <c r="K1508" s="84" t="str">
        <f t="shared" si="3"/>
        <v>Deflasi</v>
      </c>
      <c r="L1508" s="84">
        <f t="shared" si="4"/>
        <v>-0.6</v>
      </c>
      <c r="M1508" s="88" t="str">
        <f t="shared" si="5"/>
        <v>Perubahan Normal</v>
      </c>
    </row>
    <row r="1509" ht="18.75" customHeight="1">
      <c r="A1509" s="80" t="s">
        <v>628</v>
      </c>
      <c r="B1509" s="81" t="str">
        <f t="shared" si="1"/>
        <v>Watampone</v>
      </c>
      <c r="C1509" s="81" t="str">
        <f t="array" ref="C1509">XLOOKUP(B1509,Reference!$A$2:$A$152,Reference!$B$2:$B$152)</f>
        <v>Sulawesi Selatan</v>
      </c>
      <c r="D1509" s="82" t="s">
        <v>1948</v>
      </c>
      <c r="E1509" s="83">
        <v>45352.0</v>
      </c>
      <c r="F1509" s="84" t="str">
        <f t="array" ref="F1509">XLOOKUP(G1509,Reference!$F:$F,Reference!$D:$D,"null")</f>
        <v>Makanan dan Pakaian </v>
      </c>
      <c r="G1509" s="85" t="s">
        <v>48</v>
      </c>
      <c r="H1509" s="86">
        <v>109.3</v>
      </c>
      <c r="I1509" s="86">
        <v>109.04</v>
      </c>
      <c r="J1509" s="87">
        <f t="shared" si="2"/>
        <v>0.2384446075</v>
      </c>
      <c r="K1509" s="84" t="str">
        <f t="shared" si="3"/>
        <v>Inflasi Normal</v>
      </c>
      <c r="L1509" s="84">
        <f t="shared" si="4"/>
        <v>0.26</v>
      </c>
      <c r="M1509" s="88" t="str">
        <f t="shared" si="5"/>
        <v>Perubahan Normal</v>
      </c>
    </row>
    <row r="1510" ht="18.75" customHeight="1">
      <c r="A1510" s="80" t="s">
        <v>353</v>
      </c>
      <c r="B1510" s="81" t="str">
        <f t="shared" si="1"/>
        <v>Kota Bau Bau</v>
      </c>
      <c r="C1510" s="81" t="str">
        <f t="array" ref="C1510">XLOOKUP(B1510,Reference!$A$2:$A$152,Reference!$B$2:$B$152)</f>
        <v>Sulawesi Tenggara</v>
      </c>
      <c r="D1510" s="82" t="s">
        <v>1949</v>
      </c>
      <c r="E1510" s="83">
        <v>45323.0</v>
      </c>
      <c r="F1510" s="84" t="str">
        <f t="array" ref="F1510">XLOOKUP(G1510,Reference!$F:$F,Reference!$D:$D,"null")</f>
        <v>Rekreasi dan Kendaraan</v>
      </c>
      <c r="G1510" s="85" t="s">
        <v>102</v>
      </c>
      <c r="H1510" s="86">
        <v>103.24</v>
      </c>
      <c r="I1510" s="86">
        <v>103.29</v>
      </c>
      <c r="J1510" s="87">
        <f t="shared" si="2"/>
        <v>-0.04840739665</v>
      </c>
      <c r="K1510" s="84" t="str">
        <f t="shared" si="3"/>
        <v>Deflasi</v>
      </c>
      <c r="L1510" s="84">
        <f t="shared" si="4"/>
        <v>-0.05</v>
      </c>
      <c r="M1510" s="88" t="str">
        <f t="shared" si="5"/>
        <v>Perubahan Normal</v>
      </c>
    </row>
    <row r="1511" ht="18.75" customHeight="1">
      <c r="A1511" s="80" t="s">
        <v>473</v>
      </c>
      <c r="B1511" s="81" t="str">
        <f t="shared" si="1"/>
        <v>Kab Wajo</v>
      </c>
      <c r="C1511" s="81" t="str">
        <f t="array" ref="C1511">XLOOKUP(B1511,Reference!$A$2:$A$152,Reference!$B$2:$B$152)</f>
        <v>Sulawesi Selatan</v>
      </c>
      <c r="D1511" s="82" t="s">
        <v>1950</v>
      </c>
      <c r="E1511" s="83">
        <v>45352.0</v>
      </c>
      <c r="F1511" s="84" t="str">
        <f t="array" ref="F1511">XLOOKUP(G1511,Reference!$F:$F,Reference!$D:$D,"null")</f>
        <v>Rekreasi dan Kendaraan</v>
      </c>
      <c r="G1511" s="85" t="s">
        <v>102</v>
      </c>
      <c r="H1511" s="86">
        <v>97.79</v>
      </c>
      <c r="I1511" s="86">
        <v>97.53</v>
      </c>
      <c r="J1511" s="87">
        <f t="shared" si="2"/>
        <v>0.2665846406</v>
      </c>
      <c r="K1511" s="84" t="str">
        <f t="shared" si="3"/>
        <v>Inflasi Normal</v>
      </c>
      <c r="L1511" s="84">
        <f t="shared" si="4"/>
        <v>0.26</v>
      </c>
      <c r="M1511" s="88" t="str">
        <f t="shared" si="5"/>
        <v>Perubahan Normal</v>
      </c>
    </row>
    <row r="1512" ht="18.75" customHeight="1">
      <c r="A1512" s="80" t="s">
        <v>571</v>
      </c>
      <c r="B1512" s="81" t="str">
        <f t="shared" si="1"/>
        <v>Kota Sorong</v>
      </c>
      <c r="C1512" s="81" t="str">
        <f t="array" ref="C1512">XLOOKUP(B1512,Reference!$A$2:$A$152,Reference!$B$2:$B$152)</f>
        <v>Papua Barat Daya</v>
      </c>
      <c r="D1512" s="82" t="s">
        <v>1951</v>
      </c>
      <c r="E1512" s="83">
        <v>45323.0</v>
      </c>
      <c r="F1512" s="84" t="str">
        <f t="array" ref="F1512">XLOOKUP(G1512,Reference!$F:$F,Reference!$D:$D,"null")</f>
        <v>Rumah Tangga</v>
      </c>
      <c r="G1512" s="85" t="s">
        <v>80</v>
      </c>
      <c r="H1512" s="86">
        <v>100.65</v>
      </c>
      <c r="I1512" s="86">
        <v>100.65</v>
      </c>
      <c r="J1512" s="87">
        <f t="shared" si="2"/>
        <v>0</v>
      </c>
      <c r="K1512" s="84" t="str">
        <f t="shared" si="3"/>
        <v>Stabil</v>
      </c>
      <c r="L1512" s="84">
        <f t="shared" si="4"/>
        <v>0</v>
      </c>
      <c r="M1512" s="88" t="str">
        <f t="shared" si="5"/>
        <v>Perubahan Normal</v>
      </c>
    </row>
    <row r="1513" ht="18.75" customHeight="1">
      <c r="A1513" s="80" t="s">
        <v>326</v>
      </c>
      <c r="B1513" s="81" t="str">
        <f t="shared" si="1"/>
        <v>Luwuk</v>
      </c>
      <c r="C1513" s="81" t="str">
        <f t="array" ref="C1513">XLOOKUP(B1513,Reference!$A$2:$A$152,Reference!$B$2:$B$152)</f>
        <v>Sulawesi Tengah</v>
      </c>
      <c r="D1513" s="82" t="s">
        <v>1952</v>
      </c>
      <c r="E1513" s="83">
        <v>45352.0</v>
      </c>
      <c r="F1513" s="84" t="str">
        <f t="array" ref="F1513">XLOOKUP(G1513,Reference!$F:$F,Reference!$D:$D,"null")</f>
        <v>Makanan dan Pakaian </v>
      </c>
      <c r="G1513" s="85" t="s">
        <v>48</v>
      </c>
      <c r="H1513" s="86">
        <v>107.26</v>
      </c>
      <c r="I1513" s="86">
        <v>108.79</v>
      </c>
      <c r="J1513" s="87">
        <f t="shared" si="2"/>
        <v>-1.406379263</v>
      </c>
      <c r="K1513" s="84" t="str">
        <f t="shared" si="3"/>
        <v>Deflasi</v>
      </c>
      <c r="L1513" s="84">
        <f t="shared" si="4"/>
        <v>-1.53</v>
      </c>
      <c r="M1513" s="88" t="str">
        <f t="shared" si="5"/>
        <v>Perubahan Normal</v>
      </c>
    </row>
    <row r="1514" ht="18.75" customHeight="1">
      <c r="A1514" s="80" t="s">
        <v>634</v>
      </c>
      <c r="B1514" s="81" t="str">
        <f t="shared" si="1"/>
        <v>Kota Depok</v>
      </c>
      <c r="C1514" s="81" t="str">
        <f t="array" ref="C1514">XLOOKUP(B1514,Reference!$A$2:$A$152,Reference!$B$2:$B$152)</f>
        <v>Jawa Barat</v>
      </c>
      <c r="D1514" s="82" t="s">
        <v>1953</v>
      </c>
      <c r="E1514" s="83">
        <v>45352.0</v>
      </c>
      <c r="F1514" s="84" t="str">
        <f t="array" ref="F1514">XLOOKUP(G1514,Reference!$F:$F,Reference!$D:$D,"null")</f>
        <v>Makanan dan Pakaian </v>
      </c>
      <c r="G1514" s="85" t="s">
        <v>56</v>
      </c>
      <c r="H1514" s="86">
        <v>101.52</v>
      </c>
      <c r="I1514" s="86">
        <v>101.36</v>
      </c>
      <c r="J1514" s="87">
        <f t="shared" si="2"/>
        <v>0.1578531965</v>
      </c>
      <c r="K1514" s="84" t="str">
        <f t="shared" si="3"/>
        <v>Inflasi Normal</v>
      </c>
      <c r="L1514" s="84">
        <f t="shared" si="4"/>
        <v>0.16</v>
      </c>
      <c r="M1514" s="88" t="str">
        <f t="shared" si="5"/>
        <v>Perubahan Normal</v>
      </c>
    </row>
    <row r="1515" ht="18.75" customHeight="1">
      <c r="A1515" s="80" t="s">
        <v>372</v>
      </c>
      <c r="B1515" s="81" t="str">
        <f t="shared" si="1"/>
        <v>Kota Tanjung Pinang</v>
      </c>
      <c r="C1515" s="81" t="str">
        <f t="array" ref="C1515">XLOOKUP(B1515,Reference!$A$2:$A$152,Reference!$B$2:$B$152)</f>
        <v>Kepulauan Riau</v>
      </c>
      <c r="D1515" s="82" t="s">
        <v>1954</v>
      </c>
      <c r="E1515" s="83">
        <v>45352.0</v>
      </c>
      <c r="F1515" s="84" t="str">
        <f t="array" ref="F1515">XLOOKUP(G1515,Reference!$F:$F,Reference!$D:$D,"null")</f>
        <v>Makanan dan Pakaian </v>
      </c>
      <c r="G1515" s="85" t="s">
        <v>48</v>
      </c>
      <c r="H1515" s="86">
        <v>107.26</v>
      </c>
      <c r="I1515" s="86">
        <v>106.13</v>
      </c>
      <c r="J1515" s="87">
        <f t="shared" si="2"/>
        <v>1.064731933</v>
      </c>
      <c r="K1515" s="84" t="str">
        <f t="shared" si="3"/>
        <v>Inflasi Tinggi</v>
      </c>
      <c r="L1515" s="84">
        <f t="shared" si="4"/>
        <v>1.13</v>
      </c>
      <c r="M1515" s="88" t="str">
        <f t="shared" si="5"/>
        <v>Akselerasi Persentase</v>
      </c>
    </row>
    <row r="1516" ht="18.75" customHeight="1">
      <c r="A1516" s="80" t="s">
        <v>429</v>
      </c>
      <c r="B1516" s="81" t="str">
        <f t="shared" si="1"/>
        <v>Kab Nabire</v>
      </c>
      <c r="C1516" s="81" t="str">
        <f t="array" ref="C1516">XLOOKUP(B1516,Reference!$A$2:$A$152,Reference!$B$2:$B$152)</f>
        <v>Papua</v>
      </c>
      <c r="D1516" s="82" t="s">
        <v>1955</v>
      </c>
      <c r="E1516" s="83">
        <v>45352.0</v>
      </c>
      <c r="F1516" s="84" t="str">
        <f t="array" ref="F1516">XLOOKUP(G1516,Reference!$F:$F,Reference!$D:$D,"null")</f>
        <v>Makanan dan Pakaian </v>
      </c>
      <c r="G1516" s="85" t="s">
        <v>48</v>
      </c>
      <c r="H1516" s="86">
        <v>113.27</v>
      </c>
      <c r="I1516" s="86">
        <v>107.96</v>
      </c>
      <c r="J1516" s="87">
        <f t="shared" si="2"/>
        <v>4.918488329</v>
      </c>
      <c r="K1516" s="84" t="str">
        <f t="shared" si="3"/>
        <v>Inflasi Tinggi</v>
      </c>
      <c r="L1516" s="84">
        <f t="shared" si="4"/>
        <v>5.31</v>
      </c>
      <c r="M1516" s="88" t="str">
        <f t="shared" si="5"/>
        <v>Akselerasi Kuat</v>
      </c>
    </row>
    <row r="1517" ht="18.75" customHeight="1">
      <c r="A1517" s="80" t="s">
        <v>399</v>
      </c>
      <c r="B1517" s="81" t="str">
        <f t="shared" si="1"/>
        <v>Sampit</v>
      </c>
      <c r="C1517" s="81" t="str">
        <f t="array" ref="C1517">XLOOKUP(B1517,Reference!$A$2:$A$152,Reference!$B$2:$B$152)</f>
        <v>Kalimantan Tengah</v>
      </c>
      <c r="D1517" s="82" t="s">
        <v>1956</v>
      </c>
      <c r="E1517" s="83">
        <v>45352.0</v>
      </c>
      <c r="F1517" s="84" t="str">
        <f t="array" ref="F1517">XLOOKUP(G1517,Reference!$F:$F,Reference!$D:$D,"null")</f>
        <v>Makanan dan Pakaian </v>
      </c>
      <c r="G1517" s="85" t="s">
        <v>48</v>
      </c>
      <c r="H1517" s="86">
        <v>107.03</v>
      </c>
      <c r="I1517" s="86">
        <v>104.52</v>
      </c>
      <c r="J1517" s="87">
        <f t="shared" si="2"/>
        <v>2.401454267</v>
      </c>
      <c r="K1517" s="84" t="str">
        <f t="shared" si="3"/>
        <v>Inflasi Tinggi</v>
      </c>
      <c r="L1517" s="84">
        <f t="shared" si="4"/>
        <v>2.51</v>
      </c>
      <c r="M1517" s="88" t="str">
        <f t="shared" si="5"/>
        <v>Akselerasi Kuat</v>
      </c>
    </row>
    <row r="1518" ht="18.75" customHeight="1">
      <c r="A1518" s="80" t="s">
        <v>532</v>
      </c>
      <c r="B1518" s="81" t="str">
        <f t="shared" si="1"/>
        <v>Kota Palembang</v>
      </c>
      <c r="C1518" s="81" t="str">
        <f t="array" ref="C1518">XLOOKUP(B1518,Reference!$A$2:$A$152,Reference!$B$2:$B$152)</f>
        <v>Sumatera Selatan</v>
      </c>
      <c r="D1518" s="82" t="s">
        <v>1957</v>
      </c>
      <c r="E1518" s="83">
        <v>45323.0</v>
      </c>
      <c r="F1518" s="84" t="str">
        <f t="array" ref="F1518">XLOOKUP(G1518,Reference!$F:$F,Reference!$D:$D,"null")</f>
        <v>Makanan dan Pakaian </v>
      </c>
      <c r="G1518" s="85" t="s">
        <v>56</v>
      </c>
      <c r="H1518" s="86">
        <v>106.67</v>
      </c>
      <c r="I1518" s="86">
        <v>106.14</v>
      </c>
      <c r="J1518" s="87">
        <f t="shared" si="2"/>
        <v>0.4993404937</v>
      </c>
      <c r="K1518" s="84" t="str">
        <f t="shared" si="3"/>
        <v>Inflasi Normal</v>
      </c>
      <c r="L1518" s="84">
        <f t="shared" si="4"/>
        <v>0.53</v>
      </c>
      <c r="M1518" s="88" t="str">
        <f t="shared" si="5"/>
        <v>Perubahan Normal</v>
      </c>
    </row>
    <row r="1519" ht="18.75" customHeight="1">
      <c r="A1519" s="80" t="s">
        <v>490</v>
      </c>
      <c r="B1519" s="81" t="str">
        <f t="shared" si="1"/>
        <v>Kab Kerinci</v>
      </c>
      <c r="C1519" s="81" t="str">
        <f t="array" ref="C1519">XLOOKUP(B1519,Reference!$A$2:$A$152,Reference!$B$2:$B$152)</f>
        <v>Jambi</v>
      </c>
      <c r="D1519" s="82" t="s">
        <v>1958</v>
      </c>
      <c r="E1519" s="83">
        <v>45323.0</v>
      </c>
      <c r="F1519" s="84" t="str">
        <f t="array" ref="F1519">XLOOKUP(G1519,Reference!$F:$F,Reference!$D:$D,"null")</f>
        <v>Pendidikan dan Kesehatan</v>
      </c>
      <c r="G1519" s="85" t="s">
        <v>98</v>
      </c>
      <c r="H1519" s="86">
        <v>97.21</v>
      </c>
      <c r="I1519" s="86">
        <v>96.45</v>
      </c>
      <c r="J1519" s="87">
        <f t="shared" si="2"/>
        <v>0.787973043</v>
      </c>
      <c r="K1519" s="84" t="str">
        <f t="shared" si="3"/>
        <v>Inflasi Tinggi</v>
      </c>
      <c r="L1519" s="84">
        <f t="shared" si="4"/>
        <v>0.76</v>
      </c>
      <c r="M1519" s="88" t="str">
        <f t="shared" si="5"/>
        <v>Akselerasi Persentase</v>
      </c>
    </row>
    <row r="1520" ht="18.75" customHeight="1">
      <c r="A1520" s="80" t="s">
        <v>335</v>
      </c>
      <c r="B1520" s="81" t="str">
        <f t="shared" si="1"/>
        <v>Kab Wonogiri</v>
      </c>
      <c r="C1520" s="81" t="str">
        <f t="array" ref="C1520">XLOOKUP(B1520,Reference!$A$2:$A$152,Reference!$B$2:$B$152)</f>
        <v>Jawa Tengah</v>
      </c>
      <c r="D1520" s="82" t="s">
        <v>1959</v>
      </c>
      <c r="E1520" s="83">
        <v>45352.0</v>
      </c>
      <c r="F1520" s="84" t="str">
        <f t="array" ref="F1520">XLOOKUP(G1520,Reference!$F:$F,Reference!$D:$D,"null")</f>
        <v>Makanan dan Pakaian </v>
      </c>
      <c r="G1520" s="85" t="s">
        <v>48</v>
      </c>
      <c r="H1520" s="86">
        <v>112.86</v>
      </c>
      <c r="I1520" s="86">
        <v>110.48</v>
      </c>
      <c r="J1520" s="87">
        <f t="shared" si="2"/>
        <v>2.154236061</v>
      </c>
      <c r="K1520" s="84" t="str">
        <f t="shared" si="3"/>
        <v>Inflasi Tinggi</v>
      </c>
      <c r="L1520" s="84">
        <f t="shared" si="4"/>
        <v>2.38</v>
      </c>
      <c r="M1520" s="88" t="str">
        <f t="shared" si="5"/>
        <v>Akselerasi Kuat</v>
      </c>
    </row>
    <row r="1521" ht="18.75" customHeight="1">
      <c r="A1521" s="80" t="s">
        <v>502</v>
      </c>
      <c r="B1521" s="81" t="str">
        <f t="shared" si="1"/>
        <v>Muara Bungo</v>
      </c>
      <c r="C1521" s="81" t="str">
        <f t="array" ref="C1521">XLOOKUP(B1521,Reference!$A$2:$A$152,Reference!$B$2:$B$152)</f>
        <v>Jambi</v>
      </c>
      <c r="D1521" s="82" t="s">
        <v>1960</v>
      </c>
      <c r="E1521" s="83">
        <v>45352.0</v>
      </c>
      <c r="F1521" s="84" t="str">
        <f t="array" ref="F1521">XLOOKUP(G1521,Reference!$F:$F,Reference!$D:$D,"null")</f>
        <v>Rumah Tangga</v>
      </c>
      <c r="G1521" s="85" t="s">
        <v>84</v>
      </c>
      <c r="H1521" s="86">
        <v>100.86</v>
      </c>
      <c r="I1521" s="86">
        <v>100.86</v>
      </c>
      <c r="J1521" s="87">
        <f t="shared" si="2"/>
        <v>0</v>
      </c>
      <c r="K1521" s="84" t="str">
        <f t="shared" si="3"/>
        <v>Stabil</v>
      </c>
      <c r="L1521" s="84">
        <f t="shared" si="4"/>
        <v>0</v>
      </c>
      <c r="M1521" s="88" t="str">
        <f t="shared" si="5"/>
        <v>Perubahan Normal</v>
      </c>
    </row>
    <row r="1522" ht="18.75" customHeight="1">
      <c r="A1522" s="80" t="s">
        <v>634</v>
      </c>
      <c r="B1522" s="81" t="str">
        <f t="shared" si="1"/>
        <v>Kota Depok</v>
      </c>
      <c r="C1522" s="81" t="str">
        <f t="array" ref="C1522">XLOOKUP(B1522,Reference!$A$2:$A$152,Reference!$B$2:$B$152)</f>
        <v>Jawa Barat</v>
      </c>
      <c r="D1522" s="82" t="s">
        <v>1961</v>
      </c>
      <c r="E1522" s="83">
        <v>45352.0</v>
      </c>
      <c r="F1522" s="84" t="str">
        <f t="array" ref="F1522">XLOOKUP(G1522,Reference!$F:$F,Reference!$D:$D,"null")</f>
        <v>Makanan dan Pakaian </v>
      </c>
      <c r="G1522" s="85" t="s">
        <v>64</v>
      </c>
      <c r="H1522" s="86">
        <v>100.89</v>
      </c>
      <c r="I1522" s="86">
        <v>100.89</v>
      </c>
      <c r="J1522" s="87">
        <f t="shared" si="2"/>
        <v>0</v>
      </c>
      <c r="K1522" s="84" t="str">
        <f t="shared" si="3"/>
        <v>Stabil</v>
      </c>
      <c r="L1522" s="84">
        <f t="shared" si="4"/>
        <v>0</v>
      </c>
      <c r="M1522" s="88" t="str">
        <f t="shared" si="5"/>
        <v>Perubahan Normal</v>
      </c>
    </row>
    <row r="1523" ht="18.75" customHeight="1">
      <c r="A1523" s="80" t="s">
        <v>584</v>
      </c>
      <c r="B1523" s="81" t="str">
        <f t="shared" si="1"/>
        <v>Kota Sibolga</v>
      </c>
      <c r="C1523" s="81" t="str">
        <f t="array" ref="C1523">XLOOKUP(B1523,Reference!$A$2:$A$152,Reference!$B$2:$B$152)</f>
        <v>Sumatera Utara</v>
      </c>
      <c r="D1523" s="82" t="s">
        <v>1962</v>
      </c>
      <c r="E1523" s="83">
        <v>45352.0</v>
      </c>
      <c r="F1523" s="84" t="str">
        <f t="array" ref="F1523">XLOOKUP(G1523,Reference!$F:$F,Reference!$D:$D,"null")</f>
        <v>Rumah Tangga</v>
      </c>
      <c r="G1523" s="85" t="s">
        <v>84</v>
      </c>
      <c r="H1523" s="86">
        <v>101.35</v>
      </c>
      <c r="I1523" s="86">
        <v>101.35</v>
      </c>
      <c r="J1523" s="87">
        <f t="shared" si="2"/>
        <v>0</v>
      </c>
      <c r="K1523" s="84" t="str">
        <f t="shared" si="3"/>
        <v>Stabil</v>
      </c>
      <c r="L1523" s="84">
        <f t="shared" si="4"/>
        <v>0</v>
      </c>
      <c r="M1523" s="88" t="str">
        <f t="shared" si="5"/>
        <v>Perubahan Normal</v>
      </c>
    </row>
    <row r="1524" ht="18.75" customHeight="1">
      <c r="A1524" s="80" t="s">
        <v>408</v>
      </c>
      <c r="B1524" s="81" t="str">
        <f t="shared" si="1"/>
        <v>Manokwari</v>
      </c>
      <c r="C1524" s="81" t="str">
        <f t="array" ref="C1524">XLOOKUP(B1524,Reference!$A$2:$A$152,Reference!$B$2:$B$152)</f>
        <v>Papua Barat Daya</v>
      </c>
      <c r="D1524" s="82" t="s">
        <v>1963</v>
      </c>
      <c r="E1524" s="83">
        <v>45352.0</v>
      </c>
      <c r="F1524" s="84" t="str">
        <f t="array" ref="F1524">XLOOKUP(G1524,Reference!$F:$F,Reference!$D:$D,"null")</f>
        <v>Makanan dan Pakaian </v>
      </c>
      <c r="G1524" s="85" t="s">
        <v>72</v>
      </c>
      <c r="H1524" s="86">
        <v>99.78</v>
      </c>
      <c r="I1524" s="86">
        <v>99.78</v>
      </c>
      <c r="J1524" s="87">
        <f t="shared" si="2"/>
        <v>0</v>
      </c>
      <c r="K1524" s="84" t="str">
        <f t="shared" si="3"/>
        <v>Stabil</v>
      </c>
      <c r="L1524" s="84">
        <f t="shared" si="4"/>
        <v>0</v>
      </c>
      <c r="M1524" s="88" t="str">
        <f t="shared" si="5"/>
        <v>Perubahan Normal</v>
      </c>
    </row>
    <row r="1525" ht="18.75" customHeight="1">
      <c r="A1525" s="80" t="s">
        <v>1282</v>
      </c>
      <c r="B1525" s="81" t="str">
        <f t="shared" si="1"/>
        <v>Kota Bima</v>
      </c>
      <c r="C1525" s="81" t="str">
        <f t="array" ref="C1525">XLOOKUP(B1525,Reference!$A$2:$A$152,Reference!$B$2:$B$152)</f>
        <v>Nusa Tenggara Barat (NTB)</v>
      </c>
      <c r="D1525" s="82" t="s">
        <v>1964</v>
      </c>
      <c r="E1525" s="83">
        <v>45352.0</v>
      </c>
      <c r="F1525" s="84" t="str">
        <f t="array" ref="F1525">XLOOKUP(G1525,Reference!$F:$F,Reference!$D:$D,"null")</f>
        <v>Makanan dan Pakaian </v>
      </c>
      <c r="G1525" s="85" t="s">
        <v>56</v>
      </c>
      <c r="H1525" s="86">
        <v>104.51</v>
      </c>
      <c r="I1525" s="86">
        <v>103.88</v>
      </c>
      <c r="J1525" s="87">
        <f t="shared" si="2"/>
        <v>0.6064690027</v>
      </c>
      <c r="K1525" s="84" t="str">
        <f t="shared" si="3"/>
        <v>Inflasi Tinggi</v>
      </c>
      <c r="L1525" s="84">
        <f t="shared" si="4"/>
        <v>0.63</v>
      </c>
      <c r="M1525" s="88" t="str">
        <f t="shared" si="5"/>
        <v>Akselerasi Persentase</v>
      </c>
    </row>
    <row r="1526" ht="18.75" customHeight="1">
      <c r="A1526" s="80" t="s">
        <v>414</v>
      </c>
      <c r="B1526" s="81" t="str">
        <f t="shared" si="1"/>
        <v>Kota Bandung</v>
      </c>
      <c r="C1526" s="81" t="str">
        <f t="array" ref="C1526">XLOOKUP(B1526,Reference!$A$2:$A$152,Reference!$B$2:$B$152)</f>
        <v>Jawa Barat</v>
      </c>
      <c r="D1526" s="82" t="s">
        <v>1965</v>
      </c>
      <c r="E1526" s="83">
        <v>45352.0</v>
      </c>
      <c r="F1526" s="84" t="str">
        <f t="array" ref="F1526">XLOOKUP(G1526,Reference!$F:$F,Reference!$D:$D,"null")</f>
        <v>Rekreasi dan Kendaraan</v>
      </c>
      <c r="G1526" s="85" t="s">
        <v>102</v>
      </c>
      <c r="H1526" s="86">
        <v>103.63</v>
      </c>
      <c r="I1526" s="86">
        <v>103.23</v>
      </c>
      <c r="J1526" s="87">
        <f t="shared" si="2"/>
        <v>0.3874842585</v>
      </c>
      <c r="K1526" s="84" t="str">
        <f t="shared" si="3"/>
        <v>Inflasi Normal</v>
      </c>
      <c r="L1526" s="84">
        <f t="shared" si="4"/>
        <v>0.4</v>
      </c>
      <c r="M1526" s="88" t="str">
        <f t="shared" si="5"/>
        <v>Perubahan Normal</v>
      </c>
    </row>
    <row r="1527" ht="18.75" customHeight="1">
      <c r="A1527" s="80" t="s">
        <v>502</v>
      </c>
      <c r="B1527" s="81" t="str">
        <f t="shared" si="1"/>
        <v>Muara Bungo</v>
      </c>
      <c r="C1527" s="81" t="str">
        <f t="array" ref="C1527">XLOOKUP(B1527,Reference!$A$2:$A$152,Reference!$B$2:$B$152)</f>
        <v>Jambi</v>
      </c>
      <c r="D1527" s="82" t="s">
        <v>1966</v>
      </c>
      <c r="E1527" s="83">
        <v>45323.0</v>
      </c>
      <c r="F1527" s="84" t="str">
        <f t="array" ref="F1527">XLOOKUP(G1527,Reference!$F:$F,Reference!$D:$D,"null")</f>
        <v>Rumah Tangga</v>
      </c>
      <c r="G1527" s="85" t="s">
        <v>80</v>
      </c>
      <c r="H1527" s="86">
        <v>102.11</v>
      </c>
      <c r="I1527" s="86">
        <v>102.11</v>
      </c>
      <c r="J1527" s="87">
        <f t="shared" si="2"/>
        <v>0</v>
      </c>
      <c r="K1527" s="84" t="str">
        <f t="shared" si="3"/>
        <v>Stabil</v>
      </c>
      <c r="L1527" s="84">
        <f t="shared" si="4"/>
        <v>0</v>
      </c>
      <c r="M1527" s="88" t="str">
        <f t="shared" si="5"/>
        <v>Perubahan Normal</v>
      </c>
    </row>
    <row r="1528" ht="18.75" customHeight="1">
      <c r="A1528" s="80" t="s">
        <v>387</v>
      </c>
      <c r="B1528" s="81" t="str">
        <f t="shared" si="1"/>
        <v>Kota Semarang</v>
      </c>
      <c r="C1528" s="81" t="str">
        <f t="array" ref="C1528">XLOOKUP(B1528,Reference!$A$2:$A$152,Reference!$B$2:$B$152)</f>
        <v>Jawa Tengah</v>
      </c>
      <c r="D1528" s="82" t="s">
        <v>1967</v>
      </c>
      <c r="E1528" s="83">
        <v>45352.0</v>
      </c>
      <c r="F1528" s="84" t="str">
        <f t="array" ref="F1528">XLOOKUP(G1528,Reference!$F:$F,Reference!$D:$D,"null")</f>
        <v>Rekreasi dan Kendaraan</v>
      </c>
      <c r="G1528" s="85" t="s">
        <v>105</v>
      </c>
      <c r="H1528" s="86">
        <v>104.71</v>
      </c>
      <c r="I1528" s="86">
        <v>104.6</v>
      </c>
      <c r="J1528" s="87">
        <f t="shared" si="2"/>
        <v>0.1051625239</v>
      </c>
      <c r="K1528" s="84" t="str">
        <f t="shared" si="3"/>
        <v>Inflasi Normal</v>
      </c>
      <c r="L1528" s="84">
        <f t="shared" si="4"/>
        <v>0.11</v>
      </c>
      <c r="M1528" s="88" t="str">
        <f t="shared" si="5"/>
        <v>Perubahan Normal</v>
      </c>
    </row>
    <row r="1529" ht="18.75" customHeight="1">
      <c r="A1529" s="80" t="s">
        <v>442</v>
      </c>
      <c r="B1529" s="81" t="str">
        <f t="shared" si="1"/>
        <v>Kota Cirebon</v>
      </c>
      <c r="C1529" s="81" t="str">
        <f t="array" ref="C1529">XLOOKUP(B1529,Reference!$A$2:$A$152,Reference!$B$2:$B$152)</f>
        <v>Jawa Barat</v>
      </c>
      <c r="D1529" s="82" t="s">
        <v>1968</v>
      </c>
      <c r="E1529" s="83">
        <v>45323.0</v>
      </c>
      <c r="F1529" s="84" t="str">
        <f t="array" ref="F1529">XLOOKUP(G1529,Reference!$F:$F,Reference!$D:$D,"null")</f>
        <v>Makanan dan Pakaian </v>
      </c>
      <c r="G1529" s="85" t="s">
        <v>48</v>
      </c>
      <c r="H1529" s="86">
        <v>106.42</v>
      </c>
      <c r="I1529" s="86">
        <v>104.31</v>
      </c>
      <c r="J1529" s="87">
        <f t="shared" si="2"/>
        <v>2.022816604</v>
      </c>
      <c r="K1529" s="84" t="str">
        <f t="shared" si="3"/>
        <v>Inflasi Tinggi</v>
      </c>
      <c r="L1529" s="84">
        <f t="shared" si="4"/>
        <v>2.11</v>
      </c>
      <c r="M1529" s="88" t="str">
        <f t="shared" si="5"/>
        <v>Akselerasi Kuat</v>
      </c>
    </row>
    <row r="1530" ht="18.75" customHeight="1">
      <c r="A1530" s="80" t="s">
        <v>329</v>
      </c>
      <c r="B1530" s="81" t="str">
        <f t="shared" si="1"/>
        <v>Kab Penajam Paser Utara</v>
      </c>
      <c r="C1530" s="81" t="str">
        <f t="array" ref="C1530">XLOOKUP(B1530,Reference!$A$2:$A$152,Reference!$B$2:$B$152)</f>
        <v>Kalimantan Timur</v>
      </c>
      <c r="D1530" s="82" t="s">
        <v>1969</v>
      </c>
      <c r="E1530" s="83">
        <v>45323.0</v>
      </c>
      <c r="F1530" s="84" t="str">
        <f t="array" ref="F1530">XLOOKUP(G1530,Reference!$F:$F,Reference!$D:$D,"null")</f>
        <v>Makanan dan Pakaian </v>
      </c>
      <c r="G1530" s="89" t="s">
        <v>72</v>
      </c>
      <c r="H1530" s="90">
        <v>102.82</v>
      </c>
      <c r="I1530" s="90">
        <v>102.81</v>
      </c>
      <c r="J1530" s="87">
        <f t="shared" si="2"/>
        <v>0.009726680284</v>
      </c>
      <c r="K1530" s="84" t="str">
        <f t="shared" si="3"/>
        <v>Inflasi Normal</v>
      </c>
      <c r="L1530" s="91">
        <f t="shared" si="4"/>
        <v>0.01</v>
      </c>
      <c r="M1530" s="88" t="str">
        <f t="shared" si="5"/>
        <v>Perubahan Normal</v>
      </c>
    </row>
    <row r="1531" ht="18.75" customHeight="1">
      <c r="A1531" s="80" t="s">
        <v>558</v>
      </c>
      <c r="B1531" s="81" t="str">
        <f t="shared" si="1"/>
        <v>Kab Kapuas</v>
      </c>
      <c r="C1531" s="81" t="str">
        <f t="array" ref="C1531">XLOOKUP(B1531,Reference!$A$2:$A$152,Reference!$B$2:$B$152)</f>
        <v>Kalimantan Tengah</v>
      </c>
      <c r="D1531" s="82" t="s">
        <v>1970</v>
      </c>
      <c r="E1531" s="83">
        <v>45352.0</v>
      </c>
      <c r="F1531" s="84" t="str">
        <f t="array" ref="F1531">XLOOKUP(G1531,Reference!$F:$F,Reference!$D:$D,"null")</f>
        <v>Rekreasi dan Kendaraan</v>
      </c>
      <c r="G1531" s="85" t="s">
        <v>105</v>
      </c>
      <c r="H1531" s="86">
        <v>104.65</v>
      </c>
      <c r="I1531" s="86">
        <v>104.4</v>
      </c>
      <c r="J1531" s="87">
        <f t="shared" si="2"/>
        <v>0.2394636015</v>
      </c>
      <c r="K1531" s="84" t="str">
        <f t="shared" si="3"/>
        <v>Inflasi Normal</v>
      </c>
      <c r="L1531" s="84">
        <f t="shared" si="4"/>
        <v>0.25</v>
      </c>
      <c r="M1531" s="88" t="str">
        <f t="shared" si="5"/>
        <v>Perubahan Normal</v>
      </c>
    </row>
    <row r="1532" ht="18.75" customHeight="1">
      <c r="A1532" s="80" t="s">
        <v>331</v>
      </c>
      <c r="B1532" s="81" t="str">
        <f t="shared" si="1"/>
        <v>Kota Lhokseumawe</v>
      </c>
      <c r="C1532" s="81" t="str">
        <f t="array" ref="C1532">XLOOKUP(B1532,Reference!$A$2:$A$152,Reference!$B$2:$B$152)</f>
        <v>Aceh</v>
      </c>
      <c r="D1532" s="82" t="s">
        <v>1971</v>
      </c>
      <c r="E1532" s="83">
        <v>45323.0</v>
      </c>
      <c r="F1532" s="84" t="str">
        <f t="array" ref="F1532">XLOOKUP(G1532,Reference!$F:$F,Reference!$D:$D,"null")</f>
        <v>Rumah Tangga</v>
      </c>
      <c r="G1532" s="85" t="s">
        <v>84</v>
      </c>
      <c r="H1532" s="86">
        <v>101.45</v>
      </c>
      <c r="I1532" s="86">
        <v>101.35</v>
      </c>
      <c r="J1532" s="87">
        <f t="shared" si="2"/>
        <v>0.09866798224</v>
      </c>
      <c r="K1532" s="84" t="str">
        <f t="shared" si="3"/>
        <v>Inflasi Normal</v>
      </c>
      <c r="L1532" s="84">
        <f t="shared" si="4"/>
        <v>0.1</v>
      </c>
      <c r="M1532" s="88" t="str">
        <f t="shared" si="5"/>
        <v>Perubahan Normal</v>
      </c>
    </row>
    <row r="1533" ht="18.75" customHeight="1">
      <c r="A1533" s="80" t="s">
        <v>412</v>
      </c>
      <c r="B1533" s="81" t="str">
        <f t="shared" si="1"/>
        <v>Cilacap</v>
      </c>
      <c r="C1533" s="81" t="str">
        <f t="array" ref="C1533">XLOOKUP(B1533,Reference!$A$2:$A$152,Reference!$B$2:$B$152)</f>
        <v>Jawa Tengah</v>
      </c>
      <c r="D1533" s="82" t="s">
        <v>1972</v>
      </c>
      <c r="E1533" s="83">
        <v>45323.0</v>
      </c>
      <c r="F1533" s="84" t="str">
        <f t="array" ref="F1533">XLOOKUP(G1533,Reference!$F:$F,Reference!$D:$D,"null")</f>
        <v>Makanan dan Pakaian </v>
      </c>
      <c r="G1533" s="85" t="s">
        <v>48</v>
      </c>
      <c r="H1533" s="86">
        <v>109.0</v>
      </c>
      <c r="I1533" s="86">
        <v>107.35</v>
      </c>
      <c r="J1533" s="87">
        <f t="shared" si="2"/>
        <v>1.537028412</v>
      </c>
      <c r="K1533" s="84" t="str">
        <f t="shared" si="3"/>
        <v>Inflasi Tinggi</v>
      </c>
      <c r="L1533" s="84">
        <f t="shared" si="4"/>
        <v>1.65</v>
      </c>
      <c r="M1533" s="88" t="str">
        <f t="shared" si="5"/>
        <v>Akselerasi Persentase</v>
      </c>
    </row>
    <row r="1534" ht="18.75" customHeight="1">
      <c r="A1534" s="80" t="s">
        <v>526</v>
      </c>
      <c r="B1534" s="81" t="str">
        <f t="shared" si="1"/>
        <v>Maumere</v>
      </c>
      <c r="C1534" s="81" t="str">
        <f t="array" ref="C1534">XLOOKUP(B1534,Reference!$A$2:$A$152,Reference!$B$2:$B$152)</f>
        <v>Nusa Tenggara Timur (NTT)</v>
      </c>
      <c r="D1534" s="82" t="s">
        <v>1973</v>
      </c>
      <c r="E1534" s="83">
        <v>45323.0</v>
      </c>
      <c r="F1534" s="84" t="str">
        <f t="array" ref="F1534">XLOOKUP(G1534,Reference!$F:$F,Reference!$D:$D,"null")</f>
        <v>Rumah Tangga</v>
      </c>
      <c r="G1534" s="85" t="s">
        <v>84</v>
      </c>
      <c r="H1534" s="86">
        <v>103.62</v>
      </c>
      <c r="I1534" s="86">
        <v>103.62</v>
      </c>
      <c r="J1534" s="87">
        <f t="shared" si="2"/>
        <v>0</v>
      </c>
      <c r="K1534" s="84" t="str">
        <f t="shared" si="3"/>
        <v>Stabil</v>
      </c>
      <c r="L1534" s="84">
        <f t="shared" si="4"/>
        <v>0</v>
      </c>
      <c r="M1534" s="88" t="str">
        <f t="shared" si="5"/>
        <v>Perubahan Normal</v>
      </c>
    </row>
    <row r="1535" ht="18.75" customHeight="1">
      <c r="A1535" s="80" t="s">
        <v>1031</v>
      </c>
      <c r="B1535" s="81" t="str">
        <f t="shared" si="1"/>
        <v>Kab Majene</v>
      </c>
      <c r="C1535" s="81" t="str">
        <f t="array" ref="C1535">XLOOKUP(B1535,Reference!$A$2:$A$152,Reference!$B$2:$B$152)</f>
        <v>Sulawesi Barat</v>
      </c>
      <c r="D1535" s="82" t="s">
        <v>1974</v>
      </c>
      <c r="E1535" s="83">
        <v>45323.0</v>
      </c>
      <c r="F1535" s="84" t="str">
        <f t="array" ref="F1535">XLOOKUP(G1535,Reference!$F:$F,Reference!$D:$D,"null")</f>
        <v>Makanan dan Pakaian </v>
      </c>
      <c r="G1535" s="85" t="s">
        <v>56</v>
      </c>
      <c r="H1535" s="86">
        <v>102.92</v>
      </c>
      <c r="I1535" s="86">
        <v>102.91</v>
      </c>
      <c r="J1535" s="87">
        <f t="shared" si="2"/>
        <v>0.009717228646</v>
      </c>
      <c r="K1535" s="84" t="str">
        <f t="shared" si="3"/>
        <v>Inflasi Normal</v>
      </c>
      <c r="L1535" s="84">
        <f t="shared" si="4"/>
        <v>0.01</v>
      </c>
      <c r="M1535" s="88" t="str">
        <f t="shared" si="5"/>
        <v>Perubahan Normal</v>
      </c>
    </row>
    <row r="1536" ht="18.75" customHeight="1">
      <c r="A1536" s="80" t="s">
        <v>395</v>
      </c>
      <c r="B1536" s="81" t="str">
        <f t="shared" si="1"/>
        <v>Kota Bukittinggi</v>
      </c>
      <c r="C1536" s="81" t="str">
        <f t="array" ref="C1536">XLOOKUP(B1536,Reference!$A$2:$A$152,Reference!$B$2:$B$152)</f>
        <v>Sumatera Barat</v>
      </c>
      <c r="D1536" s="82" t="s">
        <v>1975</v>
      </c>
      <c r="E1536" s="83">
        <v>45323.0</v>
      </c>
      <c r="F1536" s="84" t="str">
        <f t="array" ref="F1536">XLOOKUP(G1536,Reference!$F:$F,Reference!$D:$D,"null")</f>
        <v>Pendidikan dan Kesehatan</v>
      </c>
      <c r="G1536" s="85" t="s">
        <v>98</v>
      </c>
      <c r="H1536" s="86">
        <v>105.17</v>
      </c>
      <c r="I1536" s="86">
        <v>105.17</v>
      </c>
      <c r="J1536" s="87">
        <f t="shared" si="2"/>
        <v>0</v>
      </c>
      <c r="K1536" s="84" t="str">
        <f t="shared" si="3"/>
        <v>Stabil</v>
      </c>
      <c r="L1536" s="84">
        <f t="shared" si="4"/>
        <v>0</v>
      </c>
      <c r="M1536" s="88" t="str">
        <f t="shared" si="5"/>
        <v>Perubahan Normal</v>
      </c>
    </row>
    <row r="1537" ht="18.75" customHeight="1">
      <c r="A1537" s="80" t="s">
        <v>410</v>
      </c>
      <c r="B1537" s="81" t="str">
        <f t="shared" si="1"/>
        <v>Meulaboh</v>
      </c>
      <c r="C1537" s="81" t="str">
        <f t="array" ref="C1537">XLOOKUP(B1537,Reference!$A$2:$A$152,Reference!$B$2:$B$152)</f>
        <v>Aceh</v>
      </c>
      <c r="D1537" s="82" t="s">
        <v>1976</v>
      </c>
      <c r="E1537" s="83">
        <v>45323.0</v>
      </c>
      <c r="F1537" s="84" t="str">
        <f t="array" ref="F1537">XLOOKUP(G1537,Reference!$F:$F,Reference!$D:$D,"null")</f>
        <v>Makanan dan Pakaian </v>
      </c>
      <c r="G1537" s="85" t="s">
        <v>72</v>
      </c>
      <c r="H1537" s="86">
        <v>100.74</v>
      </c>
      <c r="I1537" s="86">
        <v>100.87</v>
      </c>
      <c r="J1537" s="87">
        <f t="shared" si="2"/>
        <v>-0.1288787548</v>
      </c>
      <c r="K1537" s="84" t="str">
        <f t="shared" si="3"/>
        <v>Deflasi</v>
      </c>
      <c r="L1537" s="84">
        <f t="shared" si="4"/>
        <v>-0.13</v>
      </c>
      <c r="M1537" s="88" t="str">
        <f t="shared" si="5"/>
        <v>Perubahan Normal</v>
      </c>
    </row>
    <row r="1538" ht="18.75" customHeight="1">
      <c r="A1538" s="80" t="s">
        <v>340</v>
      </c>
      <c r="B1538" s="81" t="str">
        <f t="shared" si="1"/>
        <v>Kab Rembang</v>
      </c>
      <c r="C1538" s="81" t="str">
        <f t="array" ref="C1538">XLOOKUP(B1538,Reference!$A$2:$A$152,Reference!$B$2:$B$152)</f>
        <v>Jawa Tengah</v>
      </c>
      <c r="D1538" s="82" t="s">
        <v>1977</v>
      </c>
      <c r="E1538" s="83">
        <v>45323.0</v>
      </c>
      <c r="F1538" s="84" t="str">
        <f t="array" ref="F1538">XLOOKUP(G1538,Reference!$F:$F,Reference!$D:$D,"null")</f>
        <v>Makanan dan Pakaian </v>
      </c>
      <c r="G1538" s="85" t="s">
        <v>48</v>
      </c>
      <c r="H1538" s="86">
        <v>115.44</v>
      </c>
      <c r="I1538" s="86">
        <v>113.87</v>
      </c>
      <c r="J1538" s="87">
        <f t="shared" si="2"/>
        <v>1.378765259</v>
      </c>
      <c r="K1538" s="84" t="str">
        <f t="shared" si="3"/>
        <v>Inflasi Tinggi</v>
      </c>
      <c r="L1538" s="84">
        <f t="shared" si="4"/>
        <v>1.57</v>
      </c>
      <c r="M1538" s="88" t="str">
        <f t="shared" si="5"/>
        <v>Akselerasi Persentase</v>
      </c>
    </row>
    <row r="1539" ht="18.75" customHeight="1">
      <c r="A1539" s="80" t="s">
        <v>448</v>
      </c>
      <c r="B1539" s="81" t="str">
        <f t="shared" si="1"/>
        <v>Tanjung Selor</v>
      </c>
      <c r="C1539" s="81" t="str">
        <f t="array" ref="C1539">XLOOKUP(B1539,Reference!$A$2:$A$152,Reference!$B$2:$B$152)</f>
        <v>Kalimantan Utara</v>
      </c>
      <c r="D1539" s="82" t="s">
        <v>1978</v>
      </c>
      <c r="E1539" s="83">
        <v>45323.0</v>
      </c>
      <c r="F1539" s="84" t="str">
        <f t="array" ref="F1539">XLOOKUP(G1539,Reference!$F:$F,Reference!$D:$D,"null")</f>
        <v>Pendidikan dan Kesehatan</v>
      </c>
      <c r="G1539" s="85" t="s">
        <v>95</v>
      </c>
      <c r="H1539" s="86">
        <v>100.0</v>
      </c>
      <c r="I1539" s="86">
        <v>100.0</v>
      </c>
      <c r="J1539" s="87">
        <f t="shared" si="2"/>
        <v>0</v>
      </c>
      <c r="K1539" s="84" t="str">
        <f t="shared" si="3"/>
        <v>Stabil</v>
      </c>
      <c r="L1539" s="84">
        <f t="shared" si="4"/>
        <v>0</v>
      </c>
      <c r="M1539" s="88" t="str">
        <f t="shared" si="5"/>
        <v>Perubahan Normal</v>
      </c>
    </row>
    <row r="1540" ht="18.75" customHeight="1">
      <c r="A1540" s="80" t="s">
        <v>492</v>
      </c>
      <c r="B1540" s="81" t="str">
        <f t="shared" si="1"/>
        <v>Kota Cilegon</v>
      </c>
      <c r="C1540" s="81" t="str">
        <f t="array" ref="C1540">XLOOKUP(B1540,Reference!$A$2:$A$152,Reference!$B$2:$B$152)</f>
        <v>Banten</v>
      </c>
      <c r="D1540" s="82" t="s">
        <v>1979</v>
      </c>
      <c r="E1540" s="83">
        <v>45352.0</v>
      </c>
      <c r="F1540" s="84" t="str">
        <f t="array" ref="F1540">XLOOKUP(G1540,Reference!$F:$F,Reference!$D:$D,"null")</f>
        <v>Rumah Tangga</v>
      </c>
      <c r="G1540" s="85" t="s">
        <v>80</v>
      </c>
      <c r="H1540" s="86">
        <v>100.66</v>
      </c>
      <c r="I1540" s="86">
        <v>100.66</v>
      </c>
      <c r="J1540" s="87">
        <f t="shared" si="2"/>
        <v>0</v>
      </c>
      <c r="K1540" s="84" t="str">
        <f t="shared" si="3"/>
        <v>Stabil</v>
      </c>
      <c r="L1540" s="84">
        <f t="shared" si="4"/>
        <v>0</v>
      </c>
      <c r="M1540" s="88" t="str">
        <f t="shared" si="5"/>
        <v>Perubahan Normal</v>
      </c>
    </row>
    <row r="1541" ht="18.75" customHeight="1">
      <c r="A1541" s="80" t="s">
        <v>495</v>
      </c>
      <c r="B1541" s="81" t="str">
        <f t="shared" si="1"/>
        <v>Kota Medan</v>
      </c>
      <c r="C1541" s="81" t="str">
        <f t="array" ref="C1541">XLOOKUP(B1541,Reference!$A$2:$A$152,Reference!$B$2:$B$152)</f>
        <v>Sumatera Utara</v>
      </c>
      <c r="D1541" s="82" t="s">
        <v>1980</v>
      </c>
      <c r="E1541" s="83">
        <v>45323.0</v>
      </c>
      <c r="F1541" s="84" t="str">
        <f t="array" ref="F1541">XLOOKUP(G1541,Reference!$F:$F,Reference!$D:$D,"null")</f>
        <v>Makanan dan Pakaian </v>
      </c>
      <c r="G1541" s="85" t="s">
        <v>48</v>
      </c>
      <c r="H1541" s="86">
        <v>109.26</v>
      </c>
      <c r="I1541" s="86">
        <v>107.51</v>
      </c>
      <c r="J1541" s="87">
        <f t="shared" si="2"/>
        <v>1.627755558</v>
      </c>
      <c r="K1541" s="84" t="str">
        <f t="shared" si="3"/>
        <v>Inflasi Tinggi</v>
      </c>
      <c r="L1541" s="84">
        <f t="shared" si="4"/>
        <v>1.75</v>
      </c>
      <c r="M1541" s="88" t="str">
        <f t="shared" si="5"/>
        <v>Akselerasi Persentase</v>
      </c>
    </row>
    <row r="1542" ht="18.75" customHeight="1">
      <c r="A1542" s="80" t="s">
        <v>920</v>
      </c>
      <c r="B1542" s="81" t="str">
        <f t="shared" si="1"/>
        <v>Kab Deli Serdang</v>
      </c>
      <c r="C1542" s="81" t="str">
        <f t="array" ref="C1542">XLOOKUP(B1542,Reference!$A$2:$A$152,Reference!$B$2:$B$152)</f>
        <v>Sumatera Utara</v>
      </c>
      <c r="D1542" s="82" t="s">
        <v>1981</v>
      </c>
      <c r="E1542" s="83">
        <v>45323.0</v>
      </c>
      <c r="F1542" s="84" t="str">
        <f t="array" ref="F1542">XLOOKUP(G1542,Reference!$F:$F,Reference!$D:$D,"null")</f>
        <v>Rekreasi dan Kendaraan</v>
      </c>
      <c r="G1542" s="85" t="s">
        <v>105</v>
      </c>
      <c r="H1542" s="86">
        <v>100.0</v>
      </c>
      <c r="I1542" s="86">
        <v>100.0</v>
      </c>
      <c r="J1542" s="87">
        <f t="shared" si="2"/>
        <v>0</v>
      </c>
      <c r="K1542" s="84" t="str">
        <f t="shared" si="3"/>
        <v>Stabil</v>
      </c>
      <c r="L1542" s="84">
        <f t="shared" si="4"/>
        <v>0</v>
      </c>
      <c r="M1542" s="88" t="str">
        <f t="shared" si="5"/>
        <v>Perubahan Normal</v>
      </c>
    </row>
    <row r="1543" ht="18.75" customHeight="1">
      <c r="A1543" s="80" t="s">
        <v>442</v>
      </c>
      <c r="B1543" s="81" t="str">
        <f t="shared" si="1"/>
        <v>Kota Cirebon</v>
      </c>
      <c r="C1543" s="81" t="str">
        <f t="array" ref="C1543">XLOOKUP(B1543,Reference!$A$2:$A$152,Reference!$B$2:$B$152)</f>
        <v>Jawa Barat</v>
      </c>
      <c r="D1543" s="82" t="s">
        <v>1982</v>
      </c>
      <c r="E1543" s="83">
        <v>45352.0</v>
      </c>
      <c r="F1543" s="84" t="str">
        <f t="array" ref="F1543">XLOOKUP(G1543,Reference!$F:$F,Reference!$D:$D,"null")</f>
        <v>Makanan dan Pakaian </v>
      </c>
      <c r="G1543" s="85" t="s">
        <v>64</v>
      </c>
      <c r="H1543" s="86">
        <v>102.16</v>
      </c>
      <c r="I1543" s="86">
        <v>102.0</v>
      </c>
      <c r="J1543" s="87">
        <f t="shared" si="2"/>
        <v>0.1568627451</v>
      </c>
      <c r="K1543" s="84" t="str">
        <f t="shared" si="3"/>
        <v>Inflasi Normal</v>
      </c>
      <c r="L1543" s="84">
        <f t="shared" si="4"/>
        <v>0.16</v>
      </c>
      <c r="M1543" s="88" t="str">
        <f t="shared" si="5"/>
        <v>Perubahan Normal</v>
      </c>
    </row>
    <row r="1544" ht="18.75" customHeight="1">
      <c r="A1544" s="80" t="s">
        <v>337</v>
      </c>
      <c r="B1544" s="81" t="str">
        <f t="shared" si="1"/>
        <v>Merauke</v>
      </c>
      <c r="C1544" s="81" t="str">
        <f t="array" ref="C1544">XLOOKUP(B1544,Reference!$A$2:$A$152,Reference!$B$2:$B$152)</f>
        <v>Papua</v>
      </c>
      <c r="D1544" s="82" t="s">
        <v>1983</v>
      </c>
      <c r="E1544" s="83">
        <v>45352.0</v>
      </c>
      <c r="F1544" s="84" t="str">
        <f t="array" ref="F1544">XLOOKUP(G1544,Reference!$F:$F,Reference!$D:$D,"null")</f>
        <v>Makanan dan Pakaian </v>
      </c>
      <c r="G1544" s="85" t="s">
        <v>48</v>
      </c>
      <c r="H1544" s="86">
        <v>107.66</v>
      </c>
      <c r="I1544" s="86">
        <v>108.86</v>
      </c>
      <c r="J1544" s="87">
        <f t="shared" si="2"/>
        <v>-1.102333272</v>
      </c>
      <c r="K1544" s="84" t="str">
        <f t="shared" si="3"/>
        <v>Deflasi</v>
      </c>
      <c r="L1544" s="84">
        <f t="shared" si="4"/>
        <v>-1.2</v>
      </c>
      <c r="M1544" s="88" t="str">
        <f t="shared" si="5"/>
        <v>Perubahan Normal</v>
      </c>
    </row>
    <row r="1545" ht="18.75" customHeight="1">
      <c r="A1545" s="80" t="s">
        <v>353</v>
      </c>
      <c r="B1545" s="81" t="str">
        <f t="shared" si="1"/>
        <v>Kota Bau Bau</v>
      </c>
      <c r="C1545" s="81" t="str">
        <f t="array" ref="C1545">XLOOKUP(B1545,Reference!$A$2:$A$152,Reference!$B$2:$B$152)</f>
        <v>Sulawesi Tenggara</v>
      </c>
      <c r="D1545" s="82" t="s">
        <v>1984</v>
      </c>
      <c r="E1545" s="83">
        <v>45352.0</v>
      </c>
      <c r="F1545" s="84" t="str">
        <f t="array" ref="F1545">XLOOKUP(G1545,Reference!$F:$F,Reference!$D:$D,"null")</f>
        <v>Pendidikan dan Kesehatan</v>
      </c>
      <c r="G1545" s="85" t="s">
        <v>98</v>
      </c>
      <c r="H1545" s="86">
        <v>100.41</v>
      </c>
      <c r="I1545" s="86">
        <v>100.41</v>
      </c>
      <c r="J1545" s="87">
        <f t="shared" si="2"/>
        <v>0</v>
      </c>
      <c r="K1545" s="84" t="str">
        <f t="shared" si="3"/>
        <v>Stabil</v>
      </c>
      <c r="L1545" s="84">
        <f t="shared" si="4"/>
        <v>0</v>
      </c>
      <c r="M1545" s="88" t="str">
        <f t="shared" si="5"/>
        <v>Perubahan Normal</v>
      </c>
    </row>
    <row r="1546" ht="18.75" customHeight="1">
      <c r="A1546" s="80" t="s">
        <v>628</v>
      </c>
      <c r="B1546" s="81" t="str">
        <f t="shared" si="1"/>
        <v>Watampone</v>
      </c>
      <c r="C1546" s="81" t="str">
        <f t="array" ref="C1546">XLOOKUP(B1546,Reference!$A$2:$A$152,Reference!$B$2:$B$152)</f>
        <v>Sulawesi Selatan</v>
      </c>
      <c r="D1546" s="82" t="s">
        <v>1985</v>
      </c>
      <c r="E1546" s="83">
        <v>45323.0</v>
      </c>
      <c r="F1546" s="84" t="str">
        <f t="array" ref="F1546">XLOOKUP(G1546,Reference!$F:$F,Reference!$D:$D,"null")</f>
        <v>Pendidikan dan Kesehatan</v>
      </c>
      <c r="G1546" s="89" t="s">
        <v>95</v>
      </c>
      <c r="H1546" s="90">
        <v>100.1</v>
      </c>
      <c r="I1546" s="90">
        <v>100.01</v>
      </c>
      <c r="J1546" s="87">
        <f t="shared" si="2"/>
        <v>0.0899910009</v>
      </c>
      <c r="K1546" s="84" t="str">
        <f t="shared" si="3"/>
        <v>Inflasi Normal</v>
      </c>
      <c r="L1546" s="91">
        <f t="shared" si="4"/>
        <v>0.09</v>
      </c>
      <c r="M1546" s="88" t="str">
        <f t="shared" si="5"/>
        <v>Perubahan Normal</v>
      </c>
    </row>
    <row r="1547" ht="18.75" customHeight="1">
      <c r="A1547" s="80" t="s">
        <v>925</v>
      </c>
      <c r="B1547" s="81" t="str">
        <f t="shared" si="1"/>
        <v>Kota Jakarta</v>
      </c>
      <c r="C1547" s="81" t="str">
        <f t="array" ref="C1547">XLOOKUP(B1547,Reference!$A$2:$A$152,Reference!$B$2:$B$152)</f>
        <v>DKI Jakarta</v>
      </c>
      <c r="D1547" s="82" t="s">
        <v>1986</v>
      </c>
      <c r="E1547" s="83">
        <v>45352.0</v>
      </c>
      <c r="F1547" s="84" t="str">
        <f t="array" ref="F1547">XLOOKUP(G1547,Reference!$F:$F,Reference!$D:$D,"null")</f>
        <v>Rekreasi dan Kendaraan</v>
      </c>
      <c r="G1547" s="89" t="s">
        <v>105</v>
      </c>
      <c r="H1547" s="90">
        <v>100.77</v>
      </c>
      <c r="I1547" s="90">
        <v>100.77</v>
      </c>
      <c r="J1547" s="87">
        <f t="shared" si="2"/>
        <v>0</v>
      </c>
      <c r="K1547" s="84" t="str">
        <f t="shared" si="3"/>
        <v>Stabil</v>
      </c>
      <c r="L1547" s="91">
        <f t="shared" si="4"/>
        <v>0</v>
      </c>
      <c r="M1547" s="88" t="str">
        <f t="shared" si="5"/>
        <v>Perubahan Normal</v>
      </c>
    </row>
    <row r="1548" ht="18.75" customHeight="1">
      <c r="A1548" s="80" t="s">
        <v>333</v>
      </c>
      <c r="B1548" s="81" t="str">
        <f t="shared" si="1"/>
        <v>Kab Pasaman Barat</v>
      </c>
      <c r="C1548" s="81" t="str">
        <f t="array" ref="C1548">XLOOKUP(B1548,Reference!$A$2:$A$152,Reference!$B$2:$B$152)</f>
        <v>Sumatera Barat</v>
      </c>
      <c r="D1548" s="82" t="s">
        <v>1987</v>
      </c>
      <c r="E1548" s="83">
        <v>45352.0</v>
      </c>
      <c r="F1548" s="84" t="str">
        <f t="array" ref="F1548">XLOOKUP(G1548,Reference!$F:$F,Reference!$D:$D,"null")</f>
        <v>Pendidikan dan Kesehatan</v>
      </c>
      <c r="G1548" s="85" t="s">
        <v>95</v>
      </c>
      <c r="H1548" s="86">
        <v>100.19</v>
      </c>
      <c r="I1548" s="86">
        <v>100.19</v>
      </c>
      <c r="J1548" s="87">
        <f t="shared" si="2"/>
        <v>0</v>
      </c>
      <c r="K1548" s="84" t="str">
        <f t="shared" si="3"/>
        <v>Stabil</v>
      </c>
      <c r="L1548" s="84">
        <f t="shared" si="4"/>
        <v>0</v>
      </c>
      <c r="M1548" s="88" t="str">
        <f t="shared" si="5"/>
        <v>Perubahan Normal</v>
      </c>
    </row>
    <row r="1549" ht="18.75" customHeight="1">
      <c r="A1549" s="80" t="s">
        <v>468</v>
      </c>
      <c r="B1549" s="81" t="str">
        <f t="shared" si="1"/>
        <v>Timika</v>
      </c>
      <c r="C1549" s="81" t="str">
        <f t="array" ref="C1549">XLOOKUP(B1549,Reference!$A$2:$A$152,Reference!$B$2:$B$152)</f>
        <v>Papua</v>
      </c>
      <c r="D1549" s="82" t="s">
        <v>1988</v>
      </c>
      <c r="E1549" s="83">
        <v>45352.0</v>
      </c>
      <c r="F1549" s="84" t="str">
        <f t="array" ref="F1549">XLOOKUP(G1549,Reference!$F:$F,Reference!$D:$D,"null")</f>
        <v>Makanan dan Pakaian </v>
      </c>
      <c r="G1549" s="85" t="s">
        <v>48</v>
      </c>
      <c r="H1549" s="86">
        <v>107.49</v>
      </c>
      <c r="I1549" s="86">
        <v>106.28</v>
      </c>
      <c r="J1549" s="87">
        <f t="shared" si="2"/>
        <v>1.13850207</v>
      </c>
      <c r="K1549" s="84" t="str">
        <f t="shared" si="3"/>
        <v>Inflasi Tinggi</v>
      </c>
      <c r="L1549" s="84">
        <f t="shared" si="4"/>
        <v>1.21</v>
      </c>
      <c r="M1549" s="88" t="str">
        <f t="shared" si="5"/>
        <v>Akselerasi Persentase</v>
      </c>
    </row>
    <row r="1550" ht="18.75" customHeight="1">
      <c r="A1550" s="80" t="s">
        <v>618</v>
      </c>
      <c r="B1550" s="81" t="str">
        <f t="shared" si="1"/>
        <v>Kota Tangerang</v>
      </c>
      <c r="C1550" s="81" t="str">
        <f t="array" ref="C1550">XLOOKUP(B1550,Reference!$A$2:$A$152,Reference!$B$2:$B$152)</f>
        <v>Banten</v>
      </c>
      <c r="D1550" s="82" t="s">
        <v>1989</v>
      </c>
      <c r="E1550" s="83">
        <v>45352.0</v>
      </c>
      <c r="F1550" s="84" t="str">
        <f t="array" ref="F1550">XLOOKUP(G1550,Reference!$F:$F,Reference!$D:$D,"null")</f>
        <v>Rumah Tangga</v>
      </c>
      <c r="G1550" s="89" t="s">
        <v>89</v>
      </c>
      <c r="H1550" s="90">
        <v>107.41</v>
      </c>
      <c r="I1550" s="90">
        <v>106.09</v>
      </c>
      <c r="J1550" s="87">
        <f t="shared" si="2"/>
        <v>1.2442266</v>
      </c>
      <c r="K1550" s="84" t="str">
        <f t="shared" si="3"/>
        <v>Inflasi Tinggi</v>
      </c>
      <c r="L1550" s="91">
        <f t="shared" si="4"/>
        <v>1.32</v>
      </c>
      <c r="M1550" s="88" t="str">
        <f t="shared" si="5"/>
        <v>Akselerasi Persentase</v>
      </c>
    </row>
    <row r="1551" ht="18.75" customHeight="1">
      <c r="A1551" s="80" t="s">
        <v>427</v>
      </c>
      <c r="B1551" s="81" t="str">
        <f t="shared" si="1"/>
        <v>Kota Malang</v>
      </c>
      <c r="C1551" s="81" t="str">
        <f t="array" ref="C1551">XLOOKUP(B1551,Reference!$A$2:$A$152,Reference!$B$2:$B$152)</f>
        <v>Jawa Timur</v>
      </c>
      <c r="D1551" s="82" t="s">
        <v>1990</v>
      </c>
      <c r="E1551" s="83">
        <v>45352.0</v>
      </c>
      <c r="F1551" s="84" t="str">
        <f t="array" ref="F1551">XLOOKUP(G1551,Reference!$F:$F,Reference!$D:$D,"null")</f>
        <v>Rekreasi dan Kendaraan</v>
      </c>
      <c r="G1551" s="85" t="s">
        <v>102</v>
      </c>
      <c r="H1551" s="86">
        <v>101.7</v>
      </c>
      <c r="I1551" s="86">
        <v>101.65</v>
      </c>
      <c r="J1551" s="87">
        <f t="shared" si="2"/>
        <v>0.04918839154</v>
      </c>
      <c r="K1551" s="84" t="str">
        <f t="shared" si="3"/>
        <v>Inflasi Normal</v>
      </c>
      <c r="L1551" s="84">
        <f t="shared" si="4"/>
        <v>0.05</v>
      </c>
      <c r="M1551" s="88" t="str">
        <f t="shared" si="5"/>
        <v>Perubahan Normal</v>
      </c>
    </row>
    <row r="1552" ht="18.75" customHeight="1">
      <c r="A1552" s="80" t="s">
        <v>483</v>
      </c>
      <c r="B1552" s="81" t="str">
        <f t="shared" si="1"/>
        <v>Kota Padangsidimpuan</v>
      </c>
      <c r="C1552" s="81" t="str">
        <f t="array" ref="C1552">XLOOKUP(B1552,Reference!$A$2:$A$152,Reference!$B$2:$B$152)</f>
        <v>Sumatera Utara</v>
      </c>
      <c r="D1552" s="82" t="s">
        <v>1991</v>
      </c>
      <c r="E1552" s="83">
        <v>45352.0</v>
      </c>
      <c r="F1552" s="84" t="str">
        <f t="array" ref="F1552">XLOOKUP(G1552,Reference!$F:$F,Reference!$D:$D,"null")</f>
        <v>Rekreasi dan Kendaraan</v>
      </c>
      <c r="G1552" s="85" t="s">
        <v>102</v>
      </c>
      <c r="H1552" s="86">
        <v>106.2</v>
      </c>
      <c r="I1552" s="86">
        <v>105.79</v>
      </c>
      <c r="J1552" s="87">
        <f t="shared" si="2"/>
        <v>0.3875602609</v>
      </c>
      <c r="K1552" s="84" t="str">
        <f t="shared" si="3"/>
        <v>Inflasi Normal</v>
      </c>
      <c r="L1552" s="84">
        <f t="shared" si="4"/>
        <v>0.41</v>
      </c>
      <c r="M1552" s="88" t="str">
        <f t="shared" si="5"/>
        <v>Perubahan Normal</v>
      </c>
    </row>
    <row r="1553" ht="18.75" customHeight="1">
      <c r="A1553" s="80" t="s">
        <v>364</v>
      </c>
      <c r="B1553" s="81" t="str">
        <f t="shared" si="1"/>
        <v>Kab Tanah Laut</v>
      </c>
      <c r="C1553" s="81" t="str">
        <f t="array" ref="C1553">XLOOKUP(B1553,Reference!$A$2:$A$152,Reference!$B$2:$B$152)</f>
        <v>Kalimantan Selatan</v>
      </c>
      <c r="D1553" s="82" t="s">
        <v>1992</v>
      </c>
      <c r="E1553" s="83">
        <v>45352.0</v>
      </c>
      <c r="F1553" s="84" t="str">
        <f t="array" ref="F1553">XLOOKUP(G1553,Reference!$F:$F,Reference!$D:$D,"null")</f>
        <v>Makanan dan Pakaian </v>
      </c>
      <c r="G1553" s="85" t="s">
        <v>72</v>
      </c>
      <c r="H1553" s="86">
        <v>105.3</v>
      </c>
      <c r="I1553" s="86">
        <v>105.3</v>
      </c>
      <c r="J1553" s="87">
        <f t="shared" si="2"/>
        <v>0</v>
      </c>
      <c r="K1553" s="84" t="str">
        <f t="shared" si="3"/>
        <v>Stabil</v>
      </c>
      <c r="L1553" s="84">
        <f t="shared" si="4"/>
        <v>0</v>
      </c>
      <c r="M1553" s="88" t="str">
        <f t="shared" si="5"/>
        <v>Perubahan Normal</v>
      </c>
    </row>
    <row r="1554" ht="18.75" customHeight="1">
      <c r="A1554" s="80" t="s">
        <v>438</v>
      </c>
      <c r="B1554" s="81" t="str">
        <f t="shared" si="1"/>
        <v>Kab Muara Enim</v>
      </c>
      <c r="C1554" s="81" t="str">
        <f t="array" ref="C1554">XLOOKUP(B1554,Reference!$A$2:$A$152,Reference!$B$2:$B$152)</f>
        <v>Sumatera Selatan</v>
      </c>
      <c r="D1554" s="82" t="s">
        <v>1993</v>
      </c>
      <c r="E1554" s="83">
        <v>45352.0</v>
      </c>
      <c r="F1554" s="84" t="str">
        <f t="array" ref="F1554">XLOOKUP(G1554,Reference!$F:$F,Reference!$D:$D,"null")</f>
        <v>Makanan dan Pakaian </v>
      </c>
      <c r="G1554" s="85" t="s">
        <v>56</v>
      </c>
      <c r="H1554" s="86">
        <v>118.04</v>
      </c>
      <c r="I1554" s="86">
        <v>123.78</v>
      </c>
      <c r="J1554" s="87">
        <f t="shared" si="2"/>
        <v>-4.637259654</v>
      </c>
      <c r="K1554" s="84" t="str">
        <f t="shared" si="3"/>
        <v>Deflasi</v>
      </c>
      <c r="L1554" s="84">
        <f t="shared" si="4"/>
        <v>-5.74</v>
      </c>
      <c r="M1554" s="88" t="str">
        <f t="shared" si="5"/>
        <v>Perubahan Normal</v>
      </c>
    </row>
    <row r="1555" ht="18.75" customHeight="1">
      <c r="A1555" s="80" t="s">
        <v>542</v>
      </c>
      <c r="B1555" s="81" t="str">
        <f t="shared" si="1"/>
        <v>Kab Karo</v>
      </c>
      <c r="C1555" s="81" t="str">
        <f t="array" ref="C1555">XLOOKUP(B1555,Reference!$A$2:$A$152,Reference!$B$2:$B$152)</f>
        <v>Sumatera Utara</v>
      </c>
      <c r="D1555" s="82" t="s">
        <v>1994</v>
      </c>
      <c r="E1555" s="83">
        <v>45323.0</v>
      </c>
      <c r="F1555" s="84" t="str">
        <f t="array" ref="F1555">XLOOKUP(G1555,Reference!$F:$F,Reference!$D:$D,"null")</f>
        <v>Rumah Tangga</v>
      </c>
      <c r="G1555" s="85" t="s">
        <v>84</v>
      </c>
      <c r="H1555" s="86">
        <v>97.94</v>
      </c>
      <c r="I1555" s="86">
        <v>100.2</v>
      </c>
      <c r="J1555" s="87">
        <f t="shared" si="2"/>
        <v>-2.255489022</v>
      </c>
      <c r="K1555" s="84" t="str">
        <f t="shared" si="3"/>
        <v>Deflasi</v>
      </c>
      <c r="L1555" s="84">
        <f t="shared" si="4"/>
        <v>-2.26</v>
      </c>
      <c r="M1555" s="88" t="str">
        <f t="shared" si="5"/>
        <v>Perubahan Normal</v>
      </c>
    </row>
    <row r="1556" ht="18.75" customHeight="1">
      <c r="A1556" s="80" t="s">
        <v>573</v>
      </c>
      <c r="B1556" s="81" t="str">
        <f t="shared" si="1"/>
        <v>Kota Palangkaraya</v>
      </c>
      <c r="C1556" s="81" t="str">
        <f t="array" ref="C1556">XLOOKUP(B1556,Reference!$A$2:$A$152,Reference!$B$2:$B$152)</f>
        <v>Kalimantan Tengah</v>
      </c>
      <c r="D1556" s="82" t="s">
        <v>1995</v>
      </c>
      <c r="E1556" s="83">
        <v>45352.0</v>
      </c>
      <c r="F1556" s="84" t="str">
        <f t="array" ref="F1556">XLOOKUP(G1556,Reference!$F:$F,Reference!$D:$D,"null")</f>
        <v>Makanan dan Pakaian </v>
      </c>
      <c r="G1556" s="85" t="s">
        <v>48</v>
      </c>
      <c r="H1556" s="86">
        <v>110.55</v>
      </c>
      <c r="I1556" s="86">
        <v>108.75</v>
      </c>
      <c r="J1556" s="87">
        <f t="shared" si="2"/>
        <v>1.655172414</v>
      </c>
      <c r="K1556" s="84" t="str">
        <f t="shared" si="3"/>
        <v>Inflasi Tinggi</v>
      </c>
      <c r="L1556" s="84">
        <f t="shared" si="4"/>
        <v>1.8</v>
      </c>
      <c r="M1556" s="88" t="str">
        <f t="shared" si="5"/>
        <v>Akselerasi Persentase</v>
      </c>
    </row>
    <row r="1557" ht="18.75" customHeight="1">
      <c r="A1557" s="80" t="s">
        <v>1282</v>
      </c>
      <c r="B1557" s="81" t="str">
        <f t="shared" si="1"/>
        <v>Kota Bima</v>
      </c>
      <c r="C1557" s="81" t="str">
        <f t="array" ref="C1557">XLOOKUP(B1557,Reference!$A$2:$A$152,Reference!$B$2:$B$152)</f>
        <v>Nusa Tenggara Barat (NTB)</v>
      </c>
      <c r="D1557" s="82" t="s">
        <v>1996</v>
      </c>
      <c r="E1557" s="83">
        <v>45352.0</v>
      </c>
      <c r="F1557" s="84" t="str">
        <f t="array" ref="F1557">XLOOKUP(G1557,Reference!$F:$F,Reference!$D:$D,"null")</f>
        <v>Rumah Tangga</v>
      </c>
      <c r="G1557" s="85" t="s">
        <v>89</v>
      </c>
      <c r="H1557" s="86">
        <v>102.3</v>
      </c>
      <c r="I1557" s="86">
        <v>102.3</v>
      </c>
      <c r="J1557" s="87">
        <f t="shared" si="2"/>
        <v>0</v>
      </c>
      <c r="K1557" s="84" t="str">
        <f t="shared" si="3"/>
        <v>Stabil</v>
      </c>
      <c r="L1557" s="84">
        <f t="shared" si="4"/>
        <v>0</v>
      </c>
      <c r="M1557" s="88" t="str">
        <f t="shared" si="5"/>
        <v>Perubahan Normal</v>
      </c>
    </row>
    <row r="1558" ht="18.75" customHeight="1">
      <c r="A1558" s="80" t="s">
        <v>326</v>
      </c>
      <c r="B1558" s="81" t="str">
        <f t="shared" si="1"/>
        <v>Luwuk</v>
      </c>
      <c r="C1558" s="81" t="str">
        <f t="array" ref="C1558">XLOOKUP(B1558,Reference!$A$2:$A$152,Reference!$B$2:$B$152)</f>
        <v>Sulawesi Tengah</v>
      </c>
      <c r="D1558" s="82" t="s">
        <v>1997</v>
      </c>
      <c r="E1558" s="83">
        <v>45323.0</v>
      </c>
      <c r="F1558" s="84" t="str">
        <f t="array" ref="F1558">XLOOKUP(G1558,Reference!$F:$F,Reference!$D:$D,"null")</f>
        <v>Pendidikan dan Kesehatan</v>
      </c>
      <c r="G1558" s="85" t="s">
        <v>95</v>
      </c>
      <c r="H1558" s="86">
        <v>100.34</v>
      </c>
      <c r="I1558" s="86">
        <v>100.34</v>
      </c>
      <c r="J1558" s="87">
        <f t="shared" si="2"/>
        <v>0</v>
      </c>
      <c r="K1558" s="84" t="str">
        <f t="shared" si="3"/>
        <v>Stabil</v>
      </c>
      <c r="L1558" s="84">
        <f t="shared" si="4"/>
        <v>0</v>
      </c>
      <c r="M1558" s="88" t="str">
        <f t="shared" si="5"/>
        <v>Perubahan Normal</v>
      </c>
    </row>
    <row r="1559" ht="18.75" customHeight="1">
      <c r="A1559" s="80" t="s">
        <v>492</v>
      </c>
      <c r="B1559" s="81" t="str">
        <f t="shared" si="1"/>
        <v>Kota Cilegon</v>
      </c>
      <c r="C1559" s="81" t="str">
        <f t="array" ref="C1559">XLOOKUP(B1559,Reference!$A$2:$A$152,Reference!$B$2:$B$152)</f>
        <v>Banten</v>
      </c>
      <c r="D1559" s="82" t="s">
        <v>1998</v>
      </c>
      <c r="E1559" s="83">
        <v>45352.0</v>
      </c>
      <c r="F1559" s="84" t="str">
        <f t="array" ref="F1559">XLOOKUP(G1559,Reference!$F:$F,Reference!$D:$D,"null")</f>
        <v>Pendidikan dan Kesehatan</v>
      </c>
      <c r="G1559" s="85" t="s">
        <v>95</v>
      </c>
      <c r="H1559" s="86">
        <v>103.75</v>
      </c>
      <c r="I1559" s="86">
        <v>103.75</v>
      </c>
      <c r="J1559" s="87">
        <f t="shared" si="2"/>
        <v>0</v>
      </c>
      <c r="K1559" s="84" t="str">
        <f t="shared" si="3"/>
        <v>Stabil</v>
      </c>
      <c r="L1559" s="84">
        <f t="shared" si="4"/>
        <v>0</v>
      </c>
      <c r="M1559" s="88" t="str">
        <f t="shared" si="5"/>
        <v>Perubahan Normal</v>
      </c>
    </row>
    <row r="1560" ht="18.75" customHeight="1">
      <c r="A1560" s="80" t="s">
        <v>384</v>
      </c>
      <c r="B1560" s="81" t="str">
        <f t="shared" si="1"/>
        <v>Kab Lebak</v>
      </c>
      <c r="C1560" s="81" t="str">
        <f t="array" ref="C1560">XLOOKUP(B1560,Reference!$A$2:$A$152,Reference!$B$2:$B$152)</f>
        <v>Banten</v>
      </c>
      <c r="D1560" s="82" t="s">
        <v>1999</v>
      </c>
      <c r="E1560" s="83">
        <v>45323.0</v>
      </c>
      <c r="F1560" s="84" t="str">
        <f t="array" ref="F1560">XLOOKUP(G1560,Reference!$F:$F,Reference!$D:$D,"null")</f>
        <v>Rumah Tangga</v>
      </c>
      <c r="G1560" s="85" t="s">
        <v>84</v>
      </c>
      <c r="H1560" s="86">
        <v>100.52</v>
      </c>
      <c r="I1560" s="86">
        <v>100.52</v>
      </c>
      <c r="J1560" s="87">
        <f t="shared" si="2"/>
        <v>0</v>
      </c>
      <c r="K1560" s="84" t="str">
        <f t="shared" si="3"/>
        <v>Stabil</v>
      </c>
      <c r="L1560" s="84">
        <f t="shared" si="4"/>
        <v>0</v>
      </c>
      <c r="M1560" s="88" t="str">
        <f t="shared" si="5"/>
        <v>Perubahan Normal</v>
      </c>
    </row>
    <row r="1561" ht="18.75" customHeight="1">
      <c r="A1561" s="80" t="s">
        <v>376</v>
      </c>
      <c r="B1561" s="81" t="str">
        <f t="shared" si="1"/>
        <v>Bulukumba</v>
      </c>
      <c r="C1561" s="81" t="str">
        <f t="array" ref="C1561">XLOOKUP(B1561,Reference!$A$2:$A$152,Reference!$B$2:$B$152)</f>
        <v>Sulawesi Selatan</v>
      </c>
      <c r="D1561" s="82" t="s">
        <v>2000</v>
      </c>
      <c r="E1561" s="83">
        <v>45323.0</v>
      </c>
      <c r="F1561" s="84" t="str">
        <f t="array" ref="F1561">XLOOKUP(G1561,Reference!$F:$F,Reference!$D:$D,"null")</f>
        <v>Makanan dan Pakaian </v>
      </c>
      <c r="G1561" s="85" t="s">
        <v>56</v>
      </c>
      <c r="H1561" s="86">
        <v>104.21</v>
      </c>
      <c r="I1561" s="86">
        <v>103.69</v>
      </c>
      <c r="J1561" s="87">
        <f t="shared" si="2"/>
        <v>0.5014948404</v>
      </c>
      <c r="K1561" s="84" t="str">
        <f t="shared" si="3"/>
        <v>Inflasi Normal</v>
      </c>
      <c r="L1561" s="84">
        <f t="shared" si="4"/>
        <v>0.52</v>
      </c>
      <c r="M1561" s="88" t="str">
        <f t="shared" si="5"/>
        <v>Akselerasi Persentase</v>
      </c>
    </row>
    <row r="1562" ht="18.75" customHeight="1">
      <c r="A1562" s="80" t="s">
        <v>654</v>
      </c>
      <c r="B1562" s="81" t="str">
        <f t="shared" si="1"/>
        <v>Kab Aceh Tengah</v>
      </c>
      <c r="C1562" s="81" t="str">
        <f t="array" ref="C1562">XLOOKUP(B1562,Reference!$A$2:$A$152,Reference!$B$2:$B$152)</f>
        <v>Aceh</v>
      </c>
      <c r="D1562" s="82" t="s">
        <v>2001</v>
      </c>
      <c r="E1562" s="83">
        <v>45323.0</v>
      </c>
      <c r="F1562" s="84" t="str">
        <f t="array" ref="F1562">XLOOKUP(G1562,Reference!$F:$F,Reference!$D:$D,"null")</f>
        <v>Rumah Tangga</v>
      </c>
      <c r="G1562" s="85" t="s">
        <v>84</v>
      </c>
      <c r="H1562" s="86">
        <v>101.41</v>
      </c>
      <c r="I1562" s="86">
        <v>101.19</v>
      </c>
      <c r="J1562" s="87">
        <f t="shared" si="2"/>
        <v>0.2174127878</v>
      </c>
      <c r="K1562" s="84" t="str">
        <f t="shared" si="3"/>
        <v>Inflasi Normal</v>
      </c>
      <c r="L1562" s="84">
        <f t="shared" si="4"/>
        <v>0.22</v>
      </c>
      <c r="M1562" s="88" t="str">
        <f t="shared" si="5"/>
        <v>Perubahan Normal</v>
      </c>
    </row>
    <row r="1563" ht="18.75" customHeight="1">
      <c r="A1563" s="80" t="s">
        <v>391</v>
      </c>
      <c r="B1563" s="81" t="str">
        <f t="shared" si="1"/>
        <v>Kota Batam</v>
      </c>
      <c r="C1563" s="81" t="str">
        <f t="array" ref="C1563">XLOOKUP(B1563,Reference!$A$2:$A$152,Reference!$B$2:$B$152)</f>
        <v>Kepulauan Riau</v>
      </c>
      <c r="D1563" s="82" t="s">
        <v>2002</v>
      </c>
      <c r="E1563" s="83">
        <v>45323.0</v>
      </c>
      <c r="F1563" s="84" t="str">
        <f t="array" ref="F1563">XLOOKUP(G1563,Reference!$F:$F,Reference!$D:$D,"null")</f>
        <v>Rekreasi dan Kendaraan</v>
      </c>
      <c r="G1563" s="85" t="s">
        <v>102</v>
      </c>
      <c r="H1563" s="86">
        <v>101.82</v>
      </c>
      <c r="I1563" s="86">
        <v>101.74</v>
      </c>
      <c r="J1563" s="87">
        <f t="shared" si="2"/>
        <v>0.07863180657</v>
      </c>
      <c r="K1563" s="84" t="str">
        <f t="shared" si="3"/>
        <v>Inflasi Normal</v>
      </c>
      <c r="L1563" s="84">
        <f t="shared" si="4"/>
        <v>0.08</v>
      </c>
      <c r="M1563" s="88" t="str">
        <f t="shared" si="5"/>
        <v>Perubahan Normal</v>
      </c>
    </row>
    <row r="1564" ht="18.75" customHeight="1">
      <c r="A1564" s="80" t="s">
        <v>355</v>
      </c>
      <c r="B1564" s="81" t="str">
        <f t="shared" si="1"/>
        <v>Kota Gorontalo</v>
      </c>
      <c r="C1564" s="81" t="str">
        <f t="array" ref="C1564">XLOOKUP(B1564,Reference!$A$2:$A$152,Reference!$B$2:$B$152)</f>
        <v>Gorontalo</v>
      </c>
      <c r="D1564" s="82" t="s">
        <v>2003</v>
      </c>
      <c r="E1564" s="83">
        <v>45352.0</v>
      </c>
      <c r="F1564" s="84" t="str">
        <f t="array" ref="F1564">XLOOKUP(G1564,Reference!$F:$F,Reference!$D:$D,"null")</f>
        <v>Pendidikan dan Kesehatan</v>
      </c>
      <c r="G1564" s="85" t="s">
        <v>95</v>
      </c>
      <c r="H1564" s="86">
        <v>102.35</v>
      </c>
      <c r="I1564" s="86">
        <v>102.35</v>
      </c>
      <c r="J1564" s="87">
        <f t="shared" si="2"/>
        <v>0</v>
      </c>
      <c r="K1564" s="84" t="str">
        <f t="shared" si="3"/>
        <v>Stabil</v>
      </c>
      <c r="L1564" s="84">
        <f t="shared" si="4"/>
        <v>0</v>
      </c>
      <c r="M1564" s="88" t="str">
        <f t="shared" si="5"/>
        <v>Perubahan Normal</v>
      </c>
    </row>
    <row r="1565" ht="18.75" customHeight="1">
      <c r="A1565" s="80" t="s">
        <v>1031</v>
      </c>
      <c r="B1565" s="81" t="str">
        <f t="shared" si="1"/>
        <v>Kab Majene</v>
      </c>
      <c r="C1565" s="81" t="str">
        <f t="array" ref="C1565">XLOOKUP(B1565,Reference!$A$2:$A$152,Reference!$B$2:$B$152)</f>
        <v>Sulawesi Barat</v>
      </c>
      <c r="D1565" s="82" t="s">
        <v>2004</v>
      </c>
      <c r="E1565" s="83">
        <v>45352.0</v>
      </c>
      <c r="F1565" s="84" t="str">
        <f t="array" ref="F1565">XLOOKUP(G1565,Reference!$F:$F,Reference!$D:$D,"null")</f>
        <v>Rumah Tangga</v>
      </c>
      <c r="G1565" s="85" t="s">
        <v>84</v>
      </c>
      <c r="H1565" s="86">
        <v>100.07</v>
      </c>
      <c r="I1565" s="86">
        <v>100.07</v>
      </c>
      <c r="J1565" s="87">
        <f t="shared" si="2"/>
        <v>0</v>
      </c>
      <c r="K1565" s="84" t="str">
        <f t="shared" si="3"/>
        <v>Stabil</v>
      </c>
      <c r="L1565" s="84">
        <f t="shared" si="4"/>
        <v>0</v>
      </c>
      <c r="M1565" s="88" t="str">
        <f t="shared" si="5"/>
        <v>Perubahan Normal</v>
      </c>
    </row>
    <row r="1566" ht="18.75" customHeight="1">
      <c r="A1566" s="80" t="s">
        <v>740</v>
      </c>
      <c r="B1566" s="81" t="str">
        <f t="shared" si="1"/>
        <v>Kota Gunungsitoli</v>
      </c>
      <c r="C1566" s="81" t="str">
        <f t="array" ref="C1566">XLOOKUP(B1566,Reference!$A$2:$A$152,Reference!$B$2:$B$152)</f>
        <v>Sumatera Utara</v>
      </c>
      <c r="D1566" s="82" t="s">
        <v>2005</v>
      </c>
      <c r="E1566" s="83">
        <v>45352.0</v>
      </c>
      <c r="F1566" s="84" t="str">
        <f t="array" ref="F1566">XLOOKUP(G1566,Reference!$F:$F,Reference!$D:$D,"null")</f>
        <v>Pendidikan dan Kesehatan</v>
      </c>
      <c r="G1566" s="85" t="s">
        <v>95</v>
      </c>
      <c r="H1566" s="86">
        <v>102.2</v>
      </c>
      <c r="I1566" s="86">
        <v>102.2</v>
      </c>
      <c r="J1566" s="87">
        <f t="shared" si="2"/>
        <v>0</v>
      </c>
      <c r="K1566" s="84" t="str">
        <f t="shared" si="3"/>
        <v>Stabil</v>
      </c>
      <c r="L1566" s="84">
        <f t="shared" si="4"/>
        <v>0</v>
      </c>
      <c r="M1566" s="88" t="str">
        <f t="shared" si="5"/>
        <v>Perubahan Normal</v>
      </c>
    </row>
    <row r="1567" ht="18.75" customHeight="1">
      <c r="A1567" s="80" t="s">
        <v>600</v>
      </c>
      <c r="B1567" s="81" t="str">
        <f t="shared" si="1"/>
        <v>Kota Banda Aceh</v>
      </c>
      <c r="C1567" s="81" t="str">
        <f t="array" ref="C1567">XLOOKUP(B1567,Reference!$A$2:$A$152,Reference!$B$2:$B$152)</f>
        <v>Aceh</v>
      </c>
      <c r="D1567" s="82" t="s">
        <v>2006</v>
      </c>
      <c r="E1567" s="83">
        <v>45352.0</v>
      </c>
      <c r="F1567" s="84" t="str">
        <f t="array" ref="F1567">XLOOKUP(G1567,Reference!$F:$F,Reference!$D:$D,"null")</f>
        <v>Makanan dan Pakaian </v>
      </c>
      <c r="G1567" s="89" t="s">
        <v>64</v>
      </c>
      <c r="H1567" s="90">
        <v>101.02</v>
      </c>
      <c r="I1567" s="90">
        <v>102.02</v>
      </c>
      <c r="J1567" s="87">
        <f t="shared" si="2"/>
        <v>-0.9801999608</v>
      </c>
      <c r="K1567" s="84" t="str">
        <f t="shared" si="3"/>
        <v>Deflasi</v>
      </c>
      <c r="L1567" s="91">
        <f t="shared" si="4"/>
        <v>-1</v>
      </c>
      <c r="M1567" s="88" t="str">
        <f t="shared" si="5"/>
        <v>Perubahan Normal</v>
      </c>
    </row>
    <row r="1568" ht="18.75" customHeight="1">
      <c r="A1568" s="80" t="s">
        <v>542</v>
      </c>
      <c r="B1568" s="81" t="str">
        <f t="shared" si="1"/>
        <v>Kab Karo</v>
      </c>
      <c r="C1568" s="81" t="str">
        <f t="array" ref="C1568">XLOOKUP(B1568,Reference!$A$2:$A$152,Reference!$B$2:$B$152)</f>
        <v>Sumatera Utara</v>
      </c>
      <c r="D1568" s="82" t="s">
        <v>2007</v>
      </c>
      <c r="E1568" s="83">
        <v>45352.0</v>
      </c>
      <c r="F1568" s="84" t="str">
        <f t="array" ref="F1568">XLOOKUP(G1568,Reference!$F:$F,Reference!$D:$D,"null")</f>
        <v>Makanan dan Pakaian </v>
      </c>
      <c r="G1568" s="85" t="s">
        <v>64</v>
      </c>
      <c r="H1568" s="86">
        <v>110.91</v>
      </c>
      <c r="I1568" s="86">
        <v>109.83</v>
      </c>
      <c r="J1568" s="87">
        <f t="shared" si="2"/>
        <v>0.9833378858</v>
      </c>
      <c r="K1568" s="84" t="str">
        <f t="shared" si="3"/>
        <v>Inflasi Tinggi</v>
      </c>
      <c r="L1568" s="84">
        <f t="shared" si="4"/>
        <v>1.08</v>
      </c>
      <c r="M1568" s="88" t="str">
        <f t="shared" si="5"/>
        <v>Akselerasi Persentase</v>
      </c>
    </row>
    <row r="1569" ht="18.75" customHeight="1">
      <c r="A1569" s="80" t="s">
        <v>408</v>
      </c>
      <c r="B1569" s="81" t="str">
        <f t="shared" si="1"/>
        <v>Manokwari</v>
      </c>
      <c r="C1569" s="81" t="str">
        <f t="array" ref="C1569">XLOOKUP(B1569,Reference!$A$2:$A$152,Reference!$B$2:$B$152)</f>
        <v>Papua Barat Daya</v>
      </c>
      <c r="D1569" s="82" t="s">
        <v>2008</v>
      </c>
      <c r="E1569" s="83">
        <v>45352.0</v>
      </c>
      <c r="F1569" s="84" t="str">
        <f t="array" ref="F1569">XLOOKUP(G1569,Reference!$F:$F,Reference!$D:$D,"null")</f>
        <v>Rekreasi dan Kendaraan</v>
      </c>
      <c r="G1569" s="85" t="s">
        <v>105</v>
      </c>
      <c r="H1569" s="86">
        <v>104.38</v>
      </c>
      <c r="I1569" s="86">
        <v>102.98</v>
      </c>
      <c r="J1569" s="87">
        <f t="shared" si="2"/>
        <v>1.359487279</v>
      </c>
      <c r="K1569" s="84" t="str">
        <f t="shared" si="3"/>
        <v>Inflasi Tinggi</v>
      </c>
      <c r="L1569" s="84">
        <f t="shared" si="4"/>
        <v>1.4</v>
      </c>
      <c r="M1569" s="88" t="str">
        <f t="shared" si="5"/>
        <v>Akselerasi Persentase</v>
      </c>
    </row>
    <row r="1570" ht="18.75" customHeight="1">
      <c r="A1570" s="80" t="s">
        <v>905</v>
      </c>
      <c r="B1570" s="81" t="str">
        <f t="shared" si="1"/>
        <v>Kota Ambon</v>
      </c>
      <c r="C1570" s="81" t="str">
        <f t="array" ref="C1570">XLOOKUP(B1570,Reference!$A$2:$A$152,Reference!$B$2:$B$152)</f>
        <v>Maluku</v>
      </c>
      <c r="D1570" s="82" t="s">
        <v>2009</v>
      </c>
      <c r="E1570" s="83">
        <v>45352.0</v>
      </c>
      <c r="F1570" s="84" t="str">
        <f t="array" ref="F1570">XLOOKUP(G1570,Reference!$F:$F,Reference!$D:$D,"null")</f>
        <v>Rumah Tangga</v>
      </c>
      <c r="G1570" s="85" t="s">
        <v>80</v>
      </c>
      <c r="H1570" s="86">
        <v>100.62</v>
      </c>
      <c r="I1570" s="86">
        <v>100.62</v>
      </c>
      <c r="J1570" s="87">
        <f t="shared" si="2"/>
        <v>0</v>
      </c>
      <c r="K1570" s="84" t="str">
        <f t="shared" si="3"/>
        <v>Stabil</v>
      </c>
      <c r="L1570" s="84">
        <f t="shared" si="4"/>
        <v>0</v>
      </c>
      <c r="M1570" s="88" t="str">
        <f t="shared" si="5"/>
        <v>Perubahan Normal</v>
      </c>
    </row>
    <row r="1571" ht="18.75" customHeight="1">
      <c r="A1571" s="80" t="s">
        <v>408</v>
      </c>
      <c r="B1571" s="81" t="str">
        <f t="shared" si="1"/>
        <v>Manokwari</v>
      </c>
      <c r="C1571" s="81" t="str">
        <f t="array" ref="C1571">XLOOKUP(B1571,Reference!$A$2:$A$152,Reference!$B$2:$B$152)</f>
        <v>Papua Barat Daya</v>
      </c>
      <c r="D1571" s="82" t="s">
        <v>2010</v>
      </c>
      <c r="E1571" s="83">
        <v>45323.0</v>
      </c>
      <c r="F1571" s="84" t="str">
        <f t="array" ref="F1571">XLOOKUP(G1571,Reference!$F:$F,Reference!$D:$D,"null")</f>
        <v>Makanan dan Pakaian </v>
      </c>
      <c r="G1571" s="85" t="s">
        <v>72</v>
      </c>
      <c r="H1571" s="86">
        <v>99.78</v>
      </c>
      <c r="I1571" s="86">
        <v>99.78</v>
      </c>
      <c r="J1571" s="87">
        <f t="shared" si="2"/>
        <v>0</v>
      </c>
      <c r="K1571" s="84" t="str">
        <f t="shared" si="3"/>
        <v>Stabil</v>
      </c>
      <c r="L1571" s="84">
        <f t="shared" si="4"/>
        <v>0</v>
      </c>
      <c r="M1571" s="88" t="str">
        <f t="shared" si="5"/>
        <v>Perubahan Normal</v>
      </c>
    </row>
    <row r="1572" ht="18.75" customHeight="1">
      <c r="A1572" s="80" t="s">
        <v>353</v>
      </c>
      <c r="B1572" s="81" t="str">
        <f t="shared" si="1"/>
        <v>Kota Bau Bau</v>
      </c>
      <c r="C1572" s="81" t="str">
        <f t="array" ref="C1572">XLOOKUP(B1572,Reference!$A$2:$A$152,Reference!$B$2:$B$152)</f>
        <v>Sulawesi Tenggara</v>
      </c>
      <c r="D1572" s="82" t="s">
        <v>2011</v>
      </c>
      <c r="E1572" s="83">
        <v>45352.0</v>
      </c>
      <c r="F1572" s="84" t="str">
        <f t="array" ref="F1572">XLOOKUP(G1572,Reference!$F:$F,Reference!$D:$D,"null")</f>
        <v>Rumah Tangga</v>
      </c>
      <c r="G1572" s="85" t="s">
        <v>84</v>
      </c>
      <c r="H1572" s="86">
        <v>102.0</v>
      </c>
      <c r="I1572" s="86">
        <v>100.91</v>
      </c>
      <c r="J1572" s="87">
        <f t="shared" si="2"/>
        <v>1.080170449</v>
      </c>
      <c r="K1572" s="84" t="str">
        <f t="shared" si="3"/>
        <v>Inflasi Tinggi</v>
      </c>
      <c r="L1572" s="84">
        <f t="shared" si="4"/>
        <v>1.09</v>
      </c>
      <c r="M1572" s="88" t="str">
        <f t="shared" si="5"/>
        <v>Akselerasi Persentase</v>
      </c>
    </row>
    <row r="1573" ht="18.75" customHeight="1">
      <c r="A1573" s="80" t="s">
        <v>658</v>
      </c>
      <c r="B1573" s="81" t="str">
        <f t="shared" si="1"/>
        <v>Kota Mataram</v>
      </c>
      <c r="C1573" s="81" t="str">
        <f t="array" ref="C1573">XLOOKUP(B1573,Reference!$A$2:$A$152,Reference!$B$2:$B$152)</f>
        <v>Nusa Tenggara Barat (NTB)</v>
      </c>
      <c r="D1573" s="82" t="s">
        <v>2012</v>
      </c>
      <c r="E1573" s="83">
        <v>45352.0</v>
      </c>
      <c r="F1573" s="84" t="str">
        <f t="array" ref="F1573">XLOOKUP(G1573,Reference!$F:$F,Reference!$D:$D,"null")</f>
        <v>Makanan dan Pakaian </v>
      </c>
      <c r="G1573" s="85" t="s">
        <v>64</v>
      </c>
      <c r="H1573" s="86">
        <v>104.24</v>
      </c>
      <c r="I1573" s="86">
        <v>103.9</v>
      </c>
      <c r="J1573" s="87">
        <f t="shared" si="2"/>
        <v>0.3272377286</v>
      </c>
      <c r="K1573" s="84" t="str">
        <f t="shared" si="3"/>
        <v>Inflasi Normal</v>
      </c>
      <c r="L1573" s="84">
        <f t="shared" si="4"/>
        <v>0.34</v>
      </c>
      <c r="M1573" s="88" t="str">
        <f t="shared" si="5"/>
        <v>Perubahan Normal</v>
      </c>
    </row>
    <row r="1574" ht="18.75" customHeight="1">
      <c r="A1574" s="80" t="s">
        <v>324</v>
      </c>
      <c r="B1574" s="81" t="str">
        <f t="shared" si="1"/>
        <v>Kab Nunukan</v>
      </c>
      <c r="C1574" s="81" t="str">
        <f t="array" ref="C1574">XLOOKUP(B1574,Reference!$A$2:$A$152,Reference!$B$2:$B$152)</f>
        <v>Kalimantan Utara</v>
      </c>
      <c r="D1574" s="82" t="s">
        <v>2013</v>
      </c>
      <c r="E1574" s="83">
        <v>45352.0</v>
      </c>
      <c r="F1574" s="84" t="str">
        <f t="array" ref="F1574">XLOOKUP(G1574,Reference!$F:$F,Reference!$D:$D,"null")</f>
        <v>Makanan dan Pakaian </v>
      </c>
      <c r="G1574" s="85" t="s">
        <v>72</v>
      </c>
      <c r="H1574" s="86">
        <v>118.5</v>
      </c>
      <c r="I1574" s="86">
        <v>118.47</v>
      </c>
      <c r="J1574" s="87">
        <f t="shared" si="2"/>
        <v>0.02532286655</v>
      </c>
      <c r="K1574" s="84" t="str">
        <f t="shared" si="3"/>
        <v>Inflasi Normal</v>
      </c>
      <c r="L1574" s="84">
        <f t="shared" si="4"/>
        <v>0.03</v>
      </c>
      <c r="M1574" s="88" t="str">
        <f t="shared" si="5"/>
        <v>Perubahan Normal</v>
      </c>
    </row>
    <row r="1575" ht="18.75" customHeight="1">
      <c r="A1575" s="80" t="s">
        <v>841</v>
      </c>
      <c r="B1575" s="81" t="str">
        <f t="shared" si="1"/>
        <v>Kab Morowali</v>
      </c>
      <c r="C1575" s="81" t="str">
        <f t="array" ref="C1575">XLOOKUP(B1575,Reference!$A$2:$A$152,Reference!$B$2:$B$152)</f>
        <v>Sulawesi Tengah</v>
      </c>
      <c r="D1575" s="82" t="s">
        <v>2014</v>
      </c>
      <c r="E1575" s="83">
        <v>45352.0</v>
      </c>
      <c r="F1575" s="84" t="str">
        <f t="array" ref="F1575">XLOOKUP(G1575,Reference!$F:$F,Reference!$D:$D,"null")</f>
        <v>Makanan dan Pakaian </v>
      </c>
      <c r="G1575" s="85" t="s">
        <v>48</v>
      </c>
      <c r="H1575" s="86">
        <v>120.59</v>
      </c>
      <c r="I1575" s="86">
        <v>118.25</v>
      </c>
      <c r="J1575" s="87">
        <f t="shared" si="2"/>
        <v>1.978858351</v>
      </c>
      <c r="K1575" s="84" t="str">
        <f t="shared" si="3"/>
        <v>Inflasi Tinggi</v>
      </c>
      <c r="L1575" s="84">
        <f t="shared" si="4"/>
        <v>2.34</v>
      </c>
      <c r="M1575" s="88" t="str">
        <f t="shared" si="5"/>
        <v>Akselerasi Kuat</v>
      </c>
    </row>
    <row r="1576" ht="18.75" customHeight="1">
      <c r="A1576" s="80" t="s">
        <v>656</v>
      </c>
      <c r="B1576" s="81" t="str">
        <f t="shared" si="1"/>
        <v>Kota Palopo</v>
      </c>
      <c r="C1576" s="81" t="str">
        <f t="array" ref="C1576">XLOOKUP(B1576,Reference!$A$2:$A$152,Reference!$B$2:$B$152)</f>
        <v>Sulawesi Selatan</v>
      </c>
      <c r="D1576" s="82" t="s">
        <v>2015</v>
      </c>
      <c r="E1576" s="83">
        <v>45352.0</v>
      </c>
      <c r="F1576" s="84" t="str">
        <f t="array" ref="F1576">XLOOKUP(G1576,Reference!$F:$F,Reference!$D:$D,"null")</f>
        <v>Rumah Tangga</v>
      </c>
      <c r="G1576" s="89" t="s">
        <v>89</v>
      </c>
      <c r="H1576" s="90">
        <v>102.22</v>
      </c>
      <c r="I1576" s="90">
        <v>102.22</v>
      </c>
      <c r="J1576" s="87">
        <f t="shared" si="2"/>
        <v>0</v>
      </c>
      <c r="K1576" s="84" t="str">
        <f t="shared" si="3"/>
        <v>Stabil</v>
      </c>
      <c r="L1576" s="91">
        <f t="shared" si="4"/>
        <v>0</v>
      </c>
      <c r="M1576" s="88" t="str">
        <f t="shared" si="5"/>
        <v>Perubahan Normal</v>
      </c>
    </row>
    <row r="1577" ht="18.75" customHeight="1">
      <c r="A1577" s="80" t="s">
        <v>429</v>
      </c>
      <c r="B1577" s="81" t="str">
        <f t="shared" si="1"/>
        <v>Kab Nabire</v>
      </c>
      <c r="C1577" s="81" t="str">
        <f t="array" ref="C1577">XLOOKUP(B1577,Reference!$A$2:$A$152,Reference!$B$2:$B$152)</f>
        <v>Papua</v>
      </c>
      <c r="D1577" s="82" t="s">
        <v>2016</v>
      </c>
      <c r="E1577" s="83">
        <v>45352.0</v>
      </c>
      <c r="F1577" s="84" t="str">
        <f t="array" ref="F1577">XLOOKUP(G1577,Reference!$F:$F,Reference!$D:$D,"null")</f>
        <v>Makanan dan Pakaian </v>
      </c>
      <c r="G1577" s="85" t="s">
        <v>56</v>
      </c>
      <c r="H1577" s="86">
        <v>100.13</v>
      </c>
      <c r="I1577" s="86">
        <v>99.94</v>
      </c>
      <c r="J1577" s="87">
        <f t="shared" si="2"/>
        <v>0.1901140684</v>
      </c>
      <c r="K1577" s="84" t="str">
        <f t="shared" si="3"/>
        <v>Inflasi Normal</v>
      </c>
      <c r="L1577" s="84">
        <f t="shared" si="4"/>
        <v>0.19</v>
      </c>
      <c r="M1577" s="88" t="str">
        <f t="shared" si="5"/>
        <v>Perubahan Normal</v>
      </c>
    </row>
    <row r="1578" ht="18.75" customHeight="1">
      <c r="A1578" s="80" t="s">
        <v>346</v>
      </c>
      <c r="B1578" s="81" t="str">
        <f t="shared" si="1"/>
        <v>Kab Timor Tengah Selatan</v>
      </c>
      <c r="C1578" s="81" t="str">
        <f t="array" ref="C1578">XLOOKUP(B1578,Reference!$A$2:$A$152,Reference!$B$2:$B$152)</f>
        <v>Nusa Tenggara Timur (NTT)</v>
      </c>
      <c r="D1578" s="82" t="s">
        <v>2017</v>
      </c>
      <c r="E1578" s="83">
        <v>45323.0</v>
      </c>
      <c r="F1578" s="84" t="str">
        <f t="array" ref="F1578">XLOOKUP(G1578,Reference!$F:$F,Reference!$D:$D,"null")</f>
        <v>Rekreasi dan Kendaraan</v>
      </c>
      <c r="G1578" s="85" t="s">
        <v>105</v>
      </c>
      <c r="H1578" s="86">
        <v>102.24</v>
      </c>
      <c r="I1578" s="86">
        <v>101.47</v>
      </c>
      <c r="J1578" s="87">
        <f t="shared" si="2"/>
        <v>0.7588449788</v>
      </c>
      <c r="K1578" s="84" t="str">
        <f t="shared" si="3"/>
        <v>Inflasi Tinggi</v>
      </c>
      <c r="L1578" s="84">
        <f t="shared" si="4"/>
        <v>0.77</v>
      </c>
      <c r="M1578" s="88" t="str">
        <f t="shared" si="5"/>
        <v>Akselerasi Persentase</v>
      </c>
    </row>
    <row r="1579" ht="18.75" customHeight="1">
      <c r="A1579" s="80" t="s">
        <v>419</v>
      </c>
      <c r="B1579" s="81" t="str">
        <f t="shared" si="1"/>
        <v>Kota Singkawang</v>
      </c>
      <c r="C1579" s="81" t="str">
        <f t="array" ref="C1579">XLOOKUP(B1579,Reference!$A$2:$A$152,Reference!$B$2:$B$152)</f>
        <v>Kalimantan Barat</v>
      </c>
      <c r="D1579" s="82" t="s">
        <v>2018</v>
      </c>
      <c r="E1579" s="83">
        <v>45323.0</v>
      </c>
      <c r="F1579" s="84" t="str">
        <f t="array" ref="F1579">XLOOKUP(G1579,Reference!$F:$F,Reference!$D:$D,"null")</f>
        <v>Rumah Tangga</v>
      </c>
      <c r="G1579" s="85" t="s">
        <v>89</v>
      </c>
      <c r="H1579" s="86">
        <v>100.32</v>
      </c>
      <c r="I1579" s="86">
        <v>99.79</v>
      </c>
      <c r="J1579" s="87">
        <f t="shared" si="2"/>
        <v>0.5311153422</v>
      </c>
      <c r="K1579" s="84" t="str">
        <f t="shared" si="3"/>
        <v>Inflasi Tinggi</v>
      </c>
      <c r="L1579" s="84">
        <f t="shared" si="4"/>
        <v>0.53</v>
      </c>
      <c r="M1579" s="88" t="str">
        <f t="shared" si="5"/>
        <v>Akselerasi Persentase</v>
      </c>
    </row>
    <row r="1580" ht="18.75" customHeight="1">
      <c r="A1580" s="80" t="s">
        <v>460</v>
      </c>
      <c r="B1580" s="81" t="str">
        <f t="shared" si="1"/>
        <v>Kab Kayong Utara</v>
      </c>
      <c r="C1580" s="81" t="str">
        <f t="array" ref="C1580">XLOOKUP(B1580,Reference!$A$2:$A$152,Reference!$B$2:$B$152)</f>
        <v>Kalimantan Barat</v>
      </c>
      <c r="D1580" s="82" t="s">
        <v>2019</v>
      </c>
      <c r="E1580" s="83">
        <v>45323.0</v>
      </c>
      <c r="F1580" s="84" t="str">
        <f t="array" ref="F1580">XLOOKUP(G1580,Reference!$F:$F,Reference!$D:$D,"null")</f>
        <v>Rumah Tangga</v>
      </c>
      <c r="G1580" s="85" t="s">
        <v>89</v>
      </c>
      <c r="H1580" s="86">
        <v>106.39</v>
      </c>
      <c r="I1580" s="86">
        <v>106.39</v>
      </c>
      <c r="J1580" s="87">
        <f t="shared" si="2"/>
        <v>0</v>
      </c>
      <c r="K1580" s="84" t="str">
        <f t="shared" si="3"/>
        <v>Stabil</v>
      </c>
      <c r="L1580" s="84">
        <f t="shared" si="4"/>
        <v>0</v>
      </c>
      <c r="M1580" s="88" t="str">
        <f t="shared" si="5"/>
        <v>Perubahan Normal</v>
      </c>
    </row>
    <row r="1581" ht="18.75" customHeight="1">
      <c r="A1581" s="80" t="s">
        <v>378</v>
      </c>
      <c r="B1581" s="81" t="str">
        <f t="shared" si="1"/>
        <v>Kab Berau</v>
      </c>
      <c r="C1581" s="81" t="str">
        <f t="array" ref="C1581">XLOOKUP(B1581,Reference!$A$2:$A$152,Reference!$B$2:$B$152)</f>
        <v>Kalimantan Timur</v>
      </c>
      <c r="D1581" s="82" t="s">
        <v>2020</v>
      </c>
      <c r="E1581" s="83">
        <v>45352.0</v>
      </c>
      <c r="F1581" s="84" t="str">
        <f t="array" ref="F1581">XLOOKUP(G1581,Reference!$F:$F,Reference!$D:$D,"null")</f>
        <v>Makanan dan Pakaian </v>
      </c>
      <c r="G1581" s="85" t="s">
        <v>72</v>
      </c>
      <c r="H1581" s="86">
        <v>104.88</v>
      </c>
      <c r="I1581" s="86">
        <v>105.6</v>
      </c>
      <c r="J1581" s="87">
        <f t="shared" si="2"/>
        <v>-0.6818181818</v>
      </c>
      <c r="K1581" s="84" t="str">
        <f t="shared" si="3"/>
        <v>Deflasi</v>
      </c>
      <c r="L1581" s="84">
        <f t="shared" si="4"/>
        <v>-0.72</v>
      </c>
      <c r="M1581" s="88" t="str">
        <f t="shared" si="5"/>
        <v>Perubahan Normal</v>
      </c>
    </row>
    <row r="1582" ht="18.75" customHeight="1">
      <c r="A1582" s="80" t="s">
        <v>406</v>
      </c>
      <c r="B1582" s="81" t="str">
        <f t="shared" si="1"/>
        <v>Kota Tasikmalaya</v>
      </c>
      <c r="C1582" s="81" t="str">
        <f t="array" ref="C1582">XLOOKUP(B1582,Reference!$A$2:$A$152,Reference!$B$2:$B$152)</f>
        <v>Jawa Barat</v>
      </c>
      <c r="D1582" s="82" t="s">
        <v>2021</v>
      </c>
      <c r="E1582" s="83">
        <v>45323.0</v>
      </c>
      <c r="F1582" s="84" t="str">
        <f t="array" ref="F1582">XLOOKUP(G1582,Reference!$F:$F,Reference!$D:$D,"null")</f>
        <v>Pendidikan dan Kesehatan</v>
      </c>
      <c r="G1582" s="85" t="s">
        <v>95</v>
      </c>
      <c r="H1582" s="86">
        <v>104.5</v>
      </c>
      <c r="I1582" s="86">
        <v>104.5</v>
      </c>
      <c r="J1582" s="87">
        <f t="shared" si="2"/>
        <v>0</v>
      </c>
      <c r="K1582" s="84" t="str">
        <f t="shared" si="3"/>
        <v>Stabil</v>
      </c>
      <c r="L1582" s="84">
        <f t="shared" si="4"/>
        <v>0</v>
      </c>
      <c r="M1582" s="88" t="str">
        <f t="shared" si="5"/>
        <v>Perubahan Normal</v>
      </c>
    </row>
    <row r="1583" ht="18.75" customHeight="1">
      <c r="A1583" s="80" t="s">
        <v>397</v>
      </c>
      <c r="B1583" s="81" t="str">
        <f t="shared" si="1"/>
        <v>Kota Pematangsiantar</v>
      </c>
      <c r="C1583" s="81" t="str">
        <f t="array" ref="C1583">XLOOKUP(B1583,Reference!$A$2:$A$152,Reference!$B$2:$B$152)</f>
        <v>Sumatera Utara</v>
      </c>
      <c r="D1583" s="82" t="s">
        <v>2022</v>
      </c>
      <c r="E1583" s="83">
        <v>45352.0</v>
      </c>
      <c r="F1583" s="84" t="str">
        <f t="array" ref="F1583">XLOOKUP(G1583,Reference!$F:$F,Reference!$D:$D,"null")</f>
        <v>Pendidikan dan Kesehatan</v>
      </c>
      <c r="G1583" s="85" t="s">
        <v>98</v>
      </c>
      <c r="H1583" s="86">
        <v>106.23</v>
      </c>
      <c r="I1583" s="86">
        <v>106.26</v>
      </c>
      <c r="J1583" s="87">
        <f t="shared" si="2"/>
        <v>-0.02823263693</v>
      </c>
      <c r="K1583" s="84" t="str">
        <f t="shared" si="3"/>
        <v>Deflasi</v>
      </c>
      <c r="L1583" s="84">
        <f t="shared" si="4"/>
        <v>-0.03</v>
      </c>
      <c r="M1583" s="88" t="str">
        <f t="shared" si="5"/>
        <v>Perubahan Normal</v>
      </c>
    </row>
    <row r="1584" ht="18.75" customHeight="1">
      <c r="A1584" s="80" t="s">
        <v>380</v>
      </c>
      <c r="B1584" s="81" t="str">
        <f t="shared" si="1"/>
        <v>Kota Bengkulu</v>
      </c>
      <c r="C1584" s="81" t="str">
        <f t="array" ref="C1584">XLOOKUP(B1584,Reference!$A$2:$A$152,Reference!$B$2:$B$152)</f>
        <v>Bengkulu</v>
      </c>
      <c r="D1584" s="82" t="s">
        <v>2023</v>
      </c>
      <c r="E1584" s="83">
        <v>45352.0</v>
      </c>
      <c r="F1584" s="84" t="str">
        <f t="array" ref="F1584">XLOOKUP(G1584,Reference!$F:$F,Reference!$D:$D,"null")</f>
        <v>Pendidikan dan Kesehatan</v>
      </c>
      <c r="G1584" s="85" t="s">
        <v>98</v>
      </c>
      <c r="H1584" s="86">
        <v>103.15</v>
      </c>
      <c r="I1584" s="86">
        <v>102.03</v>
      </c>
      <c r="J1584" s="87">
        <f t="shared" si="2"/>
        <v>1.097716358</v>
      </c>
      <c r="K1584" s="84" t="str">
        <f t="shared" si="3"/>
        <v>Inflasi Tinggi</v>
      </c>
      <c r="L1584" s="84">
        <f t="shared" si="4"/>
        <v>1.12</v>
      </c>
      <c r="M1584" s="88" t="str">
        <f t="shared" si="5"/>
        <v>Akselerasi Persentase</v>
      </c>
    </row>
    <row r="1585" ht="18.75" customHeight="1">
      <c r="A1585" s="80" t="s">
        <v>427</v>
      </c>
      <c r="B1585" s="81" t="str">
        <f t="shared" si="1"/>
        <v>Kota Malang</v>
      </c>
      <c r="C1585" s="81" t="str">
        <f t="array" ref="C1585">XLOOKUP(B1585,Reference!$A$2:$A$152,Reference!$B$2:$B$152)</f>
        <v>Jawa Timur</v>
      </c>
      <c r="D1585" s="82" t="s">
        <v>2024</v>
      </c>
      <c r="E1585" s="83">
        <v>45352.0</v>
      </c>
      <c r="F1585" s="84" t="str">
        <f t="array" ref="F1585">XLOOKUP(G1585,Reference!$F:$F,Reference!$D:$D,"null")</f>
        <v>Pendidikan dan Kesehatan</v>
      </c>
      <c r="G1585" s="85" t="s">
        <v>95</v>
      </c>
      <c r="H1585" s="86">
        <v>103.31</v>
      </c>
      <c r="I1585" s="86">
        <v>103.31</v>
      </c>
      <c r="J1585" s="87">
        <f t="shared" si="2"/>
        <v>0</v>
      </c>
      <c r="K1585" s="84" t="str">
        <f t="shared" si="3"/>
        <v>Stabil</v>
      </c>
      <c r="L1585" s="84">
        <f t="shared" si="4"/>
        <v>0</v>
      </c>
      <c r="M1585" s="88" t="str">
        <f t="shared" si="5"/>
        <v>Perubahan Normal</v>
      </c>
    </row>
    <row r="1586" ht="18.75" customHeight="1">
      <c r="A1586" s="80" t="s">
        <v>298</v>
      </c>
      <c r="B1586" s="81" t="str">
        <f t="shared" si="1"/>
        <v>Kota Bekasi</v>
      </c>
      <c r="C1586" s="81" t="str">
        <f t="array" ref="C1586">XLOOKUP(B1586,Reference!$A$2:$A$152,Reference!$B$2:$B$152)</f>
        <v>Jawa Barat</v>
      </c>
      <c r="D1586" s="82" t="s">
        <v>2025</v>
      </c>
      <c r="E1586" s="83">
        <v>45323.0</v>
      </c>
      <c r="F1586" s="84" t="str">
        <f t="array" ref="F1586">XLOOKUP(G1586,Reference!$F:$F,Reference!$D:$D,"null")</f>
        <v>Rumah Tangga</v>
      </c>
      <c r="G1586" s="85" t="s">
        <v>84</v>
      </c>
      <c r="H1586" s="86">
        <v>101.08</v>
      </c>
      <c r="I1586" s="86">
        <v>100.87</v>
      </c>
      <c r="J1586" s="87">
        <f t="shared" si="2"/>
        <v>0.2081887578</v>
      </c>
      <c r="K1586" s="84" t="str">
        <f t="shared" si="3"/>
        <v>Inflasi Normal</v>
      </c>
      <c r="L1586" s="84">
        <f t="shared" si="4"/>
        <v>0.21</v>
      </c>
      <c r="M1586" s="88" t="str">
        <f t="shared" si="5"/>
        <v>Perubahan Normal</v>
      </c>
    </row>
    <row r="1587" ht="18.75" customHeight="1">
      <c r="A1587" s="80" t="s">
        <v>512</v>
      </c>
      <c r="B1587" s="81" t="str">
        <f t="shared" si="1"/>
        <v>Kota Palu</v>
      </c>
      <c r="C1587" s="81" t="str">
        <f t="array" ref="C1587">XLOOKUP(B1587,Reference!$A$2:$A$152,Reference!$B$2:$B$152)</f>
        <v>Sulawesi Tengah</v>
      </c>
      <c r="D1587" s="82" t="s">
        <v>2026</v>
      </c>
      <c r="E1587" s="83">
        <v>45323.0</v>
      </c>
      <c r="F1587" s="84" t="str">
        <f t="array" ref="F1587">XLOOKUP(G1587,Reference!$F:$F,Reference!$D:$D,"null")</f>
        <v>Rumah Tangga</v>
      </c>
      <c r="G1587" s="85" t="s">
        <v>89</v>
      </c>
      <c r="H1587" s="86">
        <v>101.96</v>
      </c>
      <c r="I1587" s="86">
        <v>101.96</v>
      </c>
      <c r="J1587" s="87">
        <f t="shared" si="2"/>
        <v>0</v>
      </c>
      <c r="K1587" s="84" t="str">
        <f t="shared" si="3"/>
        <v>Stabil</v>
      </c>
      <c r="L1587" s="84">
        <f t="shared" si="4"/>
        <v>0</v>
      </c>
      <c r="M1587" s="88" t="str">
        <f t="shared" si="5"/>
        <v>Perubahan Normal</v>
      </c>
    </row>
    <row r="1588" ht="18.75" customHeight="1">
      <c r="A1588" s="80" t="s">
        <v>417</v>
      </c>
      <c r="B1588" s="81" t="str">
        <f t="shared" si="1"/>
        <v>Kotabaru</v>
      </c>
      <c r="C1588" s="81" t="str">
        <f t="array" ref="C1588">XLOOKUP(B1588,Reference!$A$2:$A$152,Reference!$B$2:$B$152)</f>
        <v>Kalimantan Selatan</v>
      </c>
      <c r="D1588" s="82" t="s">
        <v>2027</v>
      </c>
      <c r="E1588" s="83">
        <v>45352.0</v>
      </c>
      <c r="F1588" s="84" t="str">
        <f t="array" ref="F1588">XLOOKUP(G1588,Reference!$F:$F,Reference!$D:$D,"null")</f>
        <v>Rekreasi dan Kendaraan</v>
      </c>
      <c r="G1588" s="85" t="s">
        <v>102</v>
      </c>
      <c r="H1588" s="86">
        <v>108.53</v>
      </c>
      <c r="I1588" s="86">
        <v>108.64</v>
      </c>
      <c r="J1588" s="87">
        <f t="shared" si="2"/>
        <v>-0.1012518409</v>
      </c>
      <c r="K1588" s="84" t="str">
        <f t="shared" si="3"/>
        <v>Deflasi</v>
      </c>
      <c r="L1588" s="84">
        <f t="shared" si="4"/>
        <v>-0.11</v>
      </c>
      <c r="M1588" s="88" t="str">
        <f t="shared" si="5"/>
        <v>Perubahan Normal</v>
      </c>
    </row>
    <row r="1589" ht="18.75" customHeight="1">
      <c r="A1589" s="80" t="s">
        <v>335</v>
      </c>
      <c r="B1589" s="81" t="str">
        <f t="shared" si="1"/>
        <v>Kab Wonogiri</v>
      </c>
      <c r="C1589" s="81" t="str">
        <f t="array" ref="C1589">XLOOKUP(B1589,Reference!$A$2:$A$152,Reference!$B$2:$B$152)</f>
        <v>Jawa Tengah</v>
      </c>
      <c r="D1589" s="82" t="s">
        <v>2028</v>
      </c>
      <c r="E1589" s="83">
        <v>45352.0</v>
      </c>
      <c r="F1589" s="84" t="str">
        <f t="array" ref="F1589">XLOOKUP(G1589,Reference!$F:$F,Reference!$D:$D,"null")</f>
        <v>Makanan dan Pakaian </v>
      </c>
      <c r="G1589" s="85" t="s">
        <v>64</v>
      </c>
      <c r="H1589" s="86">
        <v>103.21</v>
      </c>
      <c r="I1589" s="86">
        <v>103.05</v>
      </c>
      <c r="J1589" s="87">
        <f t="shared" si="2"/>
        <v>0.1552644347</v>
      </c>
      <c r="K1589" s="84" t="str">
        <f t="shared" si="3"/>
        <v>Inflasi Normal</v>
      </c>
      <c r="L1589" s="84">
        <f t="shared" si="4"/>
        <v>0.16</v>
      </c>
      <c r="M1589" s="88" t="str">
        <f t="shared" si="5"/>
        <v>Perubahan Normal</v>
      </c>
    </row>
    <row r="1590" ht="18.75" customHeight="1">
      <c r="A1590" s="80" t="s">
        <v>391</v>
      </c>
      <c r="B1590" s="81" t="str">
        <f t="shared" si="1"/>
        <v>Kota Batam</v>
      </c>
      <c r="C1590" s="81" t="str">
        <f t="array" ref="C1590">XLOOKUP(B1590,Reference!$A$2:$A$152,Reference!$B$2:$B$152)</f>
        <v>Kepulauan Riau</v>
      </c>
      <c r="D1590" s="82" t="s">
        <v>2029</v>
      </c>
      <c r="E1590" s="83">
        <v>45323.0</v>
      </c>
      <c r="F1590" s="84" t="str">
        <f t="array" ref="F1590">XLOOKUP(G1590,Reference!$F:$F,Reference!$D:$D,"null")</f>
        <v>Pendidikan dan Kesehatan</v>
      </c>
      <c r="G1590" s="85" t="s">
        <v>95</v>
      </c>
      <c r="H1590" s="86">
        <v>104.3</v>
      </c>
      <c r="I1590" s="86">
        <v>104.3</v>
      </c>
      <c r="J1590" s="87">
        <f t="shared" si="2"/>
        <v>0</v>
      </c>
      <c r="K1590" s="84" t="str">
        <f t="shared" si="3"/>
        <v>Stabil</v>
      </c>
      <c r="L1590" s="84">
        <f t="shared" si="4"/>
        <v>0</v>
      </c>
      <c r="M1590" s="88" t="str">
        <f t="shared" si="5"/>
        <v>Perubahan Normal</v>
      </c>
    </row>
    <row r="1591" ht="18.75" customHeight="1">
      <c r="A1591" s="80" t="s">
        <v>616</v>
      </c>
      <c r="B1591" s="81" t="str">
        <f t="shared" si="1"/>
        <v>Kab Sorong</v>
      </c>
      <c r="C1591" s="81" t="str">
        <f t="array" ref="C1591">XLOOKUP(B1591,Reference!$A$2:$A$152,Reference!$B$2:$B$152)</f>
        <v>Papua Barat Daya</v>
      </c>
      <c r="D1591" s="82" t="s">
        <v>2030</v>
      </c>
      <c r="E1591" s="83">
        <v>45352.0</v>
      </c>
      <c r="F1591" s="84" t="str">
        <f t="array" ref="F1591">XLOOKUP(G1591,Reference!$F:$F,Reference!$D:$D,"null")</f>
        <v>Rumah Tangga</v>
      </c>
      <c r="G1591" s="85" t="s">
        <v>84</v>
      </c>
      <c r="H1591" s="86">
        <v>100.24</v>
      </c>
      <c r="I1591" s="86">
        <v>100.11</v>
      </c>
      <c r="J1591" s="87">
        <f t="shared" si="2"/>
        <v>0.1298571571</v>
      </c>
      <c r="K1591" s="84" t="str">
        <f t="shared" si="3"/>
        <v>Inflasi Normal</v>
      </c>
      <c r="L1591" s="84">
        <f t="shared" si="4"/>
        <v>0.13</v>
      </c>
      <c r="M1591" s="88" t="str">
        <f t="shared" si="5"/>
        <v>Perubahan Normal</v>
      </c>
    </row>
    <row r="1592" ht="18.75" customHeight="1">
      <c r="A1592" s="80" t="s">
        <v>374</v>
      </c>
      <c r="B1592" s="81" t="str">
        <f t="shared" si="1"/>
        <v>Kab Majalengka</v>
      </c>
      <c r="C1592" s="81" t="str">
        <f t="array" ref="C1592">XLOOKUP(B1592,Reference!$A$2:$A$152,Reference!$B$2:$B$152)</f>
        <v>Jawa Barat</v>
      </c>
      <c r="D1592" s="82" t="s">
        <v>2031</v>
      </c>
      <c r="E1592" s="83">
        <v>45352.0</v>
      </c>
      <c r="F1592" s="84" t="str">
        <f t="array" ref="F1592">XLOOKUP(G1592,Reference!$F:$F,Reference!$D:$D,"null")</f>
        <v>Makanan dan Pakaian </v>
      </c>
      <c r="G1592" s="85" t="s">
        <v>64</v>
      </c>
      <c r="H1592" s="86">
        <v>104.96</v>
      </c>
      <c r="I1592" s="86">
        <v>104.14</v>
      </c>
      <c r="J1592" s="87">
        <f t="shared" si="2"/>
        <v>0.7874015748</v>
      </c>
      <c r="K1592" s="84" t="str">
        <f t="shared" si="3"/>
        <v>Inflasi Tinggi</v>
      </c>
      <c r="L1592" s="84">
        <f t="shared" si="4"/>
        <v>0.82</v>
      </c>
      <c r="M1592" s="88" t="str">
        <f t="shared" si="5"/>
        <v>Akselerasi Persentase</v>
      </c>
    </row>
    <row r="1593" ht="18.75" customHeight="1">
      <c r="A1593" s="80" t="s">
        <v>515</v>
      </c>
      <c r="B1593" s="81" t="str">
        <f t="shared" si="1"/>
        <v>Kab Gresik</v>
      </c>
      <c r="C1593" s="81" t="str">
        <f t="array" ref="C1593">XLOOKUP(B1593,Reference!$A$2:$A$152,Reference!$B$2:$B$152)</f>
        <v>Jawa Timur</v>
      </c>
      <c r="D1593" s="82" t="s">
        <v>2032</v>
      </c>
      <c r="E1593" s="83">
        <v>45352.0</v>
      </c>
      <c r="F1593" s="84" t="str">
        <f t="array" ref="F1593">XLOOKUP(G1593,Reference!$F:$F,Reference!$D:$D,"null")</f>
        <v>Makanan dan Pakaian </v>
      </c>
      <c r="G1593" s="85" t="s">
        <v>56</v>
      </c>
      <c r="H1593" s="86">
        <v>101.95</v>
      </c>
      <c r="I1593" s="86">
        <v>101.86</v>
      </c>
      <c r="J1593" s="87">
        <f t="shared" si="2"/>
        <v>0.08835656784</v>
      </c>
      <c r="K1593" s="84" t="str">
        <f t="shared" si="3"/>
        <v>Inflasi Normal</v>
      </c>
      <c r="L1593" s="84">
        <f t="shared" si="4"/>
        <v>0.09</v>
      </c>
      <c r="M1593" s="88" t="str">
        <f t="shared" si="5"/>
        <v>Perubahan Normal</v>
      </c>
    </row>
    <row r="1594" ht="18.75" customHeight="1">
      <c r="A1594" s="80" t="s">
        <v>433</v>
      </c>
      <c r="B1594" s="81" t="str">
        <f t="shared" si="1"/>
        <v>Kab Tulungagung</v>
      </c>
      <c r="C1594" s="81" t="str">
        <f t="array" ref="C1594">XLOOKUP(B1594,Reference!$A$2:$A$152,Reference!$B$2:$B$152)</f>
        <v>Jawa Timur</v>
      </c>
      <c r="D1594" s="82" t="s">
        <v>2033</v>
      </c>
      <c r="E1594" s="83">
        <v>45352.0</v>
      </c>
      <c r="F1594" s="84" t="str">
        <f t="array" ref="F1594">XLOOKUP(G1594,Reference!$F:$F,Reference!$D:$D,"null")</f>
        <v>Pendidikan dan Kesehatan</v>
      </c>
      <c r="G1594" s="85" t="s">
        <v>95</v>
      </c>
      <c r="H1594" s="86">
        <v>100.18</v>
      </c>
      <c r="I1594" s="86">
        <v>100.18</v>
      </c>
      <c r="J1594" s="87">
        <f t="shared" si="2"/>
        <v>0</v>
      </c>
      <c r="K1594" s="84" t="str">
        <f t="shared" si="3"/>
        <v>Stabil</v>
      </c>
      <c r="L1594" s="84">
        <f t="shared" si="4"/>
        <v>0</v>
      </c>
      <c r="M1594" s="88" t="str">
        <f t="shared" si="5"/>
        <v>Perubahan Normal</v>
      </c>
    </row>
    <row r="1595" ht="18.75" customHeight="1">
      <c r="A1595" s="80" t="s">
        <v>505</v>
      </c>
      <c r="B1595" s="81" t="str">
        <f t="shared" si="1"/>
        <v>Kota Denpasar</v>
      </c>
      <c r="C1595" s="81" t="str">
        <f t="array" ref="C1595">XLOOKUP(B1595,Reference!$A$2:$A$152,Reference!$B$2:$B$152)</f>
        <v>Bali</v>
      </c>
      <c r="D1595" s="82" t="s">
        <v>2034</v>
      </c>
      <c r="E1595" s="83">
        <v>45323.0</v>
      </c>
      <c r="F1595" s="84" t="str">
        <f t="array" ref="F1595">XLOOKUP(G1595,Reference!$F:$F,Reference!$D:$D,"null")</f>
        <v>Makanan dan Pakaian </v>
      </c>
      <c r="G1595" s="85" t="s">
        <v>72</v>
      </c>
      <c r="H1595" s="86">
        <v>101.2</v>
      </c>
      <c r="I1595" s="86">
        <v>100.8</v>
      </c>
      <c r="J1595" s="87">
        <f t="shared" si="2"/>
        <v>0.3968253968</v>
      </c>
      <c r="K1595" s="84" t="str">
        <f t="shared" si="3"/>
        <v>Inflasi Normal</v>
      </c>
      <c r="L1595" s="84">
        <f t="shared" si="4"/>
        <v>0.4</v>
      </c>
      <c r="M1595" s="88" t="str">
        <f t="shared" si="5"/>
        <v>Perubahan Normal</v>
      </c>
    </row>
    <row r="1596" ht="18.75" customHeight="1">
      <c r="A1596" s="80" t="s">
        <v>934</v>
      </c>
      <c r="B1596" s="81" t="str">
        <f t="shared" si="1"/>
        <v>Kab Kolaka</v>
      </c>
      <c r="C1596" s="81" t="str">
        <f t="array" ref="C1596">XLOOKUP(B1596,Reference!$A$2:$A$152,Reference!$B$2:$B$152)</f>
        <v>Sulawesi Tenggara</v>
      </c>
      <c r="D1596" s="82" t="s">
        <v>2035</v>
      </c>
      <c r="E1596" s="83">
        <v>45352.0</v>
      </c>
      <c r="F1596" s="84" t="str">
        <f t="array" ref="F1596">XLOOKUP(G1596,Reference!$F:$F,Reference!$D:$D,"null")</f>
        <v>Rekreasi dan Kendaraan</v>
      </c>
      <c r="G1596" s="85" t="s">
        <v>105</v>
      </c>
      <c r="H1596" s="86">
        <v>102.36</v>
      </c>
      <c r="I1596" s="86">
        <v>102.32</v>
      </c>
      <c r="J1596" s="87">
        <f t="shared" si="2"/>
        <v>0.03909304144</v>
      </c>
      <c r="K1596" s="84" t="str">
        <f t="shared" si="3"/>
        <v>Inflasi Normal</v>
      </c>
      <c r="L1596" s="84">
        <f t="shared" si="4"/>
        <v>0.04</v>
      </c>
      <c r="M1596" s="88" t="str">
        <f t="shared" si="5"/>
        <v>Perubahan Normal</v>
      </c>
    </row>
    <row r="1597" ht="18.75" customHeight="1">
      <c r="A1597" s="80" t="s">
        <v>355</v>
      </c>
      <c r="B1597" s="81" t="str">
        <f t="shared" si="1"/>
        <v>Kota Gorontalo</v>
      </c>
      <c r="C1597" s="81" t="str">
        <f t="array" ref="C1597">XLOOKUP(B1597,Reference!$A$2:$A$152,Reference!$B$2:$B$152)</f>
        <v>Gorontalo</v>
      </c>
      <c r="D1597" s="82" t="s">
        <v>2036</v>
      </c>
      <c r="E1597" s="83">
        <v>45352.0</v>
      </c>
      <c r="F1597" s="84" t="str">
        <f t="array" ref="F1597">XLOOKUP(G1597,Reference!$F:$F,Reference!$D:$D,"null")</f>
        <v>Makanan dan Pakaian </v>
      </c>
      <c r="G1597" s="85" t="s">
        <v>72</v>
      </c>
      <c r="H1597" s="86">
        <v>102.78</v>
      </c>
      <c r="I1597" s="86">
        <v>102.78</v>
      </c>
      <c r="J1597" s="87">
        <f t="shared" si="2"/>
        <v>0</v>
      </c>
      <c r="K1597" s="84" t="str">
        <f t="shared" si="3"/>
        <v>Stabil</v>
      </c>
      <c r="L1597" s="84">
        <f t="shared" si="4"/>
        <v>0</v>
      </c>
      <c r="M1597" s="88" t="str">
        <f t="shared" si="5"/>
        <v>Perubahan Normal</v>
      </c>
    </row>
    <row r="1598" ht="18.75" customHeight="1">
      <c r="A1598" s="80" t="s">
        <v>920</v>
      </c>
      <c r="B1598" s="81" t="str">
        <f t="shared" si="1"/>
        <v>Kab Deli Serdang</v>
      </c>
      <c r="C1598" s="81" t="str">
        <f t="array" ref="C1598">XLOOKUP(B1598,Reference!$A$2:$A$152,Reference!$B$2:$B$152)</f>
        <v>Sumatera Utara</v>
      </c>
      <c r="D1598" s="82" t="s">
        <v>2037</v>
      </c>
      <c r="E1598" s="83">
        <v>45352.0</v>
      </c>
      <c r="F1598" s="84" t="str">
        <f t="array" ref="F1598">XLOOKUP(G1598,Reference!$F:$F,Reference!$D:$D,"null")</f>
        <v>Makanan dan Pakaian </v>
      </c>
      <c r="G1598" s="85" t="s">
        <v>72</v>
      </c>
      <c r="H1598" s="86">
        <v>99.86</v>
      </c>
      <c r="I1598" s="86">
        <v>101.75</v>
      </c>
      <c r="J1598" s="87">
        <f t="shared" si="2"/>
        <v>-1.857493857</v>
      </c>
      <c r="K1598" s="84" t="str">
        <f t="shared" si="3"/>
        <v>Deflasi</v>
      </c>
      <c r="L1598" s="84">
        <f t="shared" si="4"/>
        <v>-1.89</v>
      </c>
      <c r="M1598" s="88" t="str">
        <f t="shared" si="5"/>
        <v>Perubahan Normal</v>
      </c>
    </row>
    <row r="1599" ht="18.75" customHeight="1">
      <c r="A1599" s="80" t="s">
        <v>1282</v>
      </c>
      <c r="B1599" s="81" t="str">
        <f t="shared" si="1"/>
        <v>Kota Bima</v>
      </c>
      <c r="C1599" s="81" t="str">
        <f t="array" ref="C1599">XLOOKUP(B1599,Reference!$A$2:$A$152,Reference!$B$2:$B$152)</f>
        <v>Nusa Tenggara Barat (NTB)</v>
      </c>
      <c r="D1599" s="82" t="s">
        <v>2038</v>
      </c>
      <c r="E1599" s="83">
        <v>45352.0</v>
      </c>
      <c r="F1599" s="84" t="str">
        <f t="array" ref="F1599">XLOOKUP(G1599,Reference!$F:$F,Reference!$D:$D,"null")</f>
        <v>Makanan dan Pakaian </v>
      </c>
      <c r="G1599" s="85" t="s">
        <v>64</v>
      </c>
      <c r="H1599" s="86">
        <v>101.46</v>
      </c>
      <c r="I1599" s="86">
        <v>101.46</v>
      </c>
      <c r="J1599" s="87">
        <f t="shared" si="2"/>
        <v>0</v>
      </c>
      <c r="K1599" s="84" t="str">
        <f t="shared" si="3"/>
        <v>Stabil</v>
      </c>
      <c r="L1599" s="84">
        <f t="shared" si="4"/>
        <v>0</v>
      </c>
      <c r="M1599" s="88" t="str">
        <f t="shared" si="5"/>
        <v>Perubahan Normal</v>
      </c>
    </row>
    <row r="1600" ht="18.75" customHeight="1">
      <c r="A1600" s="80" t="s">
        <v>362</v>
      </c>
      <c r="B1600" s="81" t="str">
        <f t="shared" si="1"/>
        <v>Sumenep</v>
      </c>
      <c r="C1600" s="81" t="str">
        <f t="array" ref="C1600">XLOOKUP(B1600,Reference!$A$2:$A$152,Reference!$B$2:$B$152)</f>
        <v>Jawa Timur</v>
      </c>
      <c r="D1600" s="82" t="s">
        <v>2039</v>
      </c>
      <c r="E1600" s="83">
        <v>45323.0</v>
      </c>
      <c r="F1600" s="84" t="str">
        <f t="array" ref="F1600">XLOOKUP(G1600,Reference!$F:$F,Reference!$D:$D,"null")</f>
        <v>Rumah Tangga</v>
      </c>
      <c r="G1600" s="85" t="s">
        <v>80</v>
      </c>
      <c r="H1600" s="86">
        <v>103.84</v>
      </c>
      <c r="I1600" s="86">
        <v>103.84</v>
      </c>
      <c r="J1600" s="87">
        <f t="shared" si="2"/>
        <v>0</v>
      </c>
      <c r="K1600" s="84" t="str">
        <f t="shared" si="3"/>
        <v>Stabil</v>
      </c>
      <c r="L1600" s="84">
        <f t="shared" si="4"/>
        <v>0</v>
      </c>
      <c r="M1600" s="88" t="str">
        <f t="shared" si="5"/>
        <v>Perubahan Normal</v>
      </c>
    </row>
    <row r="1601" ht="18.75" customHeight="1">
      <c r="A1601" s="80" t="s">
        <v>296</v>
      </c>
      <c r="B1601" s="81" t="str">
        <f t="shared" si="1"/>
        <v>Kota Bogor</v>
      </c>
      <c r="C1601" s="81" t="str">
        <f t="array" ref="C1601">XLOOKUP(B1601,Reference!$A$2:$A$152,Reference!$B$2:$B$152)</f>
        <v>Jawa Barat</v>
      </c>
      <c r="D1601" s="82" t="s">
        <v>2040</v>
      </c>
      <c r="E1601" s="83">
        <v>45323.0</v>
      </c>
      <c r="F1601" s="84" t="str">
        <f t="array" ref="F1601">XLOOKUP(G1601,Reference!$F:$F,Reference!$D:$D,"null")</f>
        <v>Rekreasi dan Kendaraan</v>
      </c>
      <c r="G1601" s="85" t="s">
        <v>105</v>
      </c>
      <c r="H1601" s="86">
        <v>104.21</v>
      </c>
      <c r="I1601" s="86">
        <v>104.27</v>
      </c>
      <c r="J1601" s="87">
        <f t="shared" si="2"/>
        <v>-0.05754291743</v>
      </c>
      <c r="K1601" s="84" t="str">
        <f t="shared" si="3"/>
        <v>Deflasi</v>
      </c>
      <c r="L1601" s="84">
        <f t="shared" si="4"/>
        <v>-0.06</v>
      </c>
      <c r="M1601" s="88" t="str">
        <f t="shared" si="5"/>
        <v>Perubahan Normal</v>
      </c>
    </row>
    <row r="1602" ht="18.75" customHeight="1">
      <c r="A1602" s="80" t="s">
        <v>495</v>
      </c>
      <c r="B1602" s="81" t="str">
        <f t="shared" si="1"/>
        <v>Kota Medan</v>
      </c>
      <c r="C1602" s="81" t="str">
        <f t="array" ref="C1602">XLOOKUP(B1602,Reference!$A$2:$A$152,Reference!$B$2:$B$152)</f>
        <v>Sumatera Utara</v>
      </c>
      <c r="D1602" s="82" t="s">
        <v>2041</v>
      </c>
      <c r="E1602" s="83">
        <v>45323.0</v>
      </c>
      <c r="F1602" s="84" t="str">
        <f t="array" ref="F1602">XLOOKUP(G1602,Reference!$F:$F,Reference!$D:$D,"null")</f>
        <v>Makanan dan Pakaian </v>
      </c>
      <c r="G1602" s="89" t="s">
        <v>56</v>
      </c>
      <c r="H1602" s="90">
        <v>103.93</v>
      </c>
      <c r="I1602" s="90">
        <v>103.44</v>
      </c>
      <c r="J1602" s="87">
        <f t="shared" si="2"/>
        <v>0.473704563</v>
      </c>
      <c r="K1602" s="84" t="str">
        <f t="shared" si="3"/>
        <v>Inflasi Normal</v>
      </c>
      <c r="L1602" s="91">
        <f t="shared" si="4"/>
        <v>0.49</v>
      </c>
      <c r="M1602" s="88" t="str">
        <f t="shared" si="5"/>
        <v>Perubahan Normal</v>
      </c>
    </row>
    <row r="1603" ht="18.75" customHeight="1">
      <c r="A1603" s="80" t="s">
        <v>298</v>
      </c>
      <c r="B1603" s="81" t="str">
        <f t="shared" si="1"/>
        <v>Kota Bekasi</v>
      </c>
      <c r="C1603" s="81" t="str">
        <f t="array" ref="C1603">XLOOKUP(B1603,Reference!$A$2:$A$152,Reference!$B$2:$B$152)</f>
        <v>Jawa Barat</v>
      </c>
      <c r="D1603" s="82" t="s">
        <v>2042</v>
      </c>
      <c r="E1603" s="83">
        <v>45352.0</v>
      </c>
      <c r="F1603" s="84" t="str">
        <f t="array" ref="F1603">XLOOKUP(G1603,Reference!$F:$F,Reference!$D:$D,"null")</f>
        <v>Rumah Tangga</v>
      </c>
      <c r="G1603" s="85" t="s">
        <v>80</v>
      </c>
      <c r="H1603" s="86">
        <v>101.11</v>
      </c>
      <c r="I1603" s="86">
        <v>101.11</v>
      </c>
      <c r="J1603" s="87">
        <f t="shared" si="2"/>
        <v>0</v>
      </c>
      <c r="K1603" s="84" t="str">
        <f t="shared" si="3"/>
        <v>Stabil</v>
      </c>
      <c r="L1603" s="84">
        <f t="shared" si="4"/>
        <v>0</v>
      </c>
      <c r="M1603" s="88" t="str">
        <f t="shared" si="5"/>
        <v>Perubahan Normal</v>
      </c>
    </row>
    <row r="1604" ht="18.75" customHeight="1">
      <c r="A1604" s="80" t="s">
        <v>427</v>
      </c>
      <c r="B1604" s="81" t="str">
        <f t="shared" si="1"/>
        <v>Kota Malang</v>
      </c>
      <c r="C1604" s="81" t="str">
        <f t="array" ref="C1604">XLOOKUP(B1604,Reference!$A$2:$A$152,Reference!$B$2:$B$152)</f>
        <v>Jawa Timur</v>
      </c>
      <c r="D1604" s="82" t="s">
        <v>2043</v>
      </c>
      <c r="E1604" s="83">
        <v>45352.0</v>
      </c>
      <c r="F1604" s="84" t="str">
        <f t="array" ref="F1604">XLOOKUP(G1604,Reference!$F:$F,Reference!$D:$D,"null")</f>
        <v>Pendidikan dan Kesehatan</v>
      </c>
      <c r="G1604" s="85" t="s">
        <v>98</v>
      </c>
      <c r="H1604" s="86">
        <v>103.1</v>
      </c>
      <c r="I1604" s="86">
        <v>102.93</v>
      </c>
      <c r="J1604" s="87">
        <f t="shared" si="2"/>
        <v>0.1651607889</v>
      </c>
      <c r="K1604" s="84" t="str">
        <f t="shared" si="3"/>
        <v>Inflasi Normal</v>
      </c>
      <c r="L1604" s="84">
        <f t="shared" si="4"/>
        <v>0.17</v>
      </c>
      <c r="M1604" s="88" t="str">
        <f t="shared" si="5"/>
        <v>Perubahan Normal</v>
      </c>
    </row>
    <row r="1605" ht="18.75" customHeight="1">
      <c r="A1605" s="80" t="s">
        <v>571</v>
      </c>
      <c r="B1605" s="81" t="str">
        <f t="shared" si="1"/>
        <v>Kota Sorong</v>
      </c>
      <c r="C1605" s="81" t="str">
        <f t="array" ref="C1605">XLOOKUP(B1605,Reference!$A$2:$A$152,Reference!$B$2:$B$152)</f>
        <v>Papua Barat Daya</v>
      </c>
      <c r="D1605" s="82" t="s">
        <v>2044</v>
      </c>
      <c r="E1605" s="83">
        <v>45323.0</v>
      </c>
      <c r="F1605" s="84" t="str">
        <f t="array" ref="F1605">XLOOKUP(G1605,Reference!$F:$F,Reference!$D:$D,"null")</f>
        <v>Makanan dan Pakaian </v>
      </c>
      <c r="G1605" s="85" t="s">
        <v>56</v>
      </c>
      <c r="H1605" s="86">
        <v>106.63</v>
      </c>
      <c r="I1605" s="86">
        <v>106.97</v>
      </c>
      <c r="J1605" s="87">
        <f t="shared" si="2"/>
        <v>-0.3178461251</v>
      </c>
      <c r="K1605" s="84" t="str">
        <f t="shared" si="3"/>
        <v>Deflasi</v>
      </c>
      <c r="L1605" s="84">
        <f t="shared" si="4"/>
        <v>-0.34</v>
      </c>
      <c r="M1605" s="88" t="str">
        <f t="shared" si="5"/>
        <v>Perubahan Normal</v>
      </c>
    </row>
    <row r="1606" ht="18.75" customHeight="1">
      <c r="A1606" s="80" t="s">
        <v>438</v>
      </c>
      <c r="B1606" s="81" t="str">
        <f t="shared" si="1"/>
        <v>Kab Muara Enim</v>
      </c>
      <c r="C1606" s="81" t="str">
        <f t="array" ref="C1606">XLOOKUP(B1606,Reference!$A$2:$A$152,Reference!$B$2:$B$152)</f>
        <v>Sumatera Selatan</v>
      </c>
      <c r="D1606" s="82" t="s">
        <v>2045</v>
      </c>
      <c r="E1606" s="83">
        <v>45352.0</v>
      </c>
      <c r="F1606" s="84" t="str">
        <f t="array" ref="F1606">XLOOKUP(G1606,Reference!$F:$F,Reference!$D:$D,"null")</f>
        <v>Rekreasi dan Kendaraan</v>
      </c>
      <c r="G1606" s="85" t="s">
        <v>102</v>
      </c>
      <c r="H1606" s="86">
        <v>109.74</v>
      </c>
      <c r="I1606" s="86">
        <v>109.69</v>
      </c>
      <c r="J1606" s="87">
        <f t="shared" si="2"/>
        <v>0.04558300666</v>
      </c>
      <c r="K1606" s="84" t="str">
        <f t="shared" si="3"/>
        <v>Inflasi Normal</v>
      </c>
      <c r="L1606" s="84">
        <f t="shared" si="4"/>
        <v>0.05</v>
      </c>
      <c r="M1606" s="88" t="str">
        <f t="shared" si="5"/>
        <v>Perubahan Normal</v>
      </c>
    </row>
    <row r="1607" ht="18.75" customHeight="1">
      <c r="A1607" s="80" t="s">
        <v>399</v>
      </c>
      <c r="B1607" s="81" t="str">
        <f t="shared" si="1"/>
        <v>Sampit</v>
      </c>
      <c r="C1607" s="81" t="str">
        <f t="array" ref="C1607">XLOOKUP(B1607,Reference!$A$2:$A$152,Reference!$B$2:$B$152)</f>
        <v>Kalimantan Tengah</v>
      </c>
      <c r="D1607" s="82" t="s">
        <v>2046</v>
      </c>
      <c r="E1607" s="83">
        <v>45352.0</v>
      </c>
      <c r="F1607" s="84" t="str">
        <f t="array" ref="F1607">XLOOKUP(G1607,Reference!$F:$F,Reference!$D:$D,"null")</f>
        <v>Rekreasi dan Kendaraan</v>
      </c>
      <c r="G1607" s="85" t="s">
        <v>102</v>
      </c>
      <c r="H1607" s="86">
        <v>101.11</v>
      </c>
      <c r="I1607" s="86">
        <v>101.11</v>
      </c>
      <c r="J1607" s="87">
        <f t="shared" si="2"/>
        <v>0</v>
      </c>
      <c r="K1607" s="84" t="str">
        <f t="shared" si="3"/>
        <v>Stabil</v>
      </c>
      <c r="L1607" s="84">
        <f t="shared" si="4"/>
        <v>0</v>
      </c>
      <c r="M1607" s="88" t="str">
        <f t="shared" si="5"/>
        <v>Perubahan Normal</v>
      </c>
    </row>
    <row r="1608" ht="18.75" customHeight="1">
      <c r="A1608" s="80" t="s">
        <v>680</v>
      </c>
      <c r="B1608" s="81" t="str">
        <f t="shared" si="1"/>
        <v>Kota Pekanbaru</v>
      </c>
      <c r="C1608" s="81" t="str">
        <f t="array" ref="C1608">XLOOKUP(B1608,Reference!$A$2:$A$152,Reference!$B$2:$B$152)</f>
        <v>Riau</v>
      </c>
      <c r="D1608" s="82" t="s">
        <v>2047</v>
      </c>
      <c r="E1608" s="83">
        <v>45323.0</v>
      </c>
      <c r="F1608" s="84" t="str">
        <f t="array" ref="F1608">XLOOKUP(G1608,Reference!$F:$F,Reference!$D:$D,"null")</f>
        <v>Makanan dan Pakaian </v>
      </c>
      <c r="G1608" s="85" t="s">
        <v>72</v>
      </c>
      <c r="H1608" s="86">
        <v>101.0</v>
      </c>
      <c r="I1608" s="86">
        <v>100.99</v>
      </c>
      <c r="J1608" s="87">
        <f t="shared" si="2"/>
        <v>0.009901970492</v>
      </c>
      <c r="K1608" s="84" t="str">
        <f t="shared" si="3"/>
        <v>Inflasi Normal</v>
      </c>
      <c r="L1608" s="84">
        <f t="shared" si="4"/>
        <v>0.01</v>
      </c>
      <c r="M1608" s="88" t="str">
        <f t="shared" si="5"/>
        <v>Perubahan Normal</v>
      </c>
    </row>
    <row r="1609" ht="18.75" customHeight="1">
      <c r="A1609" s="80" t="s">
        <v>310</v>
      </c>
      <c r="B1609" s="81" t="str">
        <f t="shared" si="1"/>
        <v>Kab Kampar</v>
      </c>
      <c r="C1609" s="81" t="str">
        <f t="array" ref="C1609">XLOOKUP(B1609,Reference!$A$2:$A$152,Reference!$B$2:$B$152)</f>
        <v>Riau</v>
      </c>
      <c r="D1609" s="82" t="s">
        <v>2048</v>
      </c>
      <c r="E1609" s="83">
        <v>45352.0</v>
      </c>
      <c r="F1609" s="84" t="str">
        <f t="array" ref="F1609">XLOOKUP(G1609,Reference!$F:$F,Reference!$D:$D,"null")</f>
        <v>Pendidikan dan Kesehatan</v>
      </c>
      <c r="G1609" s="85" t="s">
        <v>95</v>
      </c>
      <c r="H1609" s="86">
        <v>100.73</v>
      </c>
      <c r="I1609" s="86">
        <v>100.73</v>
      </c>
      <c r="J1609" s="87">
        <f t="shared" si="2"/>
        <v>0</v>
      </c>
      <c r="K1609" s="84" t="str">
        <f t="shared" si="3"/>
        <v>Stabil</v>
      </c>
      <c r="L1609" s="84">
        <f t="shared" si="4"/>
        <v>0</v>
      </c>
      <c r="M1609" s="88" t="str">
        <f t="shared" si="5"/>
        <v>Perubahan Normal</v>
      </c>
    </row>
    <row r="1610" ht="18.75" customHeight="1">
      <c r="A1610" s="80" t="s">
        <v>362</v>
      </c>
      <c r="B1610" s="81" t="str">
        <f t="shared" si="1"/>
        <v>Sumenep</v>
      </c>
      <c r="C1610" s="81" t="str">
        <f t="array" ref="C1610">XLOOKUP(B1610,Reference!$A$2:$A$152,Reference!$B$2:$B$152)</f>
        <v>Jawa Timur</v>
      </c>
      <c r="D1610" s="82" t="s">
        <v>2049</v>
      </c>
      <c r="E1610" s="83">
        <v>45352.0</v>
      </c>
      <c r="F1610" s="84" t="str">
        <f t="array" ref="F1610">XLOOKUP(G1610,Reference!$F:$F,Reference!$D:$D,"null")</f>
        <v>Rekreasi dan Kendaraan</v>
      </c>
      <c r="G1610" s="85" t="s">
        <v>105</v>
      </c>
      <c r="H1610" s="86">
        <v>104.37</v>
      </c>
      <c r="I1610" s="86">
        <v>102.83</v>
      </c>
      <c r="J1610" s="87">
        <f t="shared" si="2"/>
        <v>1.497617427</v>
      </c>
      <c r="K1610" s="84" t="str">
        <f t="shared" si="3"/>
        <v>Inflasi Tinggi</v>
      </c>
      <c r="L1610" s="84">
        <f t="shared" si="4"/>
        <v>1.54</v>
      </c>
      <c r="M1610" s="88" t="str">
        <f t="shared" si="5"/>
        <v>Akselerasi Persentase</v>
      </c>
    </row>
    <row r="1611" ht="18.75" customHeight="1">
      <c r="A1611" s="80" t="s">
        <v>642</v>
      </c>
      <c r="B1611" s="81" t="str">
        <f t="shared" si="1"/>
        <v>Kota Bandar Lampung</v>
      </c>
      <c r="C1611" s="81" t="str">
        <f t="array" ref="C1611">XLOOKUP(B1611,Reference!$A$2:$A$152,Reference!$B$2:$B$152)</f>
        <v>Lampung</v>
      </c>
      <c r="D1611" s="82" t="s">
        <v>2050</v>
      </c>
      <c r="E1611" s="83">
        <v>45352.0</v>
      </c>
      <c r="F1611" s="84" t="str">
        <f t="array" ref="F1611">XLOOKUP(G1611,Reference!$F:$F,Reference!$D:$D,"null")</f>
        <v>Rumah Tangga</v>
      </c>
      <c r="G1611" s="85" t="s">
        <v>84</v>
      </c>
      <c r="H1611" s="86">
        <v>100.23</v>
      </c>
      <c r="I1611" s="86">
        <v>100.23</v>
      </c>
      <c r="J1611" s="87">
        <f t="shared" si="2"/>
        <v>0</v>
      </c>
      <c r="K1611" s="84" t="str">
        <f t="shared" si="3"/>
        <v>Stabil</v>
      </c>
      <c r="L1611" s="84">
        <f t="shared" si="4"/>
        <v>0</v>
      </c>
      <c r="M1611" s="88" t="str">
        <f t="shared" si="5"/>
        <v>Perubahan Normal</v>
      </c>
    </row>
    <row r="1612" ht="18.75" customHeight="1">
      <c r="A1612" s="80" t="s">
        <v>312</v>
      </c>
      <c r="B1612" s="81" t="str">
        <f t="shared" si="1"/>
        <v>Kab Jayawijaya</v>
      </c>
      <c r="C1612" s="81" t="str">
        <f t="array" ref="C1612">XLOOKUP(B1612,Reference!$A$2:$A$152,Reference!$B$2:$B$152)</f>
        <v>Papua</v>
      </c>
      <c r="D1612" s="82" t="s">
        <v>2051</v>
      </c>
      <c r="E1612" s="83">
        <v>45352.0</v>
      </c>
      <c r="F1612" s="84" t="str">
        <f t="array" ref="F1612">XLOOKUP(G1612,Reference!$F:$F,Reference!$D:$D,"null")</f>
        <v>Pendidikan dan Kesehatan</v>
      </c>
      <c r="G1612" s="85" t="s">
        <v>98</v>
      </c>
      <c r="H1612" s="86">
        <v>97.86</v>
      </c>
      <c r="I1612" s="86">
        <v>97.86</v>
      </c>
      <c r="J1612" s="87">
        <f t="shared" si="2"/>
        <v>0</v>
      </c>
      <c r="K1612" s="84" t="str">
        <f t="shared" si="3"/>
        <v>Stabil</v>
      </c>
      <c r="L1612" s="84">
        <f t="shared" si="4"/>
        <v>0</v>
      </c>
      <c r="M1612" s="88" t="str">
        <f t="shared" si="5"/>
        <v>Perubahan Normal</v>
      </c>
    </row>
    <row r="1613" ht="18.75" customHeight="1">
      <c r="A1613" s="80" t="s">
        <v>576</v>
      </c>
      <c r="B1613" s="81" t="str">
        <f t="shared" si="1"/>
        <v>Kab Tabanan</v>
      </c>
      <c r="C1613" s="81" t="str">
        <f t="array" ref="C1613">XLOOKUP(B1613,Reference!$A$2:$A$152,Reference!$B$2:$B$152)</f>
        <v>Bali</v>
      </c>
      <c r="D1613" s="82" t="s">
        <v>2052</v>
      </c>
      <c r="E1613" s="83">
        <v>45323.0</v>
      </c>
      <c r="F1613" s="84" t="str">
        <f t="array" ref="F1613">XLOOKUP(G1613,Reference!$F:$F,Reference!$D:$D,"null")</f>
        <v>Rekreasi dan Kendaraan</v>
      </c>
      <c r="G1613" s="85" t="s">
        <v>105</v>
      </c>
      <c r="H1613" s="86">
        <v>104.03</v>
      </c>
      <c r="I1613" s="86">
        <v>102.64</v>
      </c>
      <c r="J1613" s="87">
        <f t="shared" si="2"/>
        <v>1.354247857</v>
      </c>
      <c r="K1613" s="84" t="str">
        <f t="shared" si="3"/>
        <v>Inflasi Tinggi</v>
      </c>
      <c r="L1613" s="84">
        <f t="shared" si="4"/>
        <v>1.39</v>
      </c>
      <c r="M1613" s="88" t="str">
        <f t="shared" si="5"/>
        <v>Akselerasi Persentase</v>
      </c>
    </row>
    <row r="1614" ht="18.75" customHeight="1">
      <c r="A1614" s="80" t="s">
        <v>628</v>
      </c>
      <c r="B1614" s="81" t="str">
        <f t="shared" si="1"/>
        <v>Watampone</v>
      </c>
      <c r="C1614" s="81" t="str">
        <f t="array" ref="C1614">XLOOKUP(B1614,Reference!$A$2:$A$152,Reference!$B$2:$B$152)</f>
        <v>Sulawesi Selatan</v>
      </c>
      <c r="D1614" s="82" t="s">
        <v>2053</v>
      </c>
      <c r="E1614" s="83">
        <v>45323.0</v>
      </c>
      <c r="F1614" s="84" t="str">
        <f t="array" ref="F1614">XLOOKUP(G1614,Reference!$F:$F,Reference!$D:$D,"null")</f>
        <v>Rekreasi dan Kendaraan</v>
      </c>
      <c r="G1614" s="85" t="s">
        <v>105</v>
      </c>
      <c r="H1614" s="86">
        <v>100.2</v>
      </c>
      <c r="I1614" s="86">
        <v>100.2</v>
      </c>
      <c r="J1614" s="87">
        <f t="shared" si="2"/>
        <v>0</v>
      </c>
      <c r="K1614" s="84" t="str">
        <f t="shared" si="3"/>
        <v>Stabil</v>
      </c>
      <c r="L1614" s="84">
        <f t="shared" si="4"/>
        <v>0</v>
      </c>
      <c r="M1614" s="88" t="str">
        <f t="shared" si="5"/>
        <v>Perubahan Normal</v>
      </c>
    </row>
    <row r="1615" ht="18.75" customHeight="1">
      <c r="A1615" s="80" t="s">
        <v>410</v>
      </c>
      <c r="B1615" s="81" t="str">
        <f t="shared" si="1"/>
        <v>Meulaboh</v>
      </c>
      <c r="C1615" s="81" t="str">
        <f t="array" ref="C1615">XLOOKUP(B1615,Reference!$A$2:$A$152,Reference!$B$2:$B$152)</f>
        <v>Aceh</v>
      </c>
      <c r="D1615" s="82" t="s">
        <v>2054</v>
      </c>
      <c r="E1615" s="83">
        <v>45323.0</v>
      </c>
      <c r="F1615" s="84" t="str">
        <f t="array" ref="F1615">XLOOKUP(G1615,Reference!$F:$F,Reference!$D:$D,"null")</f>
        <v>Rumah Tangga</v>
      </c>
      <c r="G1615" s="85" t="s">
        <v>84</v>
      </c>
      <c r="H1615" s="86">
        <v>101.44</v>
      </c>
      <c r="I1615" s="86">
        <v>101.43</v>
      </c>
      <c r="J1615" s="87">
        <f t="shared" si="2"/>
        <v>0.00985901607</v>
      </c>
      <c r="K1615" s="84" t="str">
        <f t="shared" si="3"/>
        <v>Inflasi Normal</v>
      </c>
      <c r="L1615" s="84">
        <f t="shared" si="4"/>
        <v>0.01</v>
      </c>
      <c r="M1615" s="88" t="str">
        <f t="shared" si="5"/>
        <v>Perubahan Normal</v>
      </c>
    </row>
    <row r="1616" ht="18.75" customHeight="1">
      <c r="A1616" s="80" t="s">
        <v>410</v>
      </c>
      <c r="B1616" s="81" t="str">
        <f t="shared" si="1"/>
        <v>Meulaboh</v>
      </c>
      <c r="C1616" s="81" t="str">
        <f t="array" ref="C1616">XLOOKUP(B1616,Reference!$A$2:$A$152,Reference!$B$2:$B$152)</f>
        <v>Aceh</v>
      </c>
      <c r="D1616" s="82" t="s">
        <v>2055</v>
      </c>
      <c r="E1616" s="83">
        <v>45323.0</v>
      </c>
      <c r="F1616" s="84" t="str">
        <f t="array" ref="F1616">XLOOKUP(G1616,Reference!$F:$F,Reference!$D:$D,"null")</f>
        <v>Makanan dan Pakaian </v>
      </c>
      <c r="G1616" s="85" t="s">
        <v>56</v>
      </c>
      <c r="H1616" s="86">
        <v>101.5</v>
      </c>
      <c r="I1616" s="86">
        <v>101.09</v>
      </c>
      <c r="J1616" s="87">
        <f t="shared" si="2"/>
        <v>0.4055791869</v>
      </c>
      <c r="K1616" s="84" t="str">
        <f t="shared" si="3"/>
        <v>Inflasi Normal</v>
      </c>
      <c r="L1616" s="84">
        <f t="shared" si="4"/>
        <v>0.41</v>
      </c>
      <c r="M1616" s="88" t="str">
        <f t="shared" si="5"/>
        <v>Perubahan Normal</v>
      </c>
    </row>
    <row r="1617" ht="18.75" customHeight="1">
      <c r="A1617" s="80" t="s">
        <v>478</v>
      </c>
      <c r="B1617" s="81" t="str">
        <f t="shared" si="1"/>
        <v>Kab Maluku Tengah</v>
      </c>
      <c r="C1617" s="81" t="str">
        <f t="array" ref="C1617">XLOOKUP(B1617,Reference!$A$2:$A$152,Reference!$B$2:$B$152)</f>
        <v>Maluku</v>
      </c>
      <c r="D1617" s="82" t="s">
        <v>2056</v>
      </c>
      <c r="E1617" s="83">
        <v>45352.0</v>
      </c>
      <c r="F1617" s="84" t="str">
        <f t="array" ref="F1617">XLOOKUP(G1617,Reference!$F:$F,Reference!$D:$D,"null")</f>
        <v>Rekreasi dan Kendaraan</v>
      </c>
      <c r="G1617" s="85" t="s">
        <v>105</v>
      </c>
      <c r="H1617" s="86">
        <v>100.75</v>
      </c>
      <c r="I1617" s="86">
        <v>100.75</v>
      </c>
      <c r="J1617" s="87">
        <f t="shared" si="2"/>
        <v>0</v>
      </c>
      <c r="K1617" s="84" t="str">
        <f t="shared" si="3"/>
        <v>Stabil</v>
      </c>
      <c r="L1617" s="84">
        <f t="shared" si="4"/>
        <v>0</v>
      </c>
      <c r="M1617" s="88" t="str">
        <f t="shared" si="5"/>
        <v>Perubahan Normal</v>
      </c>
    </row>
    <row r="1618" ht="18.75" customHeight="1">
      <c r="A1618" s="80" t="s">
        <v>483</v>
      </c>
      <c r="B1618" s="81" t="str">
        <f t="shared" si="1"/>
        <v>Kota Padangsidimpuan</v>
      </c>
      <c r="C1618" s="81" t="str">
        <f t="array" ref="C1618">XLOOKUP(B1618,Reference!$A$2:$A$152,Reference!$B$2:$B$152)</f>
        <v>Sumatera Utara</v>
      </c>
      <c r="D1618" s="82" t="s">
        <v>2057</v>
      </c>
      <c r="E1618" s="83">
        <v>45323.0</v>
      </c>
      <c r="F1618" s="84" t="str">
        <f t="array" ref="F1618">XLOOKUP(G1618,Reference!$F:$F,Reference!$D:$D,"null")</f>
        <v>Makanan dan Pakaian </v>
      </c>
      <c r="G1618" s="85" t="s">
        <v>64</v>
      </c>
      <c r="H1618" s="86">
        <v>104.49</v>
      </c>
      <c r="I1618" s="86">
        <v>104.39</v>
      </c>
      <c r="J1618" s="87">
        <f t="shared" si="2"/>
        <v>0.09579461634</v>
      </c>
      <c r="K1618" s="84" t="str">
        <f t="shared" si="3"/>
        <v>Inflasi Normal</v>
      </c>
      <c r="L1618" s="84">
        <f t="shared" si="4"/>
        <v>0.1</v>
      </c>
      <c r="M1618" s="88" t="str">
        <f t="shared" si="5"/>
        <v>Perubahan Normal</v>
      </c>
    </row>
    <row r="1619" ht="18.75" customHeight="1">
      <c r="A1619" s="80" t="s">
        <v>304</v>
      </c>
      <c r="B1619" s="81" t="str">
        <f t="shared" si="1"/>
        <v>Kota Kediri</v>
      </c>
      <c r="C1619" s="81" t="str">
        <f t="array" ref="C1619">XLOOKUP(B1619,Reference!$A$2:$A$152,Reference!$B$2:$B$152)</f>
        <v>Jawa Timur</v>
      </c>
      <c r="D1619" s="82" t="s">
        <v>2058</v>
      </c>
      <c r="E1619" s="83">
        <v>45323.0</v>
      </c>
      <c r="F1619" s="84" t="str">
        <f t="array" ref="F1619">XLOOKUP(G1619,Reference!$F:$F,Reference!$D:$D,"null")</f>
        <v>Rumah Tangga</v>
      </c>
      <c r="G1619" s="85" t="s">
        <v>80</v>
      </c>
      <c r="H1619" s="86">
        <v>101.36</v>
      </c>
      <c r="I1619" s="86">
        <v>101.36</v>
      </c>
      <c r="J1619" s="87">
        <f t="shared" si="2"/>
        <v>0</v>
      </c>
      <c r="K1619" s="84" t="str">
        <f t="shared" si="3"/>
        <v>Stabil</v>
      </c>
      <c r="L1619" s="84">
        <f t="shared" si="4"/>
        <v>0</v>
      </c>
      <c r="M1619" s="88" t="str">
        <f t="shared" si="5"/>
        <v>Perubahan Normal</v>
      </c>
    </row>
    <row r="1620" ht="18.75" customHeight="1">
      <c r="A1620" s="80" t="s">
        <v>406</v>
      </c>
      <c r="B1620" s="81" t="str">
        <f t="shared" si="1"/>
        <v>Kota Tasikmalaya</v>
      </c>
      <c r="C1620" s="81" t="str">
        <f t="array" ref="C1620">XLOOKUP(B1620,Reference!$A$2:$A$152,Reference!$B$2:$B$152)</f>
        <v>Jawa Barat</v>
      </c>
      <c r="D1620" s="82" t="s">
        <v>2059</v>
      </c>
      <c r="E1620" s="83">
        <v>45352.0</v>
      </c>
      <c r="F1620" s="84" t="str">
        <f t="array" ref="F1620">XLOOKUP(G1620,Reference!$F:$F,Reference!$D:$D,"null")</f>
        <v>Pendidikan dan Kesehatan</v>
      </c>
      <c r="G1620" s="85" t="s">
        <v>95</v>
      </c>
      <c r="H1620" s="86">
        <v>104.5</v>
      </c>
      <c r="I1620" s="86">
        <v>104.5</v>
      </c>
      <c r="J1620" s="87">
        <f t="shared" si="2"/>
        <v>0</v>
      </c>
      <c r="K1620" s="84" t="str">
        <f t="shared" si="3"/>
        <v>Stabil</v>
      </c>
      <c r="L1620" s="84">
        <f t="shared" si="4"/>
        <v>0</v>
      </c>
      <c r="M1620" s="88" t="str">
        <f t="shared" si="5"/>
        <v>Perubahan Normal</v>
      </c>
    </row>
    <row r="1621" ht="18.75" customHeight="1">
      <c r="A1621" s="80" t="s">
        <v>734</v>
      </c>
      <c r="B1621" s="81" t="str">
        <f t="shared" si="1"/>
        <v>Kota Tegal</v>
      </c>
      <c r="C1621" s="81" t="str">
        <f t="array" ref="C1621">XLOOKUP(B1621,Reference!$A$2:$A$152,Reference!$B$2:$B$152)</f>
        <v>Jawa Tengah</v>
      </c>
      <c r="D1621" s="82" t="s">
        <v>2060</v>
      </c>
      <c r="E1621" s="83">
        <v>45323.0</v>
      </c>
      <c r="F1621" s="84" t="str">
        <f t="array" ref="F1621">XLOOKUP(G1621,Reference!$F:$F,Reference!$D:$D,"null")</f>
        <v>Pendidikan dan Kesehatan</v>
      </c>
      <c r="G1621" s="85" t="s">
        <v>95</v>
      </c>
      <c r="H1621" s="86">
        <v>105.19</v>
      </c>
      <c r="I1621" s="86">
        <v>105.19</v>
      </c>
      <c r="J1621" s="87">
        <f t="shared" si="2"/>
        <v>0</v>
      </c>
      <c r="K1621" s="84" t="str">
        <f t="shared" si="3"/>
        <v>Stabil</v>
      </c>
      <c r="L1621" s="84">
        <f t="shared" si="4"/>
        <v>0</v>
      </c>
      <c r="M1621" s="88" t="str">
        <f t="shared" si="5"/>
        <v>Perubahan Normal</v>
      </c>
    </row>
    <row r="1622" ht="18.75" customHeight="1">
      <c r="A1622" s="80" t="s">
        <v>535</v>
      </c>
      <c r="B1622" s="81" t="str">
        <f t="shared" si="1"/>
        <v>Kota Tarakan</v>
      </c>
      <c r="C1622" s="81" t="str">
        <f t="array" ref="C1622">XLOOKUP(B1622,Reference!$A$2:$A$152,Reference!$B$2:$B$152)</f>
        <v>Kalimantan Utara</v>
      </c>
      <c r="D1622" s="82" t="s">
        <v>2061</v>
      </c>
      <c r="E1622" s="83">
        <v>45352.0</v>
      </c>
      <c r="F1622" s="84" t="str">
        <f t="array" ref="F1622">XLOOKUP(G1622,Reference!$F:$F,Reference!$D:$D,"null")</f>
        <v>Makanan dan Pakaian </v>
      </c>
      <c r="G1622" s="85" t="s">
        <v>56</v>
      </c>
      <c r="H1622" s="86">
        <v>104.56</v>
      </c>
      <c r="I1622" s="86">
        <v>104.56</v>
      </c>
      <c r="J1622" s="87">
        <f t="shared" si="2"/>
        <v>0</v>
      </c>
      <c r="K1622" s="84" t="str">
        <f t="shared" si="3"/>
        <v>Stabil</v>
      </c>
      <c r="L1622" s="84">
        <f t="shared" si="4"/>
        <v>0</v>
      </c>
      <c r="M1622" s="88" t="str">
        <f t="shared" si="5"/>
        <v>Perubahan Normal</v>
      </c>
    </row>
    <row r="1623" ht="18.75" customHeight="1">
      <c r="A1623" s="80" t="s">
        <v>524</v>
      </c>
      <c r="B1623" s="81" t="str">
        <f t="shared" si="1"/>
        <v>Kudus</v>
      </c>
      <c r="C1623" s="81" t="str">
        <f t="array" ref="C1623">XLOOKUP(B1623,Reference!$A$2:$A$152,Reference!$B$2:$B$152)</f>
        <v>Jawa Tengah</v>
      </c>
      <c r="D1623" s="82" t="s">
        <v>2062</v>
      </c>
      <c r="E1623" s="83">
        <v>45323.0</v>
      </c>
      <c r="F1623" s="84" t="str">
        <f t="array" ref="F1623">XLOOKUP(G1623,Reference!$F:$F,Reference!$D:$D,"null")</f>
        <v>Rekreasi dan Kendaraan</v>
      </c>
      <c r="G1623" s="85" t="s">
        <v>102</v>
      </c>
      <c r="H1623" s="86">
        <v>102.97</v>
      </c>
      <c r="I1623" s="86">
        <v>102.48</v>
      </c>
      <c r="J1623" s="87">
        <f t="shared" si="2"/>
        <v>0.4781420765</v>
      </c>
      <c r="K1623" s="84" t="str">
        <f t="shared" si="3"/>
        <v>Inflasi Normal</v>
      </c>
      <c r="L1623" s="84">
        <f t="shared" si="4"/>
        <v>0.49</v>
      </c>
      <c r="M1623" s="88" t="str">
        <f t="shared" si="5"/>
        <v>Perubahan Normal</v>
      </c>
    </row>
    <row r="1624" ht="18.75" customHeight="1">
      <c r="A1624" s="80" t="s">
        <v>376</v>
      </c>
      <c r="B1624" s="81" t="str">
        <f t="shared" si="1"/>
        <v>Bulukumba</v>
      </c>
      <c r="C1624" s="81" t="str">
        <f t="array" ref="C1624">XLOOKUP(B1624,Reference!$A$2:$A$152,Reference!$B$2:$B$152)</f>
        <v>Sulawesi Selatan</v>
      </c>
      <c r="D1624" s="82" t="s">
        <v>2063</v>
      </c>
      <c r="E1624" s="83">
        <v>45352.0</v>
      </c>
      <c r="F1624" s="84" t="str">
        <f t="array" ref="F1624">XLOOKUP(G1624,Reference!$F:$F,Reference!$D:$D,"null")</f>
        <v>Rumah Tangga</v>
      </c>
      <c r="G1624" s="85" t="s">
        <v>89</v>
      </c>
      <c r="H1624" s="86">
        <v>102.4</v>
      </c>
      <c r="I1624" s="86">
        <v>102.4</v>
      </c>
      <c r="J1624" s="87">
        <f t="shared" si="2"/>
        <v>0</v>
      </c>
      <c r="K1624" s="84" t="str">
        <f t="shared" si="3"/>
        <v>Stabil</v>
      </c>
      <c r="L1624" s="84">
        <f t="shared" si="4"/>
        <v>0</v>
      </c>
      <c r="M1624" s="88" t="str">
        <f t="shared" si="5"/>
        <v>Perubahan Normal</v>
      </c>
    </row>
    <row r="1625" ht="18.75" customHeight="1">
      <c r="A1625" s="80" t="s">
        <v>586</v>
      </c>
      <c r="B1625" s="81" t="str">
        <f t="shared" si="1"/>
        <v>Kab Karimun</v>
      </c>
      <c r="C1625" s="81" t="str">
        <f t="array" ref="C1625">XLOOKUP(B1625,Reference!$A$2:$A$152,Reference!$B$2:$B$152)</f>
        <v>Kepulauan Riau</v>
      </c>
      <c r="D1625" s="82" t="s">
        <v>2064</v>
      </c>
      <c r="E1625" s="83">
        <v>45323.0</v>
      </c>
      <c r="F1625" s="84" t="str">
        <f t="array" ref="F1625">XLOOKUP(G1625,Reference!$F:$F,Reference!$D:$D,"null")</f>
        <v>Makanan dan Pakaian </v>
      </c>
      <c r="G1625" s="85" t="s">
        <v>64</v>
      </c>
      <c r="H1625" s="86">
        <v>101.85</v>
      </c>
      <c r="I1625" s="86">
        <v>101.85</v>
      </c>
      <c r="J1625" s="87">
        <f t="shared" si="2"/>
        <v>0</v>
      </c>
      <c r="K1625" s="84" t="str">
        <f t="shared" si="3"/>
        <v>Stabil</v>
      </c>
      <c r="L1625" s="84">
        <f t="shared" si="4"/>
        <v>0</v>
      </c>
      <c r="M1625" s="88" t="str">
        <f t="shared" si="5"/>
        <v>Perubahan Normal</v>
      </c>
    </row>
    <row r="1626" ht="18.75" customHeight="1">
      <c r="A1626" s="80" t="s">
        <v>631</v>
      </c>
      <c r="B1626" s="81" t="str">
        <f t="shared" si="1"/>
        <v>Kab Toli Toli</v>
      </c>
      <c r="C1626" s="81" t="str">
        <f t="array" ref="C1626">XLOOKUP(B1626,Reference!$A$2:$A$152,Reference!$B$2:$B$152)</f>
        <v>Sulawesi Tengah</v>
      </c>
      <c r="D1626" s="82" t="s">
        <v>2065</v>
      </c>
      <c r="E1626" s="83">
        <v>45323.0</v>
      </c>
      <c r="F1626" s="84" t="str">
        <f t="array" ref="F1626">XLOOKUP(G1626,Reference!$F:$F,Reference!$D:$D,"null")</f>
        <v>Makanan dan Pakaian </v>
      </c>
      <c r="G1626" s="85" t="s">
        <v>64</v>
      </c>
      <c r="H1626" s="86">
        <v>98.87</v>
      </c>
      <c r="I1626" s="86">
        <v>98.76</v>
      </c>
      <c r="J1626" s="87">
        <f t="shared" si="2"/>
        <v>0.111381126</v>
      </c>
      <c r="K1626" s="84" t="str">
        <f t="shared" si="3"/>
        <v>Inflasi Normal</v>
      </c>
      <c r="L1626" s="84">
        <f t="shared" si="4"/>
        <v>0.11</v>
      </c>
      <c r="M1626" s="88" t="str">
        <f t="shared" si="5"/>
        <v>Perubahan Normal</v>
      </c>
    </row>
    <row r="1627" ht="18.75" customHeight="1">
      <c r="A1627" s="80" t="s">
        <v>362</v>
      </c>
      <c r="B1627" s="81" t="str">
        <f t="shared" si="1"/>
        <v>Sumenep</v>
      </c>
      <c r="C1627" s="81" t="str">
        <f t="array" ref="C1627">XLOOKUP(B1627,Reference!$A$2:$A$152,Reference!$B$2:$B$152)</f>
        <v>Jawa Timur</v>
      </c>
      <c r="D1627" s="82" t="s">
        <v>2066</v>
      </c>
      <c r="E1627" s="83">
        <v>45352.0</v>
      </c>
      <c r="F1627" s="84" t="str">
        <f t="array" ref="F1627">XLOOKUP(G1627,Reference!$F:$F,Reference!$D:$D,"null")</f>
        <v>Makanan dan Pakaian </v>
      </c>
      <c r="G1627" s="85" t="s">
        <v>56</v>
      </c>
      <c r="H1627" s="86">
        <v>106.23</v>
      </c>
      <c r="I1627" s="86">
        <v>103.72</v>
      </c>
      <c r="J1627" s="87">
        <f t="shared" si="2"/>
        <v>2.419976861</v>
      </c>
      <c r="K1627" s="84" t="str">
        <f t="shared" si="3"/>
        <v>Inflasi Tinggi</v>
      </c>
      <c r="L1627" s="84">
        <f t="shared" si="4"/>
        <v>2.51</v>
      </c>
      <c r="M1627" s="88" t="str">
        <f t="shared" si="5"/>
        <v>Akselerasi Kuat</v>
      </c>
    </row>
    <row r="1628" ht="18.75" customHeight="1">
      <c r="A1628" s="80" t="s">
        <v>654</v>
      </c>
      <c r="B1628" s="81" t="str">
        <f t="shared" si="1"/>
        <v>Kab Aceh Tengah</v>
      </c>
      <c r="C1628" s="81" t="str">
        <f t="array" ref="C1628">XLOOKUP(B1628,Reference!$A$2:$A$152,Reference!$B$2:$B$152)</f>
        <v>Aceh</v>
      </c>
      <c r="D1628" s="82" t="s">
        <v>2067</v>
      </c>
      <c r="E1628" s="83">
        <v>45352.0</v>
      </c>
      <c r="F1628" s="84" t="str">
        <f t="array" ref="F1628">XLOOKUP(G1628,Reference!$F:$F,Reference!$D:$D,"null")</f>
        <v>Rumah Tangga</v>
      </c>
      <c r="G1628" s="85" t="s">
        <v>80</v>
      </c>
      <c r="H1628" s="86">
        <v>103.56</v>
      </c>
      <c r="I1628" s="86">
        <v>103.56</v>
      </c>
      <c r="J1628" s="87">
        <f t="shared" si="2"/>
        <v>0</v>
      </c>
      <c r="K1628" s="84" t="str">
        <f t="shared" si="3"/>
        <v>Stabil</v>
      </c>
      <c r="L1628" s="84">
        <f t="shared" si="4"/>
        <v>0</v>
      </c>
      <c r="M1628" s="88" t="str">
        <f t="shared" si="5"/>
        <v>Perubahan Normal</v>
      </c>
    </row>
    <row r="1629" ht="18.75" customHeight="1">
      <c r="A1629" s="80" t="s">
        <v>448</v>
      </c>
      <c r="B1629" s="81" t="str">
        <f t="shared" si="1"/>
        <v>Tanjung Selor</v>
      </c>
      <c r="C1629" s="81" t="str">
        <f t="array" ref="C1629">XLOOKUP(B1629,Reference!$A$2:$A$152,Reference!$B$2:$B$152)</f>
        <v>Kalimantan Utara</v>
      </c>
      <c r="D1629" s="82" t="s">
        <v>2068</v>
      </c>
      <c r="E1629" s="83">
        <v>45352.0</v>
      </c>
      <c r="F1629" s="84" t="str">
        <f t="array" ref="F1629">XLOOKUP(G1629,Reference!$F:$F,Reference!$D:$D,"null")</f>
        <v>Rekreasi dan Kendaraan</v>
      </c>
      <c r="G1629" s="85" t="s">
        <v>102</v>
      </c>
      <c r="H1629" s="86">
        <v>102.35</v>
      </c>
      <c r="I1629" s="86">
        <v>102.35</v>
      </c>
      <c r="J1629" s="87">
        <f t="shared" si="2"/>
        <v>0</v>
      </c>
      <c r="K1629" s="84" t="str">
        <f t="shared" si="3"/>
        <v>Stabil</v>
      </c>
      <c r="L1629" s="84">
        <f t="shared" si="4"/>
        <v>0</v>
      </c>
      <c r="M1629" s="88" t="str">
        <f t="shared" si="5"/>
        <v>Perubahan Normal</v>
      </c>
    </row>
    <row r="1630" ht="18.75" customHeight="1">
      <c r="A1630" s="80" t="s">
        <v>448</v>
      </c>
      <c r="B1630" s="81" t="str">
        <f t="shared" si="1"/>
        <v>Tanjung Selor</v>
      </c>
      <c r="C1630" s="81" t="str">
        <f t="array" ref="C1630">XLOOKUP(B1630,Reference!$A$2:$A$152,Reference!$B$2:$B$152)</f>
        <v>Kalimantan Utara</v>
      </c>
      <c r="D1630" s="82" t="s">
        <v>2069</v>
      </c>
      <c r="E1630" s="83">
        <v>45323.0</v>
      </c>
      <c r="F1630" s="84" t="str">
        <f t="array" ref="F1630">XLOOKUP(G1630,Reference!$F:$F,Reference!$D:$D,"null")</f>
        <v>Rumah Tangga</v>
      </c>
      <c r="G1630" s="85" t="s">
        <v>80</v>
      </c>
      <c r="H1630" s="86">
        <v>101.34</v>
      </c>
      <c r="I1630" s="86">
        <v>101.34</v>
      </c>
      <c r="J1630" s="87">
        <f t="shared" si="2"/>
        <v>0</v>
      </c>
      <c r="K1630" s="84" t="str">
        <f t="shared" si="3"/>
        <v>Stabil</v>
      </c>
      <c r="L1630" s="84">
        <f t="shared" si="4"/>
        <v>0</v>
      </c>
      <c r="M1630" s="88" t="str">
        <f t="shared" si="5"/>
        <v>Perubahan Normal</v>
      </c>
    </row>
    <row r="1631" ht="18.75" customHeight="1">
      <c r="A1631" s="80" t="s">
        <v>502</v>
      </c>
      <c r="B1631" s="81" t="str">
        <f t="shared" si="1"/>
        <v>Muara Bungo</v>
      </c>
      <c r="C1631" s="81" t="str">
        <f t="array" ref="C1631">XLOOKUP(B1631,Reference!$A$2:$A$152,Reference!$B$2:$B$152)</f>
        <v>Jambi</v>
      </c>
      <c r="D1631" s="82" t="s">
        <v>2070</v>
      </c>
      <c r="E1631" s="83">
        <v>45323.0</v>
      </c>
      <c r="F1631" s="84" t="str">
        <f t="array" ref="F1631">XLOOKUP(G1631,Reference!$F:$F,Reference!$D:$D,"null")</f>
        <v>Makanan dan Pakaian </v>
      </c>
      <c r="G1631" s="85" t="s">
        <v>48</v>
      </c>
      <c r="H1631" s="86">
        <v>108.92</v>
      </c>
      <c r="I1631" s="86">
        <v>106.58</v>
      </c>
      <c r="J1631" s="87">
        <f t="shared" si="2"/>
        <v>2.195533871</v>
      </c>
      <c r="K1631" s="84" t="str">
        <f t="shared" si="3"/>
        <v>Inflasi Tinggi</v>
      </c>
      <c r="L1631" s="84">
        <f t="shared" si="4"/>
        <v>2.34</v>
      </c>
      <c r="M1631" s="88" t="str">
        <f t="shared" si="5"/>
        <v>Akselerasi Kuat</v>
      </c>
    </row>
    <row r="1632" ht="18.75" customHeight="1">
      <c r="A1632" s="80" t="s">
        <v>456</v>
      </c>
      <c r="B1632" s="81" t="str">
        <f t="shared" si="1"/>
        <v>Kab Aceh Tamiang</v>
      </c>
      <c r="C1632" s="81" t="str">
        <f t="array" ref="C1632">XLOOKUP(B1632,Reference!$A$2:$A$152,Reference!$B$2:$B$152)</f>
        <v>Aceh</v>
      </c>
      <c r="D1632" s="82" t="s">
        <v>2071</v>
      </c>
      <c r="E1632" s="83">
        <v>45352.0</v>
      </c>
      <c r="F1632" s="84" t="str">
        <f t="array" ref="F1632">XLOOKUP(G1632,Reference!$F:$F,Reference!$D:$D,"null")</f>
        <v>Makanan dan Pakaian </v>
      </c>
      <c r="G1632" s="85" t="s">
        <v>64</v>
      </c>
      <c r="H1632" s="86">
        <v>109.4</v>
      </c>
      <c r="I1632" s="86">
        <v>109.37</v>
      </c>
      <c r="J1632" s="87">
        <f t="shared" si="2"/>
        <v>0.02742982536</v>
      </c>
      <c r="K1632" s="84" t="str">
        <f t="shared" si="3"/>
        <v>Inflasi Normal</v>
      </c>
      <c r="L1632" s="84">
        <f t="shared" si="4"/>
        <v>0.03</v>
      </c>
      <c r="M1632" s="88" t="str">
        <f t="shared" si="5"/>
        <v>Perubahan Normal</v>
      </c>
    </row>
    <row r="1633" ht="18.75" customHeight="1">
      <c r="A1633" s="80" t="s">
        <v>505</v>
      </c>
      <c r="B1633" s="81" t="str">
        <f t="shared" si="1"/>
        <v>Kota Denpasar</v>
      </c>
      <c r="C1633" s="81" t="str">
        <f t="array" ref="C1633">XLOOKUP(B1633,Reference!$A$2:$A$152,Reference!$B$2:$B$152)</f>
        <v>Bali</v>
      </c>
      <c r="D1633" s="82" t="s">
        <v>2072</v>
      </c>
      <c r="E1633" s="83">
        <v>45352.0</v>
      </c>
      <c r="F1633" s="84" t="str">
        <f t="array" ref="F1633">XLOOKUP(G1633,Reference!$F:$F,Reference!$D:$D,"null")</f>
        <v>Makanan dan Pakaian </v>
      </c>
      <c r="G1633" s="85" t="s">
        <v>48</v>
      </c>
      <c r="H1633" s="86">
        <v>112.23</v>
      </c>
      <c r="I1633" s="86">
        <v>109.96</v>
      </c>
      <c r="J1633" s="87">
        <f t="shared" si="2"/>
        <v>2.06438705</v>
      </c>
      <c r="K1633" s="84" t="str">
        <f t="shared" si="3"/>
        <v>Inflasi Tinggi</v>
      </c>
      <c r="L1633" s="84">
        <f t="shared" si="4"/>
        <v>2.27</v>
      </c>
      <c r="M1633" s="88" t="str">
        <f t="shared" si="5"/>
        <v>Akselerasi Kuat</v>
      </c>
    </row>
    <row r="1634" ht="18.75" customHeight="1">
      <c r="A1634" s="80" t="s">
        <v>658</v>
      </c>
      <c r="B1634" s="81" t="str">
        <f t="shared" si="1"/>
        <v>Kota Mataram</v>
      </c>
      <c r="C1634" s="81" t="str">
        <f t="array" ref="C1634">XLOOKUP(B1634,Reference!$A$2:$A$152,Reference!$B$2:$B$152)</f>
        <v>Nusa Tenggara Barat (NTB)</v>
      </c>
      <c r="D1634" s="82" t="s">
        <v>2073</v>
      </c>
      <c r="E1634" s="83">
        <v>45352.0</v>
      </c>
      <c r="F1634" s="84" t="str">
        <f t="array" ref="F1634">XLOOKUP(G1634,Reference!$F:$F,Reference!$D:$D,"null")</f>
        <v>Pendidikan dan Kesehatan</v>
      </c>
      <c r="G1634" s="85" t="s">
        <v>95</v>
      </c>
      <c r="H1634" s="86">
        <v>102.75</v>
      </c>
      <c r="I1634" s="86">
        <v>102.75</v>
      </c>
      <c r="J1634" s="87">
        <f t="shared" si="2"/>
        <v>0</v>
      </c>
      <c r="K1634" s="84" t="str">
        <f t="shared" si="3"/>
        <v>Stabil</v>
      </c>
      <c r="L1634" s="84">
        <f t="shared" si="4"/>
        <v>0</v>
      </c>
      <c r="M1634" s="88" t="str">
        <f t="shared" si="5"/>
        <v>Perubahan Normal</v>
      </c>
    </row>
    <row r="1635" ht="18.75" customHeight="1">
      <c r="A1635" s="80" t="s">
        <v>431</v>
      </c>
      <c r="B1635" s="81" t="str">
        <f t="shared" si="1"/>
        <v>Kota Ternate</v>
      </c>
      <c r="C1635" s="81" t="str">
        <f t="array" ref="C1635">XLOOKUP(B1635,Reference!$A$2:$A$152,Reference!$B$2:$B$152)</f>
        <v>Maluku Utara</v>
      </c>
      <c r="D1635" s="82" t="s">
        <v>2074</v>
      </c>
      <c r="E1635" s="83">
        <v>45352.0</v>
      </c>
      <c r="F1635" s="84" t="str">
        <f t="array" ref="F1635">XLOOKUP(G1635,Reference!$F:$F,Reference!$D:$D,"null")</f>
        <v>Rumah Tangga</v>
      </c>
      <c r="G1635" s="85" t="s">
        <v>84</v>
      </c>
      <c r="H1635" s="86">
        <v>108.28</v>
      </c>
      <c r="I1635" s="86">
        <v>108.42</v>
      </c>
      <c r="J1635" s="87">
        <f t="shared" si="2"/>
        <v>-0.1291274673</v>
      </c>
      <c r="K1635" s="84" t="str">
        <f t="shared" si="3"/>
        <v>Deflasi</v>
      </c>
      <c r="L1635" s="84">
        <f t="shared" si="4"/>
        <v>-0.14</v>
      </c>
      <c r="M1635" s="88" t="str">
        <f t="shared" si="5"/>
        <v>Perubahan Normal</v>
      </c>
    </row>
    <row r="1636" ht="18.75" customHeight="1">
      <c r="A1636" s="80" t="s">
        <v>401</v>
      </c>
      <c r="B1636" s="81" t="str">
        <f t="shared" si="1"/>
        <v>Kota Tual</v>
      </c>
      <c r="C1636" s="81" t="str">
        <f t="array" ref="C1636">XLOOKUP(B1636,Reference!$A$2:$A$152,Reference!$B$2:$B$152)</f>
        <v>Maluku</v>
      </c>
      <c r="D1636" s="82" t="s">
        <v>2075</v>
      </c>
      <c r="E1636" s="83">
        <v>45352.0</v>
      </c>
      <c r="F1636" s="84" t="str">
        <f t="array" ref="F1636">XLOOKUP(G1636,Reference!$F:$F,Reference!$D:$D,"null")</f>
        <v>Rekreasi dan Kendaraan</v>
      </c>
      <c r="G1636" s="85" t="s">
        <v>105</v>
      </c>
      <c r="H1636" s="86">
        <v>103.76</v>
      </c>
      <c r="I1636" s="86">
        <v>103.76</v>
      </c>
      <c r="J1636" s="87">
        <f t="shared" si="2"/>
        <v>0</v>
      </c>
      <c r="K1636" s="84" t="str">
        <f t="shared" si="3"/>
        <v>Stabil</v>
      </c>
      <c r="L1636" s="84">
        <f t="shared" si="4"/>
        <v>0</v>
      </c>
      <c r="M1636" s="88" t="str">
        <f t="shared" si="5"/>
        <v>Perubahan Normal</v>
      </c>
    </row>
    <row r="1637" ht="18.75" customHeight="1">
      <c r="A1637" s="80" t="s">
        <v>734</v>
      </c>
      <c r="B1637" s="81" t="str">
        <f t="shared" si="1"/>
        <v>Kota Tegal</v>
      </c>
      <c r="C1637" s="81" t="str">
        <f t="array" ref="C1637">XLOOKUP(B1637,Reference!$A$2:$A$152,Reference!$B$2:$B$152)</f>
        <v>Jawa Tengah</v>
      </c>
      <c r="D1637" s="82" t="s">
        <v>2076</v>
      </c>
      <c r="E1637" s="83">
        <v>45323.0</v>
      </c>
      <c r="F1637" s="84" t="str">
        <f t="array" ref="F1637">XLOOKUP(G1637,Reference!$F:$F,Reference!$D:$D,"null")</f>
        <v>Rekreasi dan Kendaraan</v>
      </c>
      <c r="G1637" s="85" t="s">
        <v>105</v>
      </c>
      <c r="H1637" s="86">
        <v>104.4</v>
      </c>
      <c r="I1637" s="86">
        <v>104.32</v>
      </c>
      <c r="J1637" s="87">
        <f t="shared" si="2"/>
        <v>0.07668711656</v>
      </c>
      <c r="K1637" s="84" t="str">
        <f t="shared" si="3"/>
        <v>Inflasi Normal</v>
      </c>
      <c r="L1637" s="84">
        <f t="shared" si="4"/>
        <v>0.08</v>
      </c>
      <c r="M1637" s="88" t="str">
        <f t="shared" si="5"/>
        <v>Perubahan Normal</v>
      </c>
    </row>
    <row r="1638" ht="18.75" customHeight="1">
      <c r="A1638" s="80" t="s">
        <v>300</v>
      </c>
      <c r="B1638" s="81" t="str">
        <f t="shared" si="1"/>
        <v>Sintang</v>
      </c>
      <c r="C1638" s="81" t="str">
        <f t="array" ref="C1638">XLOOKUP(B1638,Reference!$A$2:$A$152,Reference!$B$2:$B$152)</f>
        <v>Kalimantan Barat</v>
      </c>
      <c r="D1638" s="82" t="s">
        <v>2077</v>
      </c>
      <c r="E1638" s="83">
        <v>45352.0</v>
      </c>
      <c r="F1638" s="84" t="str">
        <f t="array" ref="F1638">XLOOKUP(G1638,Reference!$F:$F,Reference!$D:$D,"null")</f>
        <v>Pendidikan dan Kesehatan</v>
      </c>
      <c r="G1638" s="85" t="s">
        <v>98</v>
      </c>
      <c r="H1638" s="86">
        <v>104.44</v>
      </c>
      <c r="I1638" s="86">
        <v>104.8</v>
      </c>
      <c r="J1638" s="87">
        <f t="shared" si="2"/>
        <v>-0.3435114504</v>
      </c>
      <c r="K1638" s="84" t="str">
        <f t="shared" si="3"/>
        <v>Deflasi</v>
      </c>
      <c r="L1638" s="84">
        <f t="shared" si="4"/>
        <v>-0.36</v>
      </c>
      <c r="M1638" s="88" t="str">
        <f t="shared" si="5"/>
        <v>Perubahan Normal</v>
      </c>
    </row>
    <row r="1639" ht="18.75" customHeight="1">
      <c r="A1639" s="80" t="s">
        <v>395</v>
      </c>
      <c r="B1639" s="81" t="str">
        <f t="shared" si="1"/>
        <v>Kota Bukittinggi</v>
      </c>
      <c r="C1639" s="81" t="str">
        <f t="array" ref="C1639">XLOOKUP(B1639,Reference!$A$2:$A$152,Reference!$B$2:$B$152)</f>
        <v>Sumatera Barat</v>
      </c>
      <c r="D1639" s="82" t="s">
        <v>2078</v>
      </c>
      <c r="E1639" s="83">
        <v>45323.0</v>
      </c>
      <c r="F1639" s="84" t="str">
        <f t="array" ref="F1639">XLOOKUP(G1639,Reference!$F:$F,Reference!$D:$D,"null")</f>
        <v>Makanan dan Pakaian </v>
      </c>
      <c r="G1639" s="89" t="s">
        <v>64</v>
      </c>
      <c r="H1639" s="90">
        <v>102.34</v>
      </c>
      <c r="I1639" s="90">
        <v>102.18</v>
      </c>
      <c r="J1639" s="87">
        <f t="shared" si="2"/>
        <v>0.1565864161</v>
      </c>
      <c r="K1639" s="84" t="str">
        <f t="shared" si="3"/>
        <v>Inflasi Normal</v>
      </c>
      <c r="L1639" s="91">
        <f t="shared" si="4"/>
        <v>0.16</v>
      </c>
      <c r="M1639" s="88" t="str">
        <f t="shared" si="5"/>
        <v>Perubahan Normal</v>
      </c>
    </row>
    <row r="1640" ht="18.75" customHeight="1">
      <c r="A1640" s="80" t="s">
        <v>706</v>
      </c>
      <c r="B1640" s="81" t="str">
        <f t="shared" si="1"/>
        <v>Kota Makassar</v>
      </c>
      <c r="C1640" s="81" t="str">
        <f t="array" ref="C1640">XLOOKUP(B1640,Reference!$A$2:$A$152,Reference!$B$2:$B$152)</f>
        <v>Sulawesi Selatan</v>
      </c>
      <c r="D1640" s="82" t="s">
        <v>2079</v>
      </c>
      <c r="E1640" s="83">
        <v>45352.0</v>
      </c>
      <c r="F1640" s="84" t="str">
        <f t="array" ref="F1640">XLOOKUP(G1640,Reference!$F:$F,Reference!$D:$D,"null")</f>
        <v>Makanan dan Pakaian </v>
      </c>
      <c r="G1640" s="85" t="s">
        <v>72</v>
      </c>
      <c r="H1640" s="86">
        <v>103.82</v>
      </c>
      <c r="I1640" s="86">
        <v>103.82</v>
      </c>
      <c r="J1640" s="87">
        <f t="shared" si="2"/>
        <v>0</v>
      </c>
      <c r="K1640" s="84" t="str">
        <f t="shared" si="3"/>
        <v>Stabil</v>
      </c>
      <c r="L1640" s="84">
        <f t="shared" si="4"/>
        <v>0</v>
      </c>
      <c r="M1640" s="88" t="str">
        <f t="shared" si="5"/>
        <v>Perubahan Normal</v>
      </c>
    </row>
    <row r="1641" ht="18.75" customHeight="1">
      <c r="A1641" s="80" t="s">
        <v>310</v>
      </c>
      <c r="B1641" s="81" t="str">
        <f t="shared" si="1"/>
        <v>Kab Kampar</v>
      </c>
      <c r="C1641" s="81" t="str">
        <f t="array" ref="C1641">XLOOKUP(B1641,Reference!$A$2:$A$152,Reference!$B$2:$B$152)</f>
        <v>Riau</v>
      </c>
      <c r="D1641" s="82" t="s">
        <v>2080</v>
      </c>
      <c r="E1641" s="83">
        <v>45323.0</v>
      </c>
      <c r="F1641" s="84" t="str">
        <f t="array" ref="F1641">XLOOKUP(G1641,Reference!$F:$F,Reference!$D:$D,"null")</f>
        <v>Pendidikan dan Kesehatan</v>
      </c>
      <c r="G1641" s="85" t="s">
        <v>95</v>
      </c>
      <c r="H1641" s="86">
        <v>100.73</v>
      </c>
      <c r="I1641" s="86">
        <v>100.73</v>
      </c>
      <c r="J1641" s="87">
        <f t="shared" si="2"/>
        <v>0</v>
      </c>
      <c r="K1641" s="84" t="str">
        <f t="shared" si="3"/>
        <v>Stabil</v>
      </c>
      <c r="L1641" s="84">
        <f t="shared" si="4"/>
        <v>0</v>
      </c>
      <c r="M1641" s="88" t="str">
        <f t="shared" si="5"/>
        <v>Perubahan Normal</v>
      </c>
    </row>
    <row r="1642" ht="18.75" customHeight="1">
      <c r="A1642" s="80" t="s">
        <v>442</v>
      </c>
      <c r="B1642" s="81" t="str">
        <f t="shared" si="1"/>
        <v>Kota Cirebon</v>
      </c>
      <c r="C1642" s="81" t="str">
        <f t="array" ref="C1642">XLOOKUP(B1642,Reference!$A$2:$A$152,Reference!$B$2:$B$152)</f>
        <v>Jawa Barat</v>
      </c>
      <c r="D1642" s="82" t="s">
        <v>2081</v>
      </c>
      <c r="E1642" s="83">
        <v>45352.0</v>
      </c>
      <c r="F1642" s="84" t="str">
        <f t="array" ref="F1642">XLOOKUP(G1642,Reference!$F:$F,Reference!$D:$D,"null")</f>
        <v>Rumah Tangga</v>
      </c>
      <c r="G1642" s="85" t="s">
        <v>84</v>
      </c>
      <c r="H1642" s="86">
        <v>99.98</v>
      </c>
      <c r="I1642" s="86">
        <v>99.98</v>
      </c>
      <c r="J1642" s="87">
        <f t="shared" si="2"/>
        <v>0</v>
      </c>
      <c r="K1642" s="84" t="str">
        <f t="shared" si="3"/>
        <v>Stabil</v>
      </c>
      <c r="L1642" s="84">
        <f t="shared" si="4"/>
        <v>0</v>
      </c>
      <c r="M1642" s="88" t="str">
        <f t="shared" si="5"/>
        <v>Perubahan Normal</v>
      </c>
    </row>
    <row r="1643" ht="18.75" customHeight="1">
      <c r="A1643" s="80" t="s">
        <v>483</v>
      </c>
      <c r="B1643" s="81" t="str">
        <f t="shared" si="1"/>
        <v>Kota Padangsidimpuan</v>
      </c>
      <c r="C1643" s="81" t="str">
        <f t="array" ref="C1643">XLOOKUP(B1643,Reference!$A$2:$A$152,Reference!$B$2:$B$152)</f>
        <v>Sumatera Utara</v>
      </c>
      <c r="D1643" s="82" t="s">
        <v>2082</v>
      </c>
      <c r="E1643" s="83">
        <v>45323.0</v>
      </c>
      <c r="F1643" s="84" t="str">
        <f t="array" ref="F1643">XLOOKUP(G1643,Reference!$F:$F,Reference!$D:$D,"null")</f>
        <v>Makanan dan Pakaian </v>
      </c>
      <c r="G1643" s="85" t="s">
        <v>56</v>
      </c>
      <c r="H1643" s="86">
        <v>103.02</v>
      </c>
      <c r="I1643" s="86">
        <v>103.0</v>
      </c>
      <c r="J1643" s="87">
        <f t="shared" si="2"/>
        <v>0.01941747573</v>
      </c>
      <c r="K1643" s="84" t="str">
        <f t="shared" si="3"/>
        <v>Inflasi Normal</v>
      </c>
      <c r="L1643" s="84">
        <f t="shared" si="4"/>
        <v>0.02</v>
      </c>
      <c r="M1643" s="88" t="str">
        <f t="shared" si="5"/>
        <v>Perubahan Normal</v>
      </c>
    </row>
    <row r="1644" ht="18.75" customHeight="1">
      <c r="A1644" s="80" t="s">
        <v>314</v>
      </c>
      <c r="B1644" s="81" t="str">
        <f t="shared" si="1"/>
        <v>Kota Jayapura</v>
      </c>
      <c r="C1644" s="81" t="str">
        <f t="array" ref="C1644">XLOOKUP(B1644,Reference!$A$2:$A$152,Reference!$B$2:$B$152)</f>
        <v>Papua</v>
      </c>
      <c r="D1644" s="82" t="s">
        <v>2083</v>
      </c>
      <c r="E1644" s="83">
        <v>45323.0</v>
      </c>
      <c r="F1644" s="84" t="str">
        <f t="array" ref="F1644">XLOOKUP(G1644,Reference!$F:$F,Reference!$D:$D,"null")</f>
        <v>Rumah Tangga</v>
      </c>
      <c r="G1644" s="85" t="s">
        <v>80</v>
      </c>
      <c r="H1644" s="86">
        <v>100.69</v>
      </c>
      <c r="I1644" s="86">
        <v>100.69</v>
      </c>
      <c r="J1644" s="87">
        <f t="shared" si="2"/>
        <v>0</v>
      </c>
      <c r="K1644" s="84" t="str">
        <f t="shared" si="3"/>
        <v>Stabil</v>
      </c>
      <c r="L1644" s="84">
        <f t="shared" si="4"/>
        <v>0</v>
      </c>
      <c r="M1644" s="88" t="str">
        <f t="shared" si="5"/>
        <v>Perubahan Normal</v>
      </c>
    </row>
    <row r="1645" ht="18.75" customHeight="1">
      <c r="A1645" s="80" t="s">
        <v>306</v>
      </c>
      <c r="B1645" s="81" t="str">
        <f t="shared" si="1"/>
        <v>Kota Padang</v>
      </c>
      <c r="C1645" s="81" t="str">
        <f t="array" ref="C1645">XLOOKUP(B1645,Reference!$A$2:$A$152,Reference!$B$2:$B$152)</f>
        <v>Sumatera Barat</v>
      </c>
      <c r="D1645" s="82" t="s">
        <v>2084</v>
      </c>
      <c r="E1645" s="83">
        <v>45352.0</v>
      </c>
      <c r="F1645" s="84" t="str">
        <f t="array" ref="F1645">XLOOKUP(G1645,Reference!$F:$F,Reference!$D:$D,"null")</f>
        <v>Makanan dan Pakaian </v>
      </c>
      <c r="G1645" s="85" t="s">
        <v>48</v>
      </c>
      <c r="H1645" s="86">
        <v>114.4</v>
      </c>
      <c r="I1645" s="86">
        <v>112.36</v>
      </c>
      <c r="J1645" s="87">
        <f t="shared" si="2"/>
        <v>1.815592738</v>
      </c>
      <c r="K1645" s="84" t="str">
        <f t="shared" si="3"/>
        <v>Inflasi Tinggi</v>
      </c>
      <c r="L1645" s="84">
        <f t="shared" si="4"/>
        <v>2.04</v>
      </c>
      <c r="M1645" s="88" t="str">
        <f t="shared" si="5"/>
        <v>Akselerasi Kuat</v>
      </c>
    </row>
    <row r="1646" ht="18.75" customHeight="1">
      <c r="A1646" s="80" t="s">
        <v>460</v>
      </c>
      <c r="B1646" s="81" t="str">
        <f t="shared" si="1"/>
        <v>Kab Kayong Utara</v>
      </c>
      <c r="C1646" s="81" t="str">
        <f t="array" ref="C1646">XLOOKUP(B1646,Reference!$A$2:$A$152,Reference!$B$2:$B$152)</f>
        <v>Kalimantan Barat</v>
      </c>
      <c r="D1646" s="82" t="s">
        <v>2085</v>
      </c>
      <c r="E1646" s="83">
        <v>45352.0</v>
      </c>
      <c r="F1646" s="84" t="str">
        <f t="array" ref="F1646">XLOOKUP(G1646,Reference!$F:$F,Reference!$D:$D,"null")</f>
        <v>Makanan dan Pakaian </v>
      </c>
      <c r="G1646" s="85" t="s">
        <v>72</v>
      </c>
      <c r="H1646" s="86">
        <v>98.74</v>
      </c>
      <c r="I1646" s="86">
        <v>98.74</v>
      </c>
      <c r="J1646" s="87">
        <f t="shared" si="2"/>
        <v>0</v>
      </c>
      <c r="K1646" s="84" t="str">
        <f t="shared" si="3"/>
        <v>Stabil</v>
      </c>
      <c r="L1646" s="84">
        <f t="shared" si="4"/>
        <v>0</v>
      </c>
      <c r="M1646" s="88" t="str">
        <f t="shared" si="5"/>
        <v>Perubahan Normal</v>
      </c>
    </row>
    <row r="1647" ht="18.75" customHeight="1">
      <c r="A1647" s="80" t="s">
        <v>414</v>
      </c>
      <c r="B1647" s="81" t="str">
        <f t="shared" si="1"/>
        <v>Kota Bandung</v>
      </c>
      <c r="C1647" s="81" t="str">
        <f t="array" ref="C1647">XLOOKUP(B1647,Reference!$A$2:$A$152,Reference!$B$2:$B$152)</f>
        <v>Jawa Barat</v>
      </c>
      <c r="D1647" s="82" t="s">
        <v>2086</v>
      </c>
      <c r="E1647" s="83">
        <v>45352.0</v>
      </c>
      <c r="F1647" s="84" t="str">
        <f t="array" ref="F1647">XLOOKUP(G1647,Reference!$F:$F,Reference!$D:$D,"null")</f>
        <v>Makanan dan Pakaian </v>
      </c>
      <c r="G1647" s="85" t="s">
        <v>72</v>
      </c>
      <c r="H1647" s="86">
        <v>102.44</v>
      </c>
      <c r="I1647" s="86">
        <v>102.44</v>
      </c>
      <c r="J1647" s="87">
        <f t="shared" si="2"/>
        <v>0</v>
      </c>
      <c r="K1647" s="84" t="str">
        <f t="shared" si="3"/>
        <v>Stabil</v>
      </c>
      <c r="L1647" s="84">
        <f t="shared" si="4"/>
        <v>0</v>
      </c>
      <c r="M1647" s="88" t="str">
        <f t="shared" si="5"/>
        <v>Perubahan Normal</v>
      </c>
    </row>
    <row r="1648" ht="18.75" customHeight="1">
      <c r="A1648" s="80" t="s">
        <v>669</v>
      </c>
      <c r="B1648" s="81" t="str">
        <f t="shared" si="1"/>
        <v>Kab Sidenreng Rappang</v>
      </c>
      <c r="C1648" s="81" t="str">
        <f t="array" ref="C1648">XLOOKUP(B1648,Reference!$A$2:$A$152,Reference!$B$2:$B$152)</f>
        <v>Sulawesi Selatan</v>
      </c>
      <c r="D1648" s="82" t="s">
        <v>2087</v>
      </c>
      <c r="E1648" s="83">
        <v>45352.0</v>
      </c>
      <c r="F1648" s="84" t="str">
        <f t="array" ref="F1648">XLOOKUP(G1648,Reference!$F:$F,Reference!$D:$D,"null")</f>
        <v>Makanan dan Pakaian </v>
      </c>
      <c r="G1648" s="85" t="s">
        <v>72</v>
      </c>
      <c r="H1648" s="86">
        <v>106.97</v>
      </c>
      <c r="I1648" s="86">
        <v>106.97</v>
      </c>
      <c r="J1648" s="87">
        <f t="shared" si="2"/>
        <v>0</v>
      </c>
      <c r="K1648" s="84" t="str">
        <f t="shared" si="3"/>
        <v>Stabil</v>
      </c>
      <c r="L1648" s="84">
        <f t="shared" si="4"/>
        <v>0</v>
      </c>
      <c r="M1648" s="88" t="str">
        <f t="shared" si="5"/>
        <v>Perubahan Normal</v>
      </c>
    </row>
    <row r="1649" ht="18.75" customHeight="1">
      <c r="A1649" s="80" t="s">
        <v>337</v>
      </c>
      <c r="B1649" s="81" t="str">
        <f t="shared" si="1"/>
        <v>Merauke</v>
      </c>
      <c r="C1649" s="81" t="str">
        <f t="array" ref="C1649">XLOOKUP(B1649,Reference!$A$2:$A$152,Reference!$B$2:$B$152)</f>
        <v>Papua</v>
      </c>
      <c r="D1649" s="82" t="s">
        <v>2088</v>
      </c>
      <c r="E1649" s="83">
        <v>45352.0</v>
      </c>
      <c r="F1649" s="84" t="str">
        <f t="array" ref="F1649">XLOOKUP(G1649,Reference!$F:$F,Reference!$D:$D,"null")</f>
        <v>Rekreasi dan Kendaraan</v>
      </c>
      <c r="G1649" s="85" t="s">
        <v>102</v>
      </c>
      <c r="H1649" s="86">
        <v>109.95</v>
      </c>
      <c r="I1649" s="86">
        <v>111.36</v>
      </c>
      <c r="J1649" s="87">
        <f t="shared" si="2"/>
        <v>-1.266163793</v>
      </c>
      <c r="K1649" s="84" t="str">
        <f t="shared" si="3"/>
        <v>Deflasi</v>
      </c>
      <c r="L1649" s="84">
        <f t="shared" si="4"/>
        <v>-1.41</v>
      </c>
      <c r="M1649" s="88" t="str">
        <f t="shared" si="5"/>
        <v>Perubahan Normal</v>
      </c>
    </row>
    <row r="1650" ht="18.75" customHeight="1">
      <c r="A1650" s="80" t="s">
        <v>358</v>
      </c>
      <c r="B1650" s="81" t="str">
        <f t="shared" si="1"/>
        <v>Kab Minahasa Utara</v>
      </c>
      <c r="C1650" s="81" t="str">
        <f t="array" ref="C1650">XLOOKUP(B1650,Reference!$A$2:$A$152,Reference!$B$2:$B$152)</f>
        <v>Sulawesi Utara</v>
      </c>
      <c r="D1650" s="82" t="s">
        <v>2089</v>
      </c>
      <c r="E1650" s="83">
        <v>45352.0</v>
      </c>
      <c r="F1650" s="84" t="str">
        <f t="array" ref="F1650">XLOOKUP(G1650,Reference!$F:$F,Reference!$D:$D,"null")</f>
        <v>Rumah Tangga</v>
      </c>
      <c r="G1650" s="85" t="s">
        <v>80</v>
      </c>
      <c r="H1650" s="86">
        <v>100.0</v>
      </c>
      <c r="I1650" s="86">
        <v>100.0</v>
      </c>
      <c r="J1650" s="87">
        <f t="shared" si="2"/>
        <v>0</v>
      </c>
      <c r="K1650" s="84" t="str">
        <f t="shared" si="3"/>
        <v>Stabil</v>
      </c>
      <c r="L1650" s="84">
        <f t="shared" si="4"/>
        <v>0</v>
      </c>
      <c r="M1650" s="88" t="str">
        <f t="shared" si="5"/>
        <v>Perubahan Normal</v>
      </c>
    </row>
    <row r="1651" ht="18.75" customHeight="1">
      <c r="A1651" s="80" t="s">
        <v>351</v>
      </c>
      <c r="B1651" s="81" t="str">
        <f t="shared" si="1"/>
        <v>Kota Balikpapan</v>
      </c>
      <c r="C1651" s="81" t="str">
        <f t="array" ref="C1651">XLOOKUP(B1651,Reference!$A$2:$A$152,Reference!$B$2:$B$152)</f>
        <v>Kalimantan Timur</v>
      </c>
      <c r="D1651" s="82" t="s">
        <v>2090</v>
      </c>
      <c r="E1651" s="83">
        <v>45323.0</v>
      </c>
      <c r="F1651" s="84" t="str">
        <f t="array" ref="F1651">XLOOKUP(G1651,Reference!$F:$F,Reference!$D:$D,"null")</f>
        <v>Makanan dan Pakaian </v>
      </c>
      <c r="G1651" s="85" t="s">
        <v>48</v>
      </c>
      <c r="H1651" s="86">
        <v>108.44</v>
      </c>
      <c r="I1651" s="86">
        <v>108.6</v>
      </c>
      <c r="J1651" s="87">
        <f t="shared" si="2"/>
        <v>-0.1473296501</v>
      </c>
      <c r="K1651" s="84" t="str">
        <f t="shared" si="3"/>
        <v>Deflasi</v>
      </c>
      <c r="L1651" s="84">
        <f t="shared" si="4"/>
        <v>-0.16</v>
      </c>
      <c r="M1651" s="88" t="str">
        <f t="shared" si="5"/>
        <v>Perubahan Normal</v>
      </c>
    </row>
    <row r="1652" ht="18.75" customHeight="1">
      <c r="A1652" s="80" t="s">
        <v>512</v>
      </c>
      <c r="B1652" s="81" t="str">
        <f t="shared" si="1"/>
        <v>Kota Palu</v>
      </c>
      <c r="C1652" s="81" t="str">
        <f t="array" ref="C1652">XLOOKUP(B1652,Reference!$A$2:$A$152,Reference!$B$2:$B$152)</f>
        <v>Sulawesi Tengah</v>
      </c>
      <c r="D1652" s="82" t="s">
        <v>2091</v>
      </c>
      <c r="E1652" s="83">
        <v>45323.0</v>
      </c>
      <c r="F1652" s="84" t="str">
        <f t="array" ref="F1652">XLOOKUP(G1652,Reference!$F:$F,Reference!$D:$D,"null")</f>
        <v>Pendidikan dan Kesehatan</v>
      </c>
      <c r="G1652" s="85" t="s">
        <v>95</v>
      </c>
      <c r="H1652" s="86">
        <v>100.97</v>
      </c>
      <c r="I1652" s="86">
        <v>100.97</v>
      </c>
      <c r="J1652" s="87">
        <f t="shared" si="2"/>
        <v>0</v>
      </c>
      <c r="K1652" s="84" t="str">
        <f t="shared" si="3"/>
        <v>Stabil</v>
      </c>
      <c r="L1652" s="84">
        <f t="shared" si="4"/>
        <v>0</v>
      </c>
      <c r="M1652" s="88" t="str">
        <f t="shared" si="5"/>
        <v>Perubahan Normal</v>
      </c>
    </row>
    <row r="1653" ht="18.75" customHeight="1">
      <c r="A1653" s="80" t="s">
        <v>495</v>
      </c>
      <c r="B1653" s="81" t="str">
        <f t="shared" si="1"/>
        <v>Kota Medan</v>
      </c>
      <c r="C1653" s="81" t="str">
        <f t="array" ref="C1653">XLOOKUP(B1653,Reference!$A$2:$A$152,Reference!$B$2:$B$152)</f>
        <v>Sumatera Utara</v>
      </c>
      <c r="D1653" s="82" t="s">
        <v>2092</v>
      </c>
      <c r="E1653" s="83">
        <v>45323.0</v>
      </c>
      <c r="F1653" s="84" t="str">
        <f t="array" ref="F1653">XLOOKUP(G1653,Reference!$F:$F,Reference!$D:$D,"null")</f>
        <v>Rekreasi dan Kendaraan</v>
      </c>
      <c r="G1653" s="85" t="s">
        <v>102</v>
      </c>
      <c r="H1653" s="86">
        <v>106.07</v>
      </c>
      <c r="I1653" s="86">
        <v>106.35</v>
      </c>
      <c r="J1653" s="87">
        <f t="shared" si="2"/>
        <v>-0.2632816173</v>
      </c>
      <c r="K1653" s="84" t="str">
        <f t="shared" si="3"/>
        <v>Deflasi</v>
      </c>
      <c r="L1653" s="84">
        <f t="shared" si="4"/>
        <v>-0.28</v>
      </c>
      <c r="M1653" s="88" t="str">
        <f t="shared" si="5"/>
        <v>Perubahan Normal</v>
      </c>
    </row>
    <row r="1654" ht="18.75" customHeight="1">
      <c r="A1654" s="80" t="s">
        <v>401</v>
      </c>
      <c r="B1654" s="81" t="str">
        <f t="shared" si="1"/>
        <v>Kota Tual</v>
      </c>
      <c r="C1654" s="81" t="str">
        <f t="array" ref="C1654">XLOOKUP(B1654,Reference!$A$2:$A$152,Reference!$B$2:$B$152)</f>
        <v>Maluku</v>
      </c>
      <c r="D1654" s="82" t="s">
        <v>2093</v>
      </c>
      <c r="E1654" s="83">
        <v>45352.0</v>
      </c>
      <c r="F1654" s="84" t="str">
        <f t="array" ref="F1654">XLOOKUP(G1654,Reference!$F:$F,Reference!$D:$D,"null")</f>
        <v>Rumah Tangga</v>
      </c>
      <c r="G1654" s="85" t="s">
        <v>80</v>
      </c>
      <c r="H1654" s="86">
        <v>105.22</v>
      </c>
      <c r="I1654" s="86">
        <v>105.03</v>
      </c>
      <c r="J1654" s="87">
        <f t="shared" si="2"/>
        <v>0.180900695</v>
      </c>
      <c r="K1654" s="84" t="str">
        <f t="shared" si="3"/>
        <v>Inflasi Normal</v>
      </c>
      <c r="L1654" s="84">
        <f t="shared" si="4"/>
        <v>0.19</v>
      </c>
      <c r="M1654" s="88" t="str">
        <f t="shared" si="5"/>
        <v>Perubahan Normal</v>
      </c>
    </row>
    <row r="1655" ht="18.75" customHeight="1">
      <c r="A1655" s="80" t="s">
        <v>571</v>
      </c>
      <c r="B1655" s="81" t="str">
        <f t="shared" si="1"/>
        <v>Kota Sorong</v>
      </c>
      <c r="C1655" s="81" t="str">
        <f t="array" ref="C1655">XLOOKUP(B1655,Reference!$A$2:$A$152,Reference!$B$2:$B$152)</f>
        <v>Papua Barat Daya</v>
      </c>
      <c r="D1655" s="82" t="s">
        <v>2094</v>
      </c>
      <c r="E1655" s="83">
        <v>45352.0</v>
      </c>
      <c r="F1655" s="84" t="str">
        <f t="array" ref="F1655">XLOOKUP(G1655,Reference!$F:$F,Reference!$D:$D,"null")</f>
        <v>Rumah Tangga</v>
      </c>
      <c r="G1655" s="85" t="s">
        <v>89</v>
      </c>
      <c r="H1655" s="86">
        <v>103.86</v>
      </c>
      <c r="I1655" s="86">
        <v>103.86</v>
      </c>
      <c r="J1655" s="87">
        <f t="shared" si="2"/>
        <v>0</v>
      </c>
      <c r="K1655" s="84" t="str">
        <f t="shared" si="3"/>
        <v>Stabil</v>
      </c>
      <c r="L1655" s="84">
        <f t="shared" si="4"/>
        <v>0</v>
      </c>
      <c r="M1655" s="88" t="str">
        <f t="shared" si="5"/>
        <v>Perubahan Normal</v>
      </c>
    </row>
    <row r="1656" ht="18.75" customHeight="1">
      <c r="A1656" s="80" t="s">
        <v>351</v>
      </c>
      <c r="B1656" s="81" t="str">
        <f t="shared" si="1"/>
        <v>Kota Balikpapan</v>
      </c>
      <c r="C1656" s="81" t="str">
        <f t="array" ref="C1656">XLOOKUP(B1656,Reference!$A$2:$A$152,Reference!$B$2:$B$152)</f>
        <v>Kalimantan Timur</v>
      </c>
      <c r="D1656" s="82" t="s">
        <v>2095</v>
      </c>
      <c r="E1656" s="83">
        <v>45352.0</v>
      </c>
      <c r="F1656" s="84" t="str">
        <f t="array" ref="F1656">XLOOKUP(G1656,Reference!$F:$F,Reference!$D:$D,"null")</f>
        <v>Pendidikan dan Kesehatan</v>
      </c>
      <c r="G1656" s="85" t="s">
        <v>95</v>
      </c>
      <c r="H1656" s="86">
        <v>104.4</v>
      </c>
      <c r="I1656" s="86">
        <v>104.4</v>
      </c>
      <c r="J1656" s="87">
        <f t="shared" si="2"/>
        <v>0</v>
      </c>
      <c r="K1656" s="84" t="str">
        <f t="shared" si="3"/>
        <v>Stabil</v>
      </c>
      <c r="L1656" s="84">
        <f t="shared" si="4"/>
        <v>0</v>
      </c>
      <c r="M1656" s="88" t="str">
        <f t="shared" si="5"/>
        <v>Perubahan Normal</v>
      </c>
    </row>
    <row r="1657" ht="18.75" customHeight="1">
      <c r="A1657" s="80" t="s">
        <v>404</v>
      </c>
      <c r="B1657" s="81" t="str">
        <f t="shared" si="1"/>
        <v>Kab Mesuji</v>
      </c>
      <c r="C1657" s="81" t="str">
        <f t="array" ref="C1657">XLOOKUP(B1657,Reference!$A$2:$A$152,Reference!$B$2:$B$152)</f>
        <v>Lampung</v>
      </c>
      <c r="D1657" s="82" t="s">
        <v>2096</v>
      </c>
      <c r="E1657" s="83">
        <v>45352.0</v>
      </c>
      <c r="F1657" s="84" t="str">
        <f t="array" ref="F1657">XLOOKUP(G1657,Reference!$F:$F,Reference!$D:$D,"null")</f>
        <v>Rekreasi dan Kendaraan</v>
      </c>
      <c r="G1657" s="85" t="s">
        <v>102</v>
      </c>
      <c r="H1657" s="86">
        <v>106.99</v>
      </c>
      <c r="I1657" s="86">
        <v>106.99</v>
      </c>
      <c r="J1657" s="87">
        <f t="shared" si="2"/>
        <v>0</v>
      </c>
      <c r="K1657" s="84" t="str">
        <f t="shared" si="3"/>
        <v>Stabil</v>
      </c>
      <c r="L1657" s="84">
        <f t="shared" si="4"/>
        <v>0</v>
      </c>
      <c r="M1657" s="88" t="str">
        <f t="shared" si="5"/>
        <v>Perubahan Normal</v>
      </c>
    </row>
    <row r="1658" ht="18.75" customHeight="1">
      <c r="A1658" s="80" t="s">
        <v>762</v>
      </c>
      <c r="B1658" s="81" t="str">
        <f t="shared" si="1"/>
        <v>Kota Pangkal Pinang</v>
      </c>
      <c r="C1658" s="81" t="str">
        <f t="array" ref="C1658">XLOOKUP(B1658,Reference!$A$2:$A$152,Reference!$B$2:$B$152)</f>
        <v>Kepulauan Bangka Belitung</v>
      </c>
      <c r="D1658" s="82" t="s">
        <v>2097</v>
      </c>
      <c r="E1658" s="83">
        <v>45323.0</v>
      </c>
      <c r="F1658" s="84" t="str">
        <f t="array" ref="F1658">XLOOKUP(G1658,Reference!$F:$F,Reference!$D:$D,"null")</f>
        <v>Rekreasi dan Kendaraan</v>
      </c>
      <c r="G1658" s="89" t="s">
        <v>102</v>
      </c>
      <c r="H1658" s="90">
        <v>103.24</v>
      </c>
      <c r="I1658" s="90">
        <v>103.24</v>
      </c>
      <c r="J1658" s="87">
        <f t="shared" si="2"/>
        <v>0</v>
      </c>
      <c r="K1658" s="84" t="str">
        <f t="shared" si="3"/>
        <v>Stabil</v>
      </c>
      <c r="L1658" s="91">
        <f t="shared" si="4"/>
        <v>0</v>
      </c>
      <c r="M1658" s="88" t="str">
        <f t="shared" si="5"/>
        <v>Perubahan Normal</v>
      </c>
    </row>
    <row r="1659" ht="18.75" customHeight="1">
      <c r="A1659" s="80" t="s">
        <v>382</v>
      </c>
      <c r="B1659" s="81" t="str">
        <f t="shared" si="1"/>
        <v>Kab Ngada</v>
      </c>
      <c r="C1659" s="81" t="str">
        <f t="array" ref="C1659">XLOOKUP(B1659,Reference!$A$2:$A$152,Reference!$B$2:$B$152)</f>
        <v>Nusa Tenggara Timur (NTT)</v>
      </c>
      <c r="D1659" s="82" t="s">
        <v>2098</v>
      </c>
      <c r="E1659" s="83">
        <v>45323.0</v>
      </c>
      <c r="F1659" s="84" t="str">
        <f t="array" ref="F1659">XLOOKUP(G1659,Reference!$F:$F,Reference!$D:$D,"null")</f>
        <v>Rekreasi dan Kendaraan</v>
      </c>
      <c r="G1659" s="85" t="s">
        <v>102</v>
      </c>
      <c r="H1659" s="86">
        <v>98.74</v>
      </c>
      <c r="I1659" s="86">
        <v>98.74</v>
      </c>
      <c r="J1659" s="87">
        <f t="shared" si="2"/>
        <v>0</v>
      </c>
      <c r="K1659" s="84" t="str">
        <f t="shared" si="3"/>
        <v>Stabil</v>
      </c>
      <c r="L1659" s="84">
        <f t="shared" si="4"/>
        <v>0</v>
      </c>
      <c r="M1659" s="88" t="str">
        <f t="shared" si="5"/>
        <v>Perubahan Normal</v>
      </c>
    </row>
    <row r="1660" ht="18.75" customHeight="1">
      <c r="A1660" s="80" t="s">
        <v>571</v>
      </c>
      <c r="B1660" s="81" t="str">
        <f t="shared" si="1"/>
        <v>Kota Sorong</v>
      </c>
      <c r="C1660" s="81" t="str">
        <f t="array" ref="C1660">XLOOKUP(B1660,Reference!$A$2:$A$152,Reference!$B$2:$B$152)</f>
        <v>Papua Barat Daya</v>
      </c>
      <c r="D1660" s="82" t="s">
        <v>2099</v>
      </c>
      <c r="E1660" s="83">
        <v>45323.0</v>
      </c>
      <c r="F1660" s="84" t="str">
        <f t="array" ref="F1660">XLOOKUP(G1660,Reference!$F:$F,Reference!$D:$D,"null")</f>
        <v>Pendidikan dan Kesehatan</v>
      </c>
      <c r="G1660" s="89" t="s">
        <v>98</v>
      </c>
      <c r="H1660" s="90">
        <v>102.98</v>
      </c>
      <c r="I1660" s="90">
        <v>103.22</v>
      </c>
      <c r="J1660" s="87">
        <f t="shared" si="2"/>
        <v>-0.2325130789</v>
      </c>
      <c r="K1660" s="84" t="str">
        <f t="shared" si="3"/>
        <v>Deflasi</v>
      </c>
      <c r="L1660" s="91">
        <f t="shared" si="4"/>
        <v>-0.24</v>
      </c>
      <c r="M1660" s="88" t="str">
        <f t="shared" si="5"/>
        <v>Perubahan Normal</v>
      </c>
    </row>
    <row r="1661" ht="18.75" customHeight="1">
      <c r="A1661" s="80" t="s">
        <v>762</v>
      </c>
      <c r="B1661" s="81" t="str">
        <f t="shared" si="1"/>
        <v>Kota Pangkal Pinang</v>
      </c>
      <c r="C1661" s="81" t="str">
        <f t="array" ref="C1661">XLOOKUP(B1661,Reference!$A$2:$A$152,Reference!$B$2:$B$152)</f>
        <v>Kepulauan Bangka Belitung</v>
      </c>
      <c r="D1661" s="82" t="s">
        <v>2100</v>
      </c>
      <c r="E1661" s="83">
        <v>45352.0</v>
      </c>
      <c r="F1661" s="84" t="str">
        <f t="array" ref="F1661">XLOOKUP(G1661,Reference!$F:$F,Reference!$D:$D,"null")</f>
        <v>Rumah Tangga</v>
      </c>
      <c r="G1661" s="85" t="s">
        <v>80</v>
      </c>
      <c r="H1661" s="86">
        <v>100.93</v>
      </c>
      <c r="I1661" s="86">
        <v>100.93</v>
      </c>
      <c r="J1661" s="87">
        <f t="shared" si="2"/>
        <v>0</v>
      </c>
      <c r="K1661" s="84" t="str">
        <f t="shared" si="3"/>
        <v>Stabil</v>
      </c>
      <c r="L1661" s="84">
        <f t="shared" si="4"/>
        <v>0</v>
      </c>
      <c r="M1661" s="88" t="str">
        <f t="shared" si="5"/>
        <v>Perubahan Normal</v>
      </c>
    </row>
    <row r="1662" ht="18.75" customHeight="1">
      <c r="A1662" s="80" t="s">
        <v>535</v>
      </c>
      <c r="B1662" s="81" t="str">
        <f t="shared" si="1"/>
        <v>Kota Tarakan</v>
      </c>
      <c r="C1662" s="81" t="str">
        <f t="array" ref="C1662">XLOOKUP(B1662,Reference!$A$2:$A$152,Reference!$B$2:$B$152)</f>
        <v>Kalimantan Utara</v>
      </c>
      <c r="D1662" s="82" t="s">
        <v>2101</v>
      </c>
      <c r="E1662" s="83">
        <v>45352.0</v>
      </c>
      <c r="F1662" s="84" t="str">
        <f t="array" ref="F1662">XLOOKUP(G1662,Reference!$F:$F,Reference!$D:$D,"null")</f>
        <v>Pendidikan dan Kesehatan</v>
      </c>
      <c r="G1662" s="85" t="s">
        <v>98</v>
      </c>
      <c r="H1662" s="86">
        <v>101.06</v>
      </c>
      <c r="I1662" s="86">
        <v>100.1</v>
      </c>
      <c r="J1662" s="87">
        <f t="shared" si="2"/>
        <v>0.959040959</v>
      </c>
      <c r="K1662" s="84" t="str">
        <f t="shared" si="3"/>
        <v>Inflasi Tinggi</v>
      </c>
      <c r="L1662" s="84">
        <f t="shared" si="4"/>
        <v>0.96</v>
      </c>
      <c r="M1662" s="88" t="str">
        <f t="shared" si="5"/>
        <v>Akselerasi Persentase</v>
      </c>
    </row>
    <row r="1663" ht="18.75" customHeight="1">
      <c r="A1663" s="80" t="s">
        <v>473</v>
      </c>
      <c r="B1663" s="81" t="str">
        <f t="shared" si="1"/>
        <v>Kab Wajo</v>
      </c>
      <c r="C1663" s="81" t="str">
        <f t="array" ref="C1663">XLOOKUP(B1663,Reference!$A$2:$A$152,Reference!$B$2:$B$152)</f>
        <v>Sulawesi Selatan</v>
      </c>
      <c r="D1663" s="82" t="s">
        <v>2102</v>
      </c>
      <c r="E1663" s="83">
        <v>45352.0</v>
      </c>
      <c r="F1663" s="84" t="str">
        <f t="array" ref="F1663">XLOOKUP(G1663,Reference!$F:$F,Reference!$D:$D,"null")</f>
        <v>Makanan dan Pakaian </v>
      </c>
      <c r="G1663" s="85" t="s">
        <v>64</v>
      </c>
      <c r="H1663" s="86">
        <v>107.32</v>
      </c>
      <c r="I1663" s="86">
        <v>107.3</v>
      </c>
      <c r="J1663" s="87">
        <f t="shared" si="2"/>
        <v>0.01863932898</v>
      </c>
      <c r="K1663" s="84" t="str">
        <f t="shared" si="3"/>
        <v>Inflasi Normal</v>
      </c>
      <c r="L1663" s="84">
        <f t="shared" si="4"/>
        <v>0.02</v>
      </c>
      <c r="M1663" s="88" t="str">
        <f t="shared" si="5"/>
        <v>Perubahan Normal</v>
      </c>
    </row>
    <row r="1664" ht="18.75" customHeight="1">
      <c r="A1664" s="80" t="s">
        <v>483</v>
      </c>
      <c r="B1664" s="81" t="str">
        <f t="shared" si="1"/>
        <v>Kota Padangsidimpuan</v>
      </c>
      <c r="C1664" s="81" t="str">
        <f t="array" ref="C1664">XLOOKUP(B1664,Reference!$A$2:$A$152,Reference!$B$2:$B$152)</f>
        <v>Sumatera Utara</v>
      </c>
      <c r="D1664" s="82" t="s">
        <v>2103</v>
      </c>
      <c r="E1664" s="83">
        <v>45323.0</v>
      </c>
      <c r="F1664" s="84" t="str">
        <f t="array" ref="F1664">XLOOKUP(G1664,Reference!$F:$F,Reference!$D:$D,"null")</f>
        <v>Makanan dan Pakaian </v>
      </c>
      <c r="G1664" s="85" t="s">
        <v>72</v>
      </c>
      <c r="H1664" s="86">
        <v>98.32</v>
      </c>
      <c r="I1664" s="86">
        <v>98.32</v>
      </c>
      <c r="J1664" s="87">
        <f t="shared" si="2"/>
        <v>0</v>
      </c>
      <c r="K1664" s="84" t="str">
        <f t="shared" si="3"/>
        <v>Stabil</v>
      </c>
      <c r="L1664" s="84">
        <f t="shared" si="4"/>
        <v>0</v>
      </c>
      <c r="M1664" s="88" t="str">
        <f t="shared" si="5"/>
        <v>Perubahan Normal</v>
      </c>
    </row>
    <row r="1665" ht="18.75" customHeight="1">
      <c r="A1665" s="80" t="s">
        <v>370</v>
      </c>
      <c r="B1665" s="81" t="str">
        <f t="shared" si="1"/>
        <v>Jember</v>
      </c>
      <c r="C1665" s="81" t="str">
        <f t="array" ref="C1665">XLOOKUP(B1665,Reference!$A$2:$A$152,Reference!$B$2:$B$152)</f>
        <v>Jawa Timur</v>
      </c>
      <c r="D1665" s="82" t="s">
        <v>2104</v>
      </c>
      <c r="E1665" s="83">
        <v>45352.0</v>
      </c>
      <c r="F1665" s="84" t="str">
        <f t="array" ref="F1665">XLOOKUP(G1665,Reference!$F:$F,Reference!$D:$D,"null")</f>
        <v>Pendidikan dan Kesehatan</v>
      </c>
      <c r="G1665" s="85" t="s">
        <v>98</v>
      </c>
      <c r="H1665" s="86">
        <v>100.94</v>
      </c>
      <c r="I1665" s="86">
        <v>100.29</v>
      </c>
      <c r="J1665" s="87">
        <f t="shared" si="2"/>
        <v>0.6481204507</v>
      </c>
      <c r="K1665" s="84" t="str">
        <f t="shared" si="3"/>
        <v>Inflasi Tinggi</v>
      </c>
      <c r="L1665" s="84">
        <f t="shared" si="4"/>
        <v>0.65</v>
      </c>
      <c r="M1665" s="88" t="str">
        <f t="shared" si="5"/>
        <v>Akselerasi Persentase</v>
      </c>
    </row>
    <row r="1666" ht="18.75" customHeight="1">
      <c r="A1666" s="80" t="s">
        <v>592</v>
      </c>
      <c r="B1666" s="81" t="str">
        <f t="shared" si="1"/>
        <v>Kab Lampung Timur</v>
      </c>
      <c r="C1666" s="81" t="str">
        <f t="array" ref="C1666">XLOOKUP(B1666,Reference!$A$2:$A$152,Reference!$B$2:$B$152)</f>
        <v>Lampung</v>
      </c>
      <c r="D1666" s="82" t="s">
        <v>2105</v>
      </c>
      <c r="E1666" s="83">
        <v>45323.0</v>
      </c>
      <c r="F1666" s="84" t="str">
        <f t="array" ref="F1666">XLOOKUP(G1666,Reference!$F:$F,Reference!$D:$D,"null")</f>
        <v>Rumah Tangga</v>
      </c>
      <c r="G1666" s="85" t="s">
        <v>80</v>
      </c>
      <c r="H1666" s="86">
        <v>100.3</v>
      </c>
      <c r="I1666" s="86">
        <v>100.01</v>
      </c>
      <c r="J1666" s="87">
        <f t="shared" si="2"/>
        <v>0.2899710029</v>
      </c>
      <c r="K1666" s="84" t="str">
        <f t="shared" si="3"/>
        <v>Inflasi Normal</v>
      </c>
      <c r="L1666" s="84">
        <f t="shared" si="4"/>
        <v>0.29</v>
      </c>
      <c r="M1666" s="88" t="str">
        <f t="shared" si="5"/>
        <v>Perubahan Normal</v>
      </c>
    </row>
    <row r="1667" ht="18.75" customHeight="1">
      <c r="A1667" s="80" t="s">
        <v>490</v>
      </c>
      <c r="B1667" s="81" t="str">
        <f t="shared" si="1"/>
        <v>Kab Kerinci</v>
      </c>
      <c r="C1667" s="81" t="str">
        <f t="array" ref="C1667">XLOOKUP(B1667,Reference!$A$2:$A$152,Reference!$B$2:$B$152)</f>
        <v>Jambi</v>
      </c>
      <c r="D1667" s="82" t="s">
        <v>2106</v>
      </c>
      <c r="E1667" s="83">
        <v>45323.0</v>
      </c>
      <c r="F1667" s="84" t="str">
        <f t="array" ref="F1667">XLOOKUP(G1667,Reference!$F:$F,Reference!$D:$D,"null")</f>
        <v>Rumah Tangga</v>
      </c>
      <c r="G1667" s="85" t="s">
        <v>80</v>
      </c>
      <c r="H1667" s="86">
        <v>102.38</v>
      </c>
      <c r="I1667" s="86">
        <v>102.38</v>
      </c>
      <c r="J1667" s="87">
        <f t="shared" si="2"/>
        <v>0</v>
      </c>
      <c r="K1667" s="84" t="str">
        <f t="shared" si="3"/>
        <v>Stabil</v>
      </c>
      <c r="L1667" s="84">
        <f t="shared" si="4"/>
        <v>0</v>
      </c>
      <c r="M1667" s="88" t="str">
        <f t="shared" si="5"/>
        <v>Perubahan Normal</v>
      </c>
    </row>
    <row r="1668" ht="18.75" customHeight="1">
      <c r="A1668" s="80" t="s">
        <v>458</v>
      </c>
      <c r="B1668" s="81" t="str">
        <f t="shared" si="1"/>
        <v>Kota Dumai</v>
      </c>
      <c r="C1668" s="81" t="str">
        <f t="array" ref="C1668">XLOOKUP(B1668,Reference!$A$2:$A$152,Reference!$B$2:$B$152)</f>
        <v>Riau</v>
      </c>
      <c r="D1668" s="82" t="s">
        <v>2107</v>
      </c>
      <c r="E1668" s="83">
        <v>45352.0</v>
      </c>
      <c r="F1668" s="84" t="str">
        <f t="array" ref="F1668">XLOOKUP(G1668,Reference!$F:$F,Reference!$D:$D,"null")</f>
        <v>Rekreasi dan Kendaraan</v>
      </c>
      <c r="G1668" s="85" t="s">
        <v>105</v>
      </c>
      <c r="H1668" s="86">
        <v>111.6</v>
      </c>
      <c r="I1668" s="86">
        <v>111.48</v>
      </c>
      <c r="J1668" s="87">
        <f t="shared" si="2"/>
        <v>0.1076426265</v>
      </c>
      <c r="K1668" s="84" t="str">
        <f t="shared" si="3"/>
        <v>Inflasi Normal</v>
      </c>
      <c r="L1668" s="84">
        <f t="shared" si="4"/>
        <v>0.12</v>
      </c>
      <c r="M1668" s="88" t="str">
        <f t="shared" si="5"/>
        <v>Perubahan Normal</v>
      </c>
    </row>
    <row r="1669" ht="18.75" customHeight="1">
      <c r="A1669" s="80" t="s">
        <v>837</v>
      </c>
      <c r="B1669" s="81" t="str">
        <f t="shared" si="1"/>
        <v>Kab Luwu Timur</v>
      </c>
      <c r="C1669" s="81" t="str">
        <f t="array" ref="C1669">XLOOKUP(B1669,Reference!$A$2:$A$152,Reference!$B$2:$B$152)</f>
        <v>Sulawesi Selatan</v>
      </c>
      <c r="D1669" s="82" t="s">
        <v>2108</v>
      </c>
      <c r="E1669" s="83">
        <v>45323.0</v>
      </c>
      <c r="F1669" s="84" t="str">
        <f t="array" ref="F1669">XLOOKUP(G1669,Reference!$F:$F,Reference!$D:$D,"null")</f>
        <v>Rekreasi dan Kendaraan</v>
      </c>
      <c r="G1669" s="85" t="s">
        <v>102</v>
      </c>
      <c r="H1669" s="86">
        <v>106.62</v>
      </c>
      <c r="I1669" s="86">
        <v>106.46</v>
      </c>
      <c r="J1669" s="87">
        <f t="shared" si="2"/>
        <v>0.1502911892</v>
      </c>
      <c r="K1669" s="84" t="str">
        <f t="shared" si="3"/>
        <v>Inflasi Normal</v>
      </c>
      <c r="L1669" s="84">
        <f t="shared" si="4"/>
        <v>0.16</v>
      </c>
      <c r="M1669" s="88" t="str">
        <f t="shared" si="5"/>
        <v>Perubahan Normal</v>
      </c>
    </row>
    <row r="1670" ht="18.75" customHeight="1">
      <c r="A1670" s="80" t="s">
        <v>706</v>
      </c>
      <c r="B1670" s="81" t="str">
        <f t="shared" si="1"/>
        <v>Kota Makassar</v>
      </c>
      <c r="C1670" s="81" t="str">
        <f t="array" ref="C1670">XLOOKUP(B1670,Reference!$A$2:$A$152,Reference!$B$2:$B$152)</f>
        <v>Sulawesi Selatan</v>
      </c>
      <c r="D1670" s="82" t="s">
        <v>2109</v>
      </c>
      <c r="E1670" s="83">
        <v>45352.0</v>
      </c>
      <c r="F1670" s="84" t="str">
        <f t="array" ref="F1670">XLOOKUP(G1670,Reference!$F:$F,Reference!$D:$D,"null")</f>
        <v>Rumah Tangga</v>
      </c>
      <c r="G1670" s="85" t="s">
        <v>80</v>
      </c>
      <c r="H1670" s="86">
        <v>103.09</v>
      </c>
      <c r="I1670" s="86">
        <v>103.09</v>
      </c>
      <c r="J1670" s="87">
        <f t="shared" si="2"/>
        <v>0</v>
      </c>
      <c r="K1670" s="84" t="str">
        <f t="shared" si="3"/>
        <v>Stabil</v>
      </c>
      <c r="L1670" s="84">
        <f t="shared" si="4"/>
        <v>0</v>
      </c>
      <c r="M1670" s="88" t="str">
        <f t="shared" si="5"/>
        <v>Perubahan Normal</v>
      </c>
    </row>
    <row r="1671" ht="18.75" customHeight="1">
      <c r="A1671" s="80" t="s">
        <v>934</v>
      </c>
      <c r="B1671" s="81" t="str">
        <f t="shared" si="1"/>
        <v>Kab Kolaka</v>
      </c>
      <c r="C1671" s="81" t="str">
        <f t="array" ref="C1671">XLOOKUP(B1671,Reference!$A$2:$A$152,Reference!$B$2:$B$152)</f>
        <v>Sulawesi Tenggara</v>
      </c>
      <c r="D1671" s="82" t="s">
        <v>2110</v>
      </c>
      <c r="E1671" s="83">
        <v>45352.0</v>
      </c>
      <c r="F1671" s="84" t="str">
        <f t="array" ref="F1671">XLOOKUP(G1671,Reference!$F:$F,Reference!$D:$D,"null")</f>
        <v>Makanan dan Pakaian </v>
      </c>
      <c r="G1671" s="85" t="s">
        <v>72</v>
      </c>
      <c r="H1671" s="86">
        <v>100.6</v>
      </c>
      <c r="I1671" s="86">
        <v>100.0</v>
      </c>
      <c r="J1671" s="87">
        <f t="shared" si="2"/>
        <v>0.6</v>
      </c>
      <c r="K1671" s="84" t="str">
        <f t="shared" si="3"/>
        <v>Inflasi Tinggi</v>
      </c>
      <c r="L1671" s="84">
        <f t="shared" si="4"/>
        <v>0.6</v>
      </c>
      <c r="M1671" s="88" t="str">
        <f t="shared" si="5"/>
        <v>Akselerasi Persentase</v>
      </c>
    </row>
    <row r="1672" ht="18.75" customHeight="1">
      <c r="A1672" s="80" t="s">
        <v>364</v>
      </c>
      <c r="B1672" s="81" t="str">
        <f t="shared" si="1"/>
        <v>Kab Tanah Laut</v>
      </c>
      <c r="C1672" s="81" t="str">
        <f t="array" ref="C1672">XLOOKUP(B1672,Reference!$A$2:$A$152,Reference!$B$2:$B$152)</f>
        <v>Kalimantan Selatan</v>
      </c>
      <c r="D1672" s="82" t="s">
        <v>2111</v>
      </c>
      <c r="E1672" s="83">
        <v>45352.0</v>
      </c>
      <c r="F1672" s="84" t="str">
        <f t="array" ref="F1672">XLOOKUP(G1672,Reference!$F:$F,Reference!$D:$D,"null")</f>
        <v>Pendidikan dan Kesehatan</v>
      </c>
      <c r="G1672" s="85" t="s">
        <v>98</v>
      </c>
      <c r="H1672" s="86">
        <v>102.44</v>
      </c>
      <c r="I1672" s="86">
        <v>102.44</v>
      </c>
      <c r="J1672" s="87">
        <f t="shared" si="2"/>
        <v>0</v>
      </c>
      <c r="K1672" s="84" t="str">
        <f t="shared" si="3"/>
        <v>Stabil</v>
      </c>
      <c r="L1672" s="84">
        <f t="shared" si="4"/>
        <v>0</v>
      </c>
      <c r="M1672" s="88" t="str">
        <f t="shared" si="5"/>
        <v>Perubahan Normal</v>
      </c>
    </row>
    <row r="1673" ht="18.75" customHeight="1">
      <c r="A1673" s="80" t="s">
        <v>429</v>
      </c>
      <c r="B1673" s="81" t="str">
        <f t="shared" si="1"/>
        <v>Kab Nabire</v>
      </c>
      <c r="C1673" s="81" t="str">
        <f t="array" ref="C1673">XLOOKUP(B1673,Reference!$A$2:$A$152,Reference!$B$2:$B$152)</f>
        <v>Papua</v>
      </c>
      <c r="D1673" s="82" t="s">
        <v>2112</v>
      </c>
      <c r="E1673" s="83">
        <v>45323.0</v>
      </c>
      <c r="F1673" s="84" t="str">
        <f t="array" ref="F1673">XLOOKUP(G1673,Reference!$F:$F,Reference!$D:$D,"null")</f>
        <v>Rekreasi dan Kendaraan</v>
      </c>
      <c r="G1673" s="85" t="s">
        <v>102</v>
      </c>
      <c r="H1673" s="86">
        <v>108.94</v>
      </c>
      <c r="I1673" s="86">
        <v>105.7</v>
      </c>
      <c r="J1673" s="87">
        <f t="shared" si="2"/>
        <v>3.065279092</v>
      </c>
      <c r="K1673" s="84" t="str">
        <f t="shared" si="3"/>
        <v>Inflasi Tinggi</v>
      </c>
      <c r="L1673" s="84">
        <f t="shared" si="4"/>
        <v>3.24</v>
      </c>
      <c r="M1673" s="88" t="str">
        <f t="shared" si="5"/>
        <v>Akselerasi Kuat</v>
      </c>
    </row>
    <row r="1674" ht="18.75" customHeight="1">
      <c r="A1674" s="80" t="s">
        <v>401</v>
      </c>
      <c r="B1674" s="81" t="str">
        <f t="shared" si="1"/>
        <v>Kota Tual</v>
      </c>
      <c r="C1674" s="81" t="str">
        <f t="array" ref="C1674">XLOOKUP(B1674,Reference!$A$2:$A$152,Reference!$B$2:$B$152)</f>
        <v>Maluku</v>
      </c>
      <c r="D1674" s="82" t="s">
        <v>2113</v>
      </c>
      <c r="E1674" s="83">
        <v>45352.0</v>
      </c>
      <c r="F1674" s="84" t="str">
        <f t="array" ref="F1674">XLOOKUP(G1674,Reference!$F:$F,Reference!$D:$D,"null")</f>
        <v>Makanan dan Pakaian </v>
      </c>
      <c r="G1674" s="85" t="s">
        <v>48</v>
      </c>
      <c r="H1674" s="86">
        <v>106.58</v>
      </c>
      <c r="I1674" s="86">
        <v>106.19</v>
      </c>
      <c r="J1674" s="87">
        <f t="shared" si="2"/>
        <v>0.3672662209</v>
      </c>
      <c r="K1674" s="84" t="str">
        <f t="shared" si="3"/>
        <v>Inflasi Normal</v>
      </c>
      <c r="L1674" s="84">
        <f t="shared" si="4"/>
        <v>0.39</v>
      </c>
      <c r="M1674" s="88" t="str">
        <f t="shared" si="5"/>
        <v>Perubahan Normal</v>
      </c>
    </row>
    <row r="1675" ht="18.75" customHeight="1">
      <c r="A1675" s="80" t="s">
        <v>529</v>
      </c>
      <c r="B1675" s="81" t="str">
        <f t="shared" si="1"/>
        <v>Kota Yogyakarta</v>
      </c>
      <c r="C1675" s="81" t="str">
        <f t="array" ref="C1675">XLOOKUP(B1675,Reference!$A$2:$A$152,Reference!$B$2:$B$152)</f>
        <v>D.I. Yogyakarta</v>
      </c>
      <c r="D1675" s="82" t="s">
        <v>2114</v>
      </c>
      <c r="E1675" s="83">
        <v>45323.0</v>
      </c>
      <c r="F1675" s="84" t="str">
        <f t="array" ref="F1675">XLOOKUP(G1675,Reference!$F:$F,Reference!$D:$D,"null")</f>
        <v>Rekreasi dan Kendaraan</v>
      </c>
      <c r="G1675" s="85" t="s">
        <v>105</v>
      </c>
      <c r="H1675" s="86">
        <v>102.46</v>
      </c>
      <c r="I1675" s="86">
        <v>102.42</v>
      </c>
      <c r="J1675" s="87">
        <f t="shared" si="2"/>
        <v>0.0390548721</v>
      </c>
      <c r="K1675" s="84" t="str">
        <f t="shared" si="3"/>
        <v>Inflasi Normal</v>
      </c>
      <c r="L1675" s="84">
        <f t="shared" si="4"/>
        <v>0.04</v>
      </c>
      <c r="M1675" s="88" t="str">
        <f t="shared" si="5"/>
        <v>Perubahan Normal</v>
      </c>
    </row>
    <row r="1676" ht="18.75" customHeight="1">
      <c r="A1676" s="80" t="s">
        <v>296</v>
      </c>
      <c r="B1676" s="81" t="str">
        <f t="shared" si="1"/>
        <v>Kota Bogor</v>
      </c>
      <c r="C1676" s="81" t="str">
        <f t="array" ref="C1676">XLOOKUP(B1676,Reference!$A$2:$A$152,Reference!$B$2:$B$152)</f>
        <v>Jawa Barat</v>
      </c>
      <c r="D1676" s="82" t="s">
        <v>2115</v>
      </c>
      <c r="E1676" s="83">
        <v>45352.0</v>
      </c>
      <c r="F1676" s="84" t="str">
        <f t="array" ref="F1676">XLOOKUP(G1676,Reference!$F:$F,Reference!$D:$D,"null")</f>
        <v>Rumah Tangga</v>
      </c>
      <c r="G1676" s="85" t="s">
        <v>89</v>
      </c>
      <c r="H1676" s="86">
        <v>105.05</v>
      </c>
      <c r="I1676" s="86">
        <v>105.05</v>
      </c>
      <c r="J1676" s="87">
        <f t="shared" si="2"/>
        <v>0</v>
      </c>
      <c r="K1676" s="84" t="str">
        <f t="shared" si="3"/>
        <v>Stabil</v>
      </c>
      <c r="L1676" s="84">
        <f t="shared" si="4"/>
        <v>0</v>
      </c>
      <c r="M1676" s="88" t="str">
        <f t="shared" si="5"/>
        <v>Perubahan Normal</v>
      </c>
    </row>
    <row r="1677" ht="18.75" customHeight="1">
      <c r="A1677" s="80" t="s">
        <v>412</v>
      </c>
      <c r="B1677" s="81" t="str">
        <f t="shared" si="1"/>
        <v>Cilacap</v>
      </c>
      <c r="C1677" s="81" t="str">
        <f t="array" ref="C1677">XLOOKUP(B1677,Reference!$A$2:$A$152,Reference!$B$2:$B$152)</f>
        <v>Jawa Tengah</v>
      </c>
      <c r="D1677" s="82" t="s">
        <v>2116</v>
      </c>
      <c r="E1677" s="83">
        <v>45352.0</v>
      </c>
      <c r="F1677" s="84" t="str">
        <f t="array" ref="F1677">XLOOKUP(G1677,Reference!$F:$F,Reference!$D:$D,"null")</f>
        <v>Rumah Tangga</v>
      </c>
      <c r="G1677" s="85" t="s">
        <v>84</v>
      </c>
      <c r="H1677" s="86">
        <v>100.8</v>
      </c>
      <c r="I1677" s="86">
        <v>100.8</v>
      </c>
      <c r="J1677" s="87">
        <f t="shared" si="2"/>
        <v>0</v>
      </c>
      <c r="K1677" s="84" t="str">
        <f t="shared" si="3"/>
        <v>Stabil</v>
      </c>
      <c r="L1677" s="84">
        <f t="shared" si="4"/>
        <v>0</v>
      </c>
      <c r="M1677" s="88" t="str">
        <f t="shared" si="5"/>
        <v>Perubahan Normal</v>
      </c>
    </row>
    <row r="1678" ht="18.75" customHeight="1">
      <c r="A1678" s="80" t="s">
        <v>594</v>
      </c>
      <c r="B1678" s="81" t="str">
        <f t="shared" si="1"/>
        <v>Kota Kendari</v>
      </c>
      <c r="C1678" s="81" t="str">
        <f t="array" ref="C1678">XLOOKUP(B1678,Reference!$A$2:$A$152,Reference!$B$2:$B$152)</f>
        <v>Sulawesi Tenggara</v>
      </c>
      <c r="D1678" s="82" t="s">
        <v>2117</v>
      </c>
      <c r="E1678" s="83">
        <v>45323.0</v>
      </c>
      <c r="F1678" s="84" t="str">
        <f t="array" ref="F1678">XLOOKUP(G1678,Reference!$F:$F,Reference!$D:$D,"null")</f>
        <v>Makanan dan Pakaian </v>
      </c>
      <c r="G1678" s="85" t="s">
        <v>56</v>
      </c>
      <c r="H1678" s="86">
        <v>104.42</v>
      </c>
      <c r="I1678" s="86">
        <v>104.47</v>
      </c>
      <c r="J1678" s="87">
        <f t="shared" si="2"/>
        <v>-0.04786062985</v>
      </c>
      <c r="K1678" s="84" t="str">
        <f t="shared" si="3"/>
        <v>Deflasi</v>
      </c>
      <c r="L1678" s="84">
        <f t="shared" si="4"/>
        <v>-0.05</v>
      </c>
      <c r="M1678" s="88" t="str">
        <f t="shared" si="5"/>
        <v>Perubahan Normal</v>
      </c>
    </row>
    <row r="1679" ht="18.75" customHeight="1">
      <c r="A1679" s="80" t="s">
        <v>302</v>
      </c>
      <c r="B1679" s="81" t="str">
        <f t="shared" si="1"/>
        <v>Kota Lubuk Linggau</v>
      </c>
      <c r="C1679" s="81" t="str">
        <f t="array" ref="C1679">XLOOKUP(B1679,Reference!$A$2:$A$152,Reference!$B$2:$B$152)</f>
        <v>Sumatera Selatan</v>
      </c>
      <c r="D1679" s="82" t="s">
        <v>2118</v>
      </c>
      <c r="E1679" s="83">
        <v>45352.0</v>
      </c>
      <c r="F1679" s="84" t="str">
        <f t="array" ref="F1679">XLOOKUP(G1679,Reference!$F:$F,Reference!$D:$D,"null")</f>
        <v>Pendidikan dan Kesehatan</v>
      </c>
      <c r="G1679" s="85" t="s">
        <v>95</v>
      </c>
      <c r="H1679" s="86">
        <v>102.78</v>
      </c>
      <c r="I1679" s="86">
        <v>102.78</v>
      </c>
      <c r="J1679" s="87">
        <f t="shared" si="2"/>
        <v>0</v>
      </c>
      <c r="K1679" s="84" t="str">
        <f t="shared" si="3"/>
        <v>Stabil</v>
      </c>
      <c r="L1679" s="84">
        <f t="shared" si="4"/>
        <v>0</v>
      </c>
      <c r="M1679" s="88" t="str">
        <f t="shared" si="5"/>
        <v>Perubahan Normal</v>
      </c>
    </row>
    <row r="1680" ht="18.75" customHeight="1">
      <c r="A1680" s="80" t="s">
        <v>631</v>
      </c>
      <c r="B1680" s="81" t="str">
        <f t="shared" si="1"/>
        <v>Kab Toli Toli</v>
      </c>
      <c r="C1680" s="81" t="str">
        <f t="array" ref="C1680">XLOOKUP(B1680,Reference!$A$2:$A$152,Reference!$B$2:$B$152)</f>
        <v>Sulawesi Tengah</v>
      </c>
      <c r="D1680" s="82" t="s">
        <v>2119</v>
      </c>
      <c r="E1680" s="83">
        <v>45352.0</v>
      </c>
      <c r="F1680" s="84" t="str">
        <f t="array" ref="F1680">XLOOKUP(G1680,Reference!$F:$F,Reference!$D:$D,"null")</f>
        <v>Pendidikan dan Kesehatan</v>
      </c>
      <c r="G1680" s="85" t="s">
        <v>95</v>
      </c>
      <c r="H1680" s="86">
        <v>100.0</v>
      </c>
      <c r="I1680" s="86">
        <v>100.0</v>
      </c>
      <c r="J1680" s="87">
        <f t="shared" si="2"/>
        <v>0</v>
      </c>
      <c r="K1680" s="84" t="str">
        <f t="shared" si="3"/>
        <v>Stabil</v>
      </c>
      <c r="L1680" s="84">
        <f t="shared" si="4"/>
        <v>0</v>
      </c>
      <c r="M1680" s="88" t="str">
        <f t="shared" si="5"/>
        <v>Perubahan Normal</v>
      </c>
    </row>
    <row r="1681" ht="18.75" customHeight="1">
      <c r="A1681" s="80" t="s">
        <v>294</v>
      </c>
      <c r="B1681" s="81" t="str">
        <f t="shared" si="1"/>
        <v>Kab Labuhanbatu</v>
      </c>
      <c r="C1681" s="81" t="str">
        <f t="array" ref="C1681">XLOOKUP(B1681,Reference!$A$2:$A$152,Reference!$B$2:$B$152)</f>
        <v>Sumatera Utara</v>
      </c>
      <c r="D1681" s="82" t="s">
        <v>2120</v>
      </c>
      <c r="E1681" s="83">
        <v>45352.0</v>
      </c>
      <c r="F1681" s="84" t="str">
        <f t="array" ref="F1681">XLOOKUP(G1681,Reference!$F:$F,Reference!$D:$D,"null")</f>
        <v>Rekreasi dan Kendaraan</v>
      </c>
      <c r="G1681" s="85" t="s">
        <v>102</v>
      </c>
      <c r="H1681" s="86">
        <v>109.39</v>
      </c>
      <c r="I1681" s="86">
        <v>109.6</v>
      </c>
      <c r="J1681" s="87">
        <f t="shared" si="2"/>
        <v>-0.1916058394</v>
      </c>
      <c r="K1681" s="84" t="str">
        <f t="shared" si="3"/>
        <v>Deflasi</v>
      </c>
      <c r="L1681" s="84">
        <f t="shared" si="4"/>
        <v>-0.21</v>
      </c>
      <c r="M1681" s="88" t="str">
        <f t="shared" si="5"/>
        <v>Perubahan Normal</v>
      </c>
    </row>
    <row r="1682" ht="18.75" customHeight="1">
      <c r="A1682" s="80" t="s">
        <v>337</v>
      </c>
      <c r="B1682" s="81" t="str">
        <f t="shared" si="1"/>
        <v>Merauke</v>
      </c>
      <c r="C1682" s="81" t="str">
        <f t="array" ref="C1682">XLOOKUP(B1682,Reference!$A$2:$A$152,Reference!$B$2:$B$152)</f>
        <v>Papua</v>
      </c>
      <c r="D1682" s="82" t="s">
        <v>2121</v>
      </c>
      <c r="E1682" s="83">
        <v>45352.0</v>
      </c>
      <c r="F1682" s="84" t="str">
        <f t="array" ref="F1682">XLOOKUP(G1682,Reference!$F:$F,Reference!$D:$D,"null")</f>
        <v>Rumah Tangga</v>
      </c>
      <c r="G1682" s="85" t="s">
        <v>84</v>
      </c>
      <c r="H1682" s="86">
        <v>100.21</v>
      </c>
      <c r="I1682" s="86">
        <v>100.21</v>
      </c>
      <c r="J1682" s="87">
        <f t="shared" si="2"/>
        <v>0</v>
      </c>
      <c r="K1682" s="84" t="str">
        <f t="shared" si="3"/>
        <v>Stabil</v>
      </c>
      <c r="L1682" s="84">
        <f t="shared" si="4"/>
        <v>0</v>
      </c>
      <c r="M1682" s="88" t="str">
        <f t="shared" si="5"/>
        <v>Perubahan Normal</v>
      </c>
    </row>
    <row r="1683" ht="18.75" customHeight="1">
      <c r="A1683" s="80" t="s">
        <v>616</v>
      </c>
      <c r="B1683" s="81" t="str">
        <f t="shared" si="1"/>
        <v>Kab Sorong</v>
      </c>
      <c r="C1683" s="81" t="str">
        <f t="array" ref="C1683">XLOOKUP(B1683,Reference!$A$2:$A$152,Reference!$B$2:$B$152)</f>
        <v>Papua Barat Daya</v>
      </c>
      <c r="D1683" s="82" t="s">
        <v>2122</v>
      </c>
      <c r="E1683" s="83">
        <v>45352.0</v>
      </c>
      <c r="F1683" s="84" t="str">
        <f t="array" ref="F1683">XLOOKUP(G1683,Reference!$F:$F,Reference!$D:$D,"null")</f>
        <v>Rumah Tangga</v>
      </c>
      <c r="G1683" s="85" t="s">
        <v>80</v>
      </c>
      <c r="H1683" s="86">
        <v>100.18</v>
      </c>
      <c r="I1683" s="86">
        <v>100.18</v>
      </c>
      <c r="J1683" s="87">
        <f t="shared" si="2"/>
        <v>0</v>
      </c>
      <c r="K1683" s="84" t="str">
        <f t="shared" si="3"/>
        <v>Stabil</v>
      </c>
      <c r="L1683" s="84">
        <f t="shared" si="4"/>
        <v>0</v>
      </c>
      <c r="M1683" s="88" t="str">
        <f t="shared" si="5"/>
        <v>Perubahan Normal</v>
      </c>
    </row>
    <row r="1684" ht="18.75" customHeight="1">
      <c r="A1684" s="80" t="s">
        <v>399</v>
      </c>
      <c r="B1684" s="81" t="str">
        <f t="shared" si="1"/>
        <v>Sampit</v>
      </c>
      <c r="C1684" s="81" t="str">
        <f t="array" ref="C1684">XLOOKUP(B1684,Reference!$A$2:$A$152,Reference!$B$2:$B$152)</f>
        <v>Kalimantan Tengah</v>
      </c>
      <c r="D1684" s="82" t="s">
        <v>2123</v>
      </c>
      <c r="E1684" s="83">
        <v>45323.0</v>
      </c>
      <c r="F1684" s="84" t="str">
        <f t="array" ref="F1684">XLOOKUP(G1684,Reference!$F:$F,Reference!$D:$D,"null")</f>
        <v>Makanan dan Pakaian </v>
      </c>
      <c r="G1684" s="85" t="s">
        <v>64</v>
      </c>
      <c r="H1684" s="86">
        <v>101.34</v>
      </c>
      <c r="I1684" s="86">
        <v>101.33</v>
      </c>
      <c r="J1684" s="87">
        <f t="shared" si="2"/>
        <v>0.009868745682</v>
      </c>
      <c r="K1684" s="84" t="str">
        <f t="shared" si="3"/>
        <v>Inflasi Normal</v>
      </c>
      <c r="L1684" s="84">
        <f t="shared" si="4"/>
        <v>0.01</v>
      </c>
      <c r="M1684" s="88" t="str">
        <f t="shared" si="5"/>
        <v>Perubahan Normal</v>
      </c>
    </row>
    <row r="1685" ht="18.75" customHeight="1">
      <c r="A1685" s="80" t="s">
        <v>454</v>
      </c>
      <c r="B1685" s="81" t="str">
        <f t="shared" si="1"/>
        <v>Kab Ketapang</v>
      </c>
      <c r="C1685" s="81" t="str">
        <f t="array" ref="C1685">XLOOKUP(B1685,Reference!$A$2:$A$152,Reference!$B$2:$B$152)</f>
        <v>Kalimantan Barat</v>
      </c>
      <c r="D1685" s="82" t="s">
        <v>2124</v>
      </c>
      <c r="E1685" s="83">
        <v>45352.0</v>
      </c>
      <c r="F1685" s="84" t="str">
        <f t="array" ref="F1685">XLOOKUP(G1685,Reference!$F:$F,Reference!$D:$D,"null")</f>
        <v>Rekreasi dan Kendaraan</v>
      </c>
      <c r="G1685" s="85" t="s">
        <v>102</v>
      </c>
      <c r="H1685" s="86">
        <v>103.08</v>
      </c>
      <c r="I1685" s="86">
        <v>103.08</v>
      </c>
      <c r="J1685" s="87">
        <f t="shared" si="2"/>
        <v>0</v>
      </c>
      <c r="K1685" s="84" t="str">
        <f t="shared" si="3"/>
        <v>Stabil</v>
      </c>
      <c r="L1685" s="84">
        <f t="shared" si="4"/>
        <v>0</v>
      </c>
      <c r="M1685" s="88" t="str">
        <f t="shared" si="5"/>
        <v>Perubahan Normal</v>
      </c>
    </row>
    <row r="1686" ht="18.75" customHeight="1">
      <c r="A1686" s="80" t="s">
        <v>598</v>
      </c>
      <c r="B1686" s="81" t="str">
        <f t="shared" si="1"/>
        <v>Kota Surakarta</v>
      </c>
      <c r="C1686" s="81" t="str">
        <f t="array" ref="C1686">XLOOKUP(B1686,Reference!$A$2:$A$152,Reference!$B$2:$B$152)</f>
        <v>Jawa Tengah</v>
      </c>
      <c r="D1686" s="82" t="s">
        <v>2125</v>
      </c>
      <c r="E1686" s="83">
        <v>45323.0</v>
      </c>
      <c r="F1686" s="84" t="str">
        <f t="array" ref="F1686">XLOOKUP(G1686,Reference!$F:$F,Reference!$D:$D,"null")</f>
        <v>Rekreasi dan Kendaraan</v>
      </c>
      <c r="G1686" s="85" t="s">
        <v>105</v>
      </c>
      <c r="H1686" s="86">
        <v>102.12</v>
      </c>
      <c r="I1686" s="86">
        <v>102.12</v>
      </c>
      <c r="J1686" s="87">
        <f t="shared" si="2"/>
        <v>0</v>
      </c>
      <c r="K1686" s="84" t="str">
        <f t="shared" si="3"/>
        <v>Stabil</v>
      </c>
      <c r="L1686" s="84">
        <f t="shared" si="4"/>
        <v>0</v>
      </c>
      <c r="M1686" s="88" t="str">
        <f t="shared" si="5"/>
        <v>Perubahan Normal</v>
      </c>
    </row>
    <row r="1687" ht="18.75" customHeight="1">
      <c r="A1687" s="80" t="s">
        <v>340</v>
      </c>
      <c r="B1687" s="81" t="str">
        <f t="shared" si="1"/>
        <v>Kab Rembang</v>
      </c>
      <c r="C1687" s="81" t="str">
        <f t="array" ref="C1687">XLOOKUP(B1687,Reference!$A$2:$A$152,Reference!$B$2:$B$152)</f>
        <v>Jawa Tengah</v>
      </c>
      <c r="D1687" s="82" t="s">
        <v>2126</v>
      </c>
      <c r="E1687" s="83">
        <v>45352.0</v>
      </c>
      <c r="F1687" s="84" t="str">
        <f t="array" ref="F1687">XLOOKUP(G1687,Reference!$F:$F,Reference!$D:$D,"null")</f>
        <v>Rumah Tangga</v>
      </c>
      <c r="G1687" s="85" t="s">
        <v>89</v>
      </c>
      <c r="H1687" s="86">
        <v>113.54</v>
      </c>
      <c r="I1687" s="86">
        <v>113.46</v>
      </c>
      <c r="J1687" s="87">
        <f t="shared" si="2"/>
        <v>0.07050943064</v>
      </c>
      <c r="K1687" s="84" t="str">
        <f t="shared" si="3"/>
        <v>Inflasi Normal</v>
      </c>
      <c r="L1687" s="84">
        <f t="shared" si="4"/>
        <v>0.08</v>
      </c>
      <c r="M1687" s="88" t="str">
        <f t="shared" si="5"/>
        <v>Perubahan Normal</v>
      </c>
    </row>
    <row r="1688" ht="18.75" customHeight="1">
      <c r="A1688" s="80" t="s">
        <v>401</v>
      </c>
      <c r="B1688" s="81" t="str">
        <f t="shared" si="1"/>
        <v>Kota Tual</v>
      </c>
      <c r="C1688" s="81" t="str">
        <f t="array" ref="C1688">XLOOKUP(B1688,Reference!$A$2:$A$152,Reference!$B$2:$B$152)</f>
        <v>Maluku</v>
      </c>
      <c r="D1688" s="82" t="s">
        <v>2127</v>
      </c>
      <c r="E1688" s="83">
        <v>45323.0</v>
      </c>
      <c r="F1688" s="84" t="str">
        <f t="array" ref="F1688">XLOOKUP(G1688,Reference!$F:$F,Reference!$D:$D,"null")</f>
        <v>Rumah Tangga</v>
      </c>
      <c r="G1688" s="85" t="s">
        <v>80</v>
      </c>
      <c r="H1688" s="86">
        <v>105.03</v>
      </c>
      <c r="I1688" s="86">
        <v>105.03</v>
      </c>
      <c r="J1688" s="87">
        <f t="shared" si="2"/>
        <v>0</v>
      </c>
      <c r="K1688" s="84" t="str">
        <f t="shared" si="3"/>
        <v>Stabil</v>
      </c>
      <c r="L1688" s="84">
        <f t="shared" si="4"/>
        <v>0</v>
      </c>
      <c r="M1688" s="88" t="str">
        <f t="shared" si="5"/>
        <v>Perubahan Normal</v>
      </c>
    </row>
    <row r="1689" ht="18.75" customHeight="1">
      <c r="A1689" s="80" t="s">
        <v>592</v>
      </c>
      <c r="B1689" s="81" t="str">
        <f t="shared" si="1"/>
        <v>Kab Lampung Timur</v>
      </c>
      <c r="C1689" s="81" t="str">
        <f t="array" ref="C1689">XLOOKUP(B1689,Reference!$A$2:$A$152,Reference!$B$2:$B$152)</f>
        <v>Lampung</v>
      </c>
      <c r="D1689" s="82" t="s">
        <v>2128</v>
      </c>
      <c r="E1689" s="83">
        <v>45352.0</v>
      </c>
      <c r="F1689" s="84" t="str">
        <f t="array" ref="F1689">XLOOKUP(G1689,Reference!$F:$F,Reference!$D:$D,"null")</f>
        <v>Makanan dan Pakaian </v>
      </c>
      <c r="G1689" s="85" t="s">
        <v>64</v>
      </c>
      <c r="H1689" s="86">
        <v>115.28</v>
      </c>
      <c r="I1689" s="86">
        <v>113.58</v>
      </c>
      <c r="J1689" s="87">
        <f t="shared" si="2"/>
        <v>1.496742384</v>
      </c>
      <c r="K1689" s="84" t="str">
        <f t="shared" si="3"/>
        <v>Inflasi Tinggi</v>
      </c>
      <c r="L1689" s="84">
        <f t="shared" si="4"/>
        <v>1.7</v>
      </c>
      <c r="M1689" s="88" t="str">
        <f t="shared" si="5"/>
        <v>Akselerasi Persentase</v>
      </c>
    </row>
    <row r="1690" ht="18.75" customHeight="1">
      <c r="A1690" s="80" t="s">
        <v>529</v>
      </c>
      <c r="B1690" s="81" t="str">
        <f t="shared" si="1"/>
        <v>Kota Yogyakarta</v>
      </c>
      <c r="C1690" s="81" t="str">
        <f t="array" ref="C1690">XLOOKUP(B1690,Reference!$A$2:$A$152,Reference!$B$2:$B$152)</f>
        <v>D.I. Yogyakarta</v>
      </c>
      <c r="D1690" s="82" t="s">
        <v>2129</v>
      </c>
      <c r="E1690" s="83">
        <v>45323.0</v>
      </c>
      <c r="F1690" s="84" t="str">
        <f t="array" ref="F1690">XLOOKUP(G1690,Reference!$F:$F,Reference!$D:$D,"null")</f>
        <v>Rumah Tangga</v>
      </c>
      <c r="G1690" s="85" t="s">
        <v>80</v>
      </c>
      <c r="H1690" s="86">
        <v>102.6</v>
      </c>
      <c r="I1690" s="86">
        <v>102.6</v>
      </c>
      <c r="J1690" s="87">
        <f t="shared" si="2"/>
        <v>0</v>
      </c>
      <c r="K1690" s="84" t="str">
        <f t="shared" si="3"/>
        <v>Stabil</v>
      </c>
      <c r="L1690" s="84">
        <f t="shared" si="4"/>
        <v>0</v>
      </c>
      <c r="M1690" s="88" t="str">
        <f t="shared" si="5"/>
        <v>Perubahan Normal</v>
      </c>
    </row>
    <row r="1691" ht="18.75" customHeight="1">
      <c r="A1691" s="80" t="s">
        <v>454</v>
      </c>
      <c r="B1691" s="81" t="str">
        <f t="shared" si="1"/>
        <v>Kab Ketapang</v>
      </c>
      <c r="C1691" s="81" t="str">
        <f t="array" ref="C1691">XLOOKUP(B1691,Reference!$A$2:$A$152,Reference!$B$2:$B$152)</f>
        <v>Kalimantan Barat</v>
      </c>
      <c r="D1691" s="82" t="s">
        <v>2130</v>
      </c>
      <c r="E1691" s="83">
        <v>45352.0</v>
      </c>
      <c r="F1691" s="84" t="str">
        <f t="array" ref="F1691">XLOOKUP(G1691,Reference!$F:$F,Reference!$D:$D,"null")</f>
        <v>Rekreasi dan Kendaraan</v>
      </c>
      <c r="G1691" s="85" t="s">
        <v>105</v>
      </c>
      <c r="H1691" s="86">
        <v>102.44</v>
      </c>
      <c r="I1691" s="86">
        <v>102.21</v>
      </c>
      <c r="J1691" s="87">
        <f t="shared" si="2"/>
        <v>0.2250269054</v>
      </c>
      <c r="K1691" s="84" t="str">
        <f t="shared" si="3"/>
        <v>Inflasi Normal</v>
      </c>
      <c r="L1691" s="84">
        <f t="shared" si="4"/>
        <v>0.23</v>
      </c>
      <c r="M1691" s="88" t="str">
        <f t="shared" si="5"/>
        <v>Perubahan Normal</v>
      </c>
    </row>
    <row r="1692" ht="18.75" customHeight="1">
      <c r="A1692" s="80" t="s">
        <v>497</v>
      </c>
      <c r="B1692" s="81" t="str">
        <f t="shared" si="1"/>
        <v>Tanjung Pandan</v>
      </c>
      <c r="C1692" s="81" t="str">
        <f t="array" ref="C1692">XLOOKUP(B1692,Reference!$A$2:$A$152,Reference!$B$2:$B$152)</f>
        <v>Kepulauan Bangka Belitung</v>
      </c>
      <c r="D1692" s="82" t="s">
        <v>2131</v>
      </c>
      <c r="E1692" s="83">
        <v>45352.0</v>
      </c>
      <c r="F1692" s="84" t="str">
        <f t="array" ref="F1692">XLOOKUP(G1692,Reference!$F:$F,Reference!$D:$D,"null")</f>
        <v>Makanan dan Pakaian </v>
      </c>
      <c r="G1692" s="85" t="s">
        <v>72</v>
      </c>
      <c r="H1692" s="86">
        <v>102.63</v>
      </c>
      <c r="I1692" s="86">
        <v>102.63</v>
      </c>
      <c r="J1692" s="87">
        <f t="shared" si="2"/>
        <v>0</v>
      </c>
      <c r="K1692" s="84" t="str">
        <f t="shared" si="3"/>
        <v>Stabil</v>
      </c>
      <c r="L1692" s="84">
        <f t="shared" si="4"/>
        <v>0</v>
      </c>
      <c r="M1692" s="88" t="str">
        <f t="shared" si="5"/>
        <v>Perubahan Normal</v>
      </c>
    </row>
    <row r="1693" ht="18.75" customHeight="1">
      <c r="A1693" s="80" t="s">
        <v>658</v>
      </c>
      <c r="B1693" s="81" t="str">
        <f t="shared" si="1"/>
        <v>Kota Mataram</v>
      </c>
      <c r="C1693" s="81" t="str">
        <f t="array" ref="C1693">XLOOKUP(B1693,Reference!$A$2:$A$152,Reference!$B$2:$B$152)</f>
        <v>Nusa Tenggara Barat (NTB)</v>
      </c>
      <c r="D1693" s="82" t="s">
        <v>2132</v>
      </c>
      <c r="E1693" s="83">
        <v>45352.0</v>
      </c>
      <c r="F1693" s="84" t="str">
        <f t="array" ref="F1693">XLOOKUP(G1693,Reference!$F:$F,Reference!$D:$D,"null")</f>
        <v>Pendidikan dan Kesehatan</v>
      </c>
      <c r="G1693" s="85" t="s">
        <v>98</v>
      </c>
      <c r="H1693" s="86">
        <v>100.95</v>
      </c>
      <c r="I1693" s="86">
        <v>100.99</v>
      </c>
      <c r="J1693" s="87">
        <f t="shared" si="2"/>
        <v>-0.03960788197</v>
      </c>
      <c r="K1693" s="84" t="str">
        <f t="shared" si="3"/>
        <v>Deflasi</v>
      </c>
      <c r="L1693" s="84">
        <f t="shared" si="4"/>
        <v>-0.04</v>
      </c>
      <c r="M1693" s="88" t="str">
        <f t="shared" si="5"/>
        <v>Perubahan Normal</v>
      </c>
    </row>
    <row r="1694" ht="18.75" customHeight="1">
      <c r="A1694" s="80" t="s">
        <v>320</v>
      </c>
      <c r="B1694" s="81" t="str">
        <f t="shared" si="1"/>
        <v>Kota Manado</v>
      </c>
      <c r="C1694" s="81" t="str">
        <f t="array" ref="C1694">XLOOKUP(B1694,Reference!$A$2:$A$152,Reference!$B$2:$B$152)</f>
        <v>Sulawesi Utara</v>
      </c>
      <c r="D1694" s="82" t="s">
        <v>2133</v>
      </c>
      <c r="E1694" s="83">
        <v>45323.0</v>
      </c>
      <c r="F1694" s="84" t="str">
        <f t="array" ref="F1694">XLOOKUP(G1694,Reference!$F:$F,Reference!$D:$D,"null")</f>
        <v>Rumah Tangga</v>
      </c>
      <c r="G1694" s="85" t="s">
        <v>80</v>
      </c>
      <c r="H1694" s="86">
        <v>100.05</v>
      </c>
      <c r="I1694" s="86">
        <v>100.05</v>
      </c>
      <c r="J1694" s="87">
        <f t="shared" si="2"/>
        <v>0</v>
      </c>
      <c r="K1694" s="84" t="str">
        <f t="shared" si="3"/>
        <v>Stabil</v>
      </c>
      <c r="L1694" s="84">
        <f t="shared" si="4"/>
        <v>0</v>
      </c>
      <c r="M1694" s="88" t="str">
        <f t="shared" si="5"/>
        <v>Perubahan Normal</v>
      </c>
    </row>
    <row r="1695" ht="18.75" customHeight="1">
      <c r="A1695" s="80" t="s">
        <v>397</v>
      </c>
      <c r="B1695" s="81" t="str">
        <f t="shared" si="1"/>
        <v>Kota Pematangsiantar</v>
      </c>
      <c r="C1695" s="81" t="str">
        <f t="array" ref="C1695">XLOOKUP(B1695,Reference!$A$2:$A$152,Reference!$B$2:$B$152)</f>
        <v>Sumatera Utara</v>
      </c>
      <c r="D1695" s="82" t="s">
        <v>2134</v>
      </c>
      <c r="E1695" s="83">
        <v>45323.0</v>
      </c>
      <c r="F1695" s="84" t="str">
        <f t="array" ref="F1695">XLOOKUP(G1695,Reference!$F:$F,Reference!$D:$D,"null")</f>
        <v>Rumah Tangga</v>
      </c>
      <c r="G1695" s="85" t="s">
        <v>84</v>
      </c>
      <c r="H1695" s="86">
        <v>101.34</v>
      </c>
      <c r="I1695" s="86">
        <v>101.34</v>
      </c>
      <c r="J1695" s="87">
        <f t="shared" si="2"/>
        <v>0</v>
      </c>
      <c r="K1695" s="84" t="str">
        <f t="shared" si="3"/>
        <v>Stabil</v>
      </c>
      <c r="L1695" s="84">
        <f t="shared" si="4"/>
        <v>0</v>
      </c>
      <c r="M1695" s="88" t="str">
        <f t="shared" si="5"/>
        <v>Perubahan Normal</v>
      </c>
    </row>
    <row r="1696" ht="18.75" customHeight="1">
      <c r="A1696" s="80" t="s">
        <v>340</v>
      </c>
      <c r="B1696" s="81" t="str">
        <f t="shared" si="1"/>
        <v>Kab Rembang</v>
      </c>
      <c r="C1696" s="81" t="str">
        <f t="array" ref="C1696">XLOOKUP(B1696,Reference!$A$2:$A$152,Reference!$B$2:$B$152)</f>
        <v>Jawa Tengah</v>
      </c>
      <c r="D1696" s="82" t="s">
        <v>2135</v>
      </c>
      <c r="E1696" s="83">
        <v>45323.0</v>
      </c>
      <c r="F1696" s="84" t="str">
        <f t="array" ref="F1696">XLOOKUP(G1696,Reference!$F:$F,Reference!$D:$D,"null")</f>
        <v>Rekreasi dan Kendaraan</v>
      </c>
      <c r="G1696" s="85" t="s">
        <v>102</v>
      </c>
      <c r="H1696" s="86">
        <v>109.97</v>
      </c>
      <c r="I1696" s="86">
        <v>106.07</v>
      </c>
      <c r="J1696" s="87">
        <f t="shared" si="2"/>
        <v>3.676817196</v>
      </c>
      <c r="K1696" s="84" t="str">
        <f t="shared" si="3"/>
        <v>Inflasi Tinggi</v>
      </c>
      <c r="L1696" s="84">
        <f t="shared" si="4"/>
        <v>3.9</v>
      </c>
      <c r="M1696" s="88" t="str">
        <f t="shared" si="5"/>
        <v>Akselerasi Kuat</v>
      </c>
    </row>
    <row r="1697" ht="18.75" customHeight="1">
      <c r="A1697" s="80" t="s">
        <v>573</v>
      </c>
      <c r="B1697" s="81" t="str">
        <f t="shared" si="1"/>
        <v>Kota Palangkaraya</v>
      </c>
      <c r="C1697" s="81" t="str">
        <f t="array" ref="C1697">XLOOKUP(B1697,Reference!$A$2:$A$152,Reference!$B$2:$B$152)</f>
        <v>Kalimantan Tengah</v>
      </c>
      <c r="D1697" s="82" t="s">
        <v>2136</v>
      </c>
      <c r="E1697" s="83">
        <v>45352.0</v>
      </c>
      <c r="F1697" s="84" t="str">
        <f t="array" ref="F1697">XLOOKUP(G1697,Reference!$F:$F,Reference!$D:$D,"null")</f>
        <v>Rekreasi dan Kendaraan</v>
      </c>
      <c r="G1697" s="85" t="s">
        <v>105</v>
      </c>
      <c r="H1697" s="86">
        <v>104.42</v>
      </c>
      <c r="I1697" s="86">
        <v>103.16</v>
      </c>
      <c r="J1697" s="87">
        <f t="shared" si="2"/>
        <v>1.221403645</v>
      </c>
      <c r="K1697" s="84" t="str">
        <f t="shared" si="3"/>
        <v>Inflasi Tinggi</v>
      </c>
      <c r="L1697" s="84">
        <f t="shared" si="4"/>
        <v>1.26</v>
      </c>
      <c r="M1697" s="88" t="str">
        <f t="shared" si="5"/>
        <v>Akselerasi Persentase</v>
      </c>
    </row>
    <row r="1698" ht="18.75" customHeight="1">
      <c r="A1698" s="80" t="s">
        <v>578</v>
      </c>
      <c r="B1698" s="81" t="str">
        <f t="shared" si="1"/>
        <v>Kab Belitung Timur</v>
      </c>
      <c r="C1698" s="81" t="str">
        <f t="array" ref="C1698">XLOOKUP(B1698,Reference!$A$2:$A$152,Reference!$B$2:$B$152)</f>
        <v>Kepulauan Bangka Belitung</v>
      </c>
      <c r="D1698" s="82" t="s">
        <v>2137</v>
      </c>
      <c r="E1698" s="83">
        <v>45323.0</v>
      </c>
      <c r="F1698" s="84" t="str">
        <f t="array" ref="F1698">XLOOKUP(G1698,Reference!$F:$F,Reference!$D:$D,"null")</f>
        <v>Rumah Tangga</v>
      </c>
      <c r="G1698" s="85" t="s">
        <v>89</v>
      </c>
      <c r="H1698" s="86">
        <v>108.3</v>
      </c>
      <c r="I1698" s="86">
        <v>108.3</v>
      </c>
      <c r="J1698" s="87">
        <f t="shared" si="2"/>
        <v>0</v>
      </c>
      <c r="K1698" s="84" t="str">
        <f t="shared" si="3"/>
        <v>Stabil</v>
      </c>
      <c r="L1698" s="84">
        <f t="shared" si="4"/>
        <v>0</v>
      </c>
      <c r="M1698" s="88" t="str">
        <f t="shared" si="5"/>
        <v>Perubahan Normal</v>
      </c>
    </row>
    <row r="1699" ht="18.75" customHeight="1">
      <c r="A1699" s="80" t="s">
        <v>532</v>
      </c>
      <c r="B1699" s="81" t="str">
        <f t="shared" si="1"/>
        <v>Kota Palembang</v>
      </c>
      <c r="C1699" s="81" t="str">
        <f t="array" ref="C1699">XLOOKUP(B1699,Reference!$A$2:$A$152,Reference!$B$2:$B$152)</f>
        <v>Sumatera Selatan</v>
      </c>
      <c r="D1699" s="82" t="s">
        <v>2138</v>
      </c>
      <c r="E1699" s="83">
        <v>45352.0</v>
      </c>
      <c r="F1699" s="84" t="str">
        <f t="array" ref="F1699">XLOOKUP(G1699,Reference!$F:$F,Reference!$D:$D,"null")</f>
        <v>Makanan dan Pakaian </v>
      </c>
      <c r="G1699" s="85" t="s">
        <v>56</v>
      </c>
      <c r="H1699" s="86">
        <v>106.87</v>
      </c>
      <c r="I1699" s="86">
        <v>106.67</v>
      </c>
      <c r="J1699" s="87">
        <f t="shared" si="2"/>
        <v>0.1874941408</v>
      </c>
      <c r="K1699" s="84" t="str">
        <f t="shared" si="3"/>
        <v>Inflasi Normal</v>
      </c>
      <c r="L1699" s="84">
        <f t="shared" si="4"/>
        <v>0.2</v>
      </c>
      <c r="M1699" s="88" t="str">
        <f t="shared" si="5"/>
        <v>Perubahan Normal</v>
      </c>
    </row>
    <row r="1700" ht="18.75" customHeight="1">
      <c r="A1700" s="80" t="s">
        <v>669</v>
      </c>
      <c r="B1700" s="81" t="str">
        <f t="shared" si="1"/>
        <v>Kab Sidenreng Rappang</v>
      </c>
      <c r="C1700" s="81" t="str">
        <f t="array" ref="C1700">XLOOKUP(B1700,Reference!$A$2:$A$152,Reference!$B$2:$B$152)</f>
        <v>Sulawesi Selatan</v>
      </c>
      <c r="D1700" s="82" t="s">
        <v>2139</v>
      </c>
      <c r="E1700" s="83">
        <v>45323.0</v>
      </c>
      <c r="F1700" s="84" t="str">
        <f t="array" ref="F1700">XLOOKUP(G1700,Reference!$F:$F,Reference!$D:$D,"null")</f>
        <v>Makanan dan Pakaian </v>
      </c>
      <c r="G1700" s="85" t="s">
        <v>72</v>
      </c>
      <c r="H1700" s="86">
        <v>106.97</v>
      </c>
      <c r="I1700" s="86">
        <v>106.97</v>
      </c>
      <c r="J1700" s="87">
        <f t="shared" si="2"/>
        <v>0</v>
      </c>
      <c r="K1700" s="84" t="str">
        <f t="shared" si="3"/>
        <v>Stabil</v>
      </c>
      <c r="L1700" s="84">
        <f t="shared" si="4"/>
        <v>0</v>
      </c>
      <c r="M1700" s="88" t="str">
        <f t="shared" si="5"/>
        <v>Perubahan Normal</v>
      </c>
    </row>
    <row r="1701" ht="18.75" customHeight="1">
      <c r="A1701" s="80" t="s">
        <v>421</v>
      </c>
      <c r="B1701" s="81" t="str">
        <f t="shared" si="1"/>
        <v>Kab Halmahera Tengah</v>
      </c>
      <c r="C1701" s="81" t="str">
        <f t="array" ref="C1701">XLOOKUP(B1701,Reference!$A$2:$A$152,Reference!$B$2:$B$152)</f>
        <v>Maluku Utara</v>
      </c>
      <c r="D1701" s="82" t="s">
        <v>2140</v>
      </c>
      <c r="E1701" s="83">
        <v>45352.0</v>
      </c>
      <c r="F1701" s="84" t="str">
        <f t="array" ref="F1701">XLOOKUP(G1701,Reference!$F:$F,Reference!$D:$D,"null")</f>
        <v>Pendidikan dan Kesehatan</v>
      </c>
      <c r="G1701" s="85" t="s">
        <v>95</v>
      </c>
      <c r="H1701" s="86">
        <v>100.0</v>
      </c>
      <c r="I1701" s="86">
        <v>100.0</v>
      </c>
      <c r="J1701" s="87">
        <f t="shared" si="2"/>
        <v>0</v>
      </c>
      <c r="K1701" s="84" t="str">
        <f t="shared" si="3"/>
        <v>Stabil</v>
      </c>
      <c r="L1701" s="84">
        <f t="shared" si="4"/>
        <v>0</v>
      </c>
      <c r="M1701" s="88" t="str">
        <f t="shared" si="5"/>
        <v>Perubahan Normal</v>
      </c>
    </row>
    <row r="1702" ht="18.75" customHeight="1">
      <c r="A1702" s="80" t="s">
        <v>628</v>
      </c>
      <c r="B1702" s="81" t="str">
        <f t="shared" si="1"/>
        <v>Watampone</v>
      </c>
      <c r="C1702" s="81" t="str">
        <f t="array" ref="C1702">XLOOKUP(B1702,Reference!$A$2:$A$152,Reference!$B$2:$B$152)</f>
        <v>Sulawesi Selatan</v>
      </c>
      <c r="D1702" s="82" t="s">
        <v>2141</v>
      </c>
      <c r="E1702" s="83">
        <v>45323.0</v>
      </c>
      <c r="F1702" s="84" t="str">
        <f t="array" ref="F1702">XLOOKUP(G1702,Reference!$F:$F,Reference!$D:$D,"null")</f>
        <v>Rumah Tangga</v>
      </c>
      <c r="G1702" s="85" t="s">
        <v>80</v>
      </c>
      <c r="H1702" s="86">
        <v>101.58</v>
      </c>
      <c r="I1702" s="86">
        <v>101.58</v>
      </c>
      <c r="J1702" s="87">
        <f t="shared" si="2"/>
        <v>0</v>
      </c>
      <c r="K1702" s="84" t="str">
        <f t="shared" si="3"/>
        <v>Stabil</v>
      </c>
      <c r="L1702" s="84">
        <f t="shared" si="4"/>
        <v>0</v>
      </c>
      <c r="M1702" s="88" t="str">
        <f t="shared" si="5"/>
        <v>Perubahan Normal</v>
      </c>
    </row>
    <row r="1703" ht="18.75" customHeight="1">
      <c r="A1703" s="80" t="s">
        <v>822</v>
      </c>
      <c r="B1703" s="81" t="str">
        <f t="shared" si="1"/>
        <v>Kota Pontianak</v>
      </c>
      <c r="C1703" s="81" t="str">
        <f t="array" ref="C1703">XLOOKUP(B1703,Reference!$A$2:$A$152,Reference!$B$2:$B$152)</f>
        <v>Kalimantan Barat</v>
      </c>
      <c r="D1703" s="82" t="s">
        <v>2142</v>
      </c>
      <c r="E1703" s="83">
        <v>45323.0</v>
      </c>
      <c r="F1703" s="84" t="str">
        <f t="array" ref="F1703">XLOOKUP(G1703,Reference!$F:$F,Reference!$D:$D,"null")</f>
        <v>Rumah Tangga</v>
      </c>
      <c r="G1703" s="85" t="s">
        <v>89</v>
      </c>
      <c r="H1703" s="86">
        <v>112.56</v>
      </c>
      <c r="I1703" s="86">
        <v>112.56</v>
      </c>
      <c r="J1703" s="87">
        <f t="shared" si="2"/>
        <v>0</v>
      </c>
      <c r="K1703" s="84" t="str">
        <f t="shared" si="3"/>
        <v>Stabil</v>
      </c>
      <c r="L1703" s="84">
        <f t="shared" si="4"/>
        <v>0</v>
      </c>
      <c r="M1703" s="88" t="str">
        <f t="shared" si="5"/>
        <v>Perubahan Normal</v>
      </c>
    </row>
    <row r="1704" ht="18.75" customHeight="1">
      <c r="A1704" s="80" t="s">
        <v>841</v>
      </c>
      <c r="B1704" s="81" t="str">
        <f t="shared" si="1"/>
        <v>Kab Morowali</v>
      </c>
      <c r="C1704" s="81" t="str">
        <f t="array" ref="C1704">XLOOKUP(B1704,Reference!$A$2:$A$152,Reference!$B$2:$B$152)</f>
        <v>Sulawesi Tengah</v>
      </c>
      <c r="D1704" s="82" t="s">
        <v>2143</v>
      </c>
      <c r="E1704" s="83">
        <v>45352.0</v>
      </c>
      <c r="F1704" s="84" t="str">
        <f t="array" ref="F1704">XLOOKUP(G1704,Reference!$F:$F,Reference!$D:$D,"null")</f>
        <v>Rumah Tangga</v>
      </c>
      <c r="G1704" s="85" t="s">
        <v>89</v>
      </c>
      <c r="H1704" s="86">
        <v>104.87</v>
      </c>
      <c r="I1704" s="86">
        <v>104.87</v>
      </c>
      <c r="J1704" s="87">
        <f t="shared" si="2"/>
        <v>0</v>
      </c>
      <c r="K1704" s="84" t="str">
        <f t="shared" si="3"/>
        <v>Stabil</v>
      </c>
      <c r="L1704" s="84">
        <f t="shared" si="4"/>
        <v>0</v>
      </c>
      <c r="M1704" s="88" t="str">
        <f t="shared" si="5"/>
        <v>Perubahan Normal</v>
      </c>
    </row>
    <row r="1705" ht="18.75" customHeight="1">
      <c r="A1705" s="80" t="s">
        <v>837</v>
      </c>
      <c r="B1705" s="81" t="str">
        <f t="shared" si="1"/>
        <v>Kab Luwu Timur</v>
      </c>
      <c r="C1705" s="81" t="str">
        <f t="array" ref="C1705">XLOOKUP(B1705,Reference!$A$2:$A$152,Reference!$B$2:$B$152)</f>
        <v>Sulawesi Selatan</v>
      </c>
      <c r="D1705" s="82" t="s">
        <v>2144</v>
      </c>
      <c r="E1705" s="83">
        <v>45323.0</v>
      </c>
      <c r="F1705" s="84" t="str">
        <f t="array" ref="F1705">XLOOKUP(G1705,Reference!$F:$F,Reference!$D:$D,"null")</f>
        <v>Pendidikan dan Kesehatan</v>
      </c>
      <c r="G1705" s="85" t="s">
        <v>98</v>
      </c>
      <c r="H1705" s="86">
        <v>98.14</v>
      </c>
      <c r="I1705" s="86">
        <v>98.36</v>
      </c>
      <c r="J1705" s="87">
        <f t="shared" si="2"/>
        <v>-0.2236681578</v>
      </c>
      <c r="K1705" s="84" t="str">
        <f t="shared" si="3"/>
        <v>Deflasi</v>
      </c>
      <c r="L1705" s="84">
        <f t="shared" si="4"/>
        <v>-0.22</v>
      </c>
      <c r="M1705" s="88" t="str">
        <f t="shared" si="5"/>
        <v>Perubahan Normal</v>
      </c>
    </row>
    <row r="1706" ht="18.75" customHeight="1">
      <c r="A1706" s="80" t="s">
        <v>631</v>
      </c>
      <c r="B1706" s="81" t="str">
        <f t="shared" si="1"/>
        <v>Kab Toli Toli</v>
      </c>
      <c r="C1706" s="81" t="str">
        <f t="array" ref="C1706">XLOOKUP(B1706,Reference!$A$2:$A$152,Reference!$B$2:$B$152)</f>
        <v>Sulawesi Tengah</v>
      </c>
      <c r="D1706" s="82" t="s">
        <v>2145</v>
      </c>
      <c r="E1706" s="83">
        <v>45323.0</v>
      </c>
      <c r="F1706" s="84" t="str">
        <f t="array" ref="F1706">XLOOKUP(G1706,Reference!$F:$F,Reference!$D:$D,"null")</f>
        <v>Makanan dan Pakaian </v>
      </c>
      <c r="G1706" s="85" t="s">
        <v>72</v>
      </c>
      <c r="H1706" s="86">
        <v>114.88</v>
      </c>
      <c r="I1706" s="86">
        <v>114.88</v>
      </c>
      <c r="J1706" s="87">
        <f t="shared" si="2"/>
        <v>0</v>
      </c>
      <c r="K1706" s="84" t="str">
        <f t="shared" si="3"/>
        <v>Stabil</v>
      </c>
      <c r="L1706" s="84">
        <f t="shared" si="4"/>
        <v>0</v>
      </c>
      <c r="M1706" s="88" t="str">
        <f t="shared" si="5"/>
        <v>Perubahan Normal</v>
      </c>
    </row>
    <row r="1707" ht="18.75" customHeight="1">
      <c r="A1707" s="80" t="s">
        <v>592</v>
      </c>
      <c r="B1707" s="81" t="str">
        <f t="shared" si="1"/>
        <v>Kab Lampung Timur</v>
      </c>
      <c r="C1707" s="81" t="str">
        <f t="array" ref="C1707">XLOOKUP(B1707,Reference!$A$2:$A$152,Reference!$B$2:$B$152)</f>
        <v>Lampung</v>
      </c>
      <c r="D1707" s="82" t="s">
        <v>2146</v>
      </c>
      <c r="E1707" s="83">
        <v>45323.0</v>
      </c>
      <c r="F1707" s="84" t="str">
        <f t="array" ref="F1707">XLOOKUP(G1707,Reference!$F:$F,Reference!$D:$D,"null")</f>
        <v>Pendidikan dan Kesehatan</v>
      </c>
      <c r="G1707" s="89" t="s">
        <v>98</v>
      </c>
      <c r="H1707" s="90">
        <v>102.44</v>
      </c>
      <c r="I1707" s="90">
        <v>102.44</v>
      </c>
      <c r="J1707" s="87">
        <f t="shared" si="2"/>
        <v>0</v>
      </c>
      <c r="K1707" s="84" t="str">
        <f t="shared" si="3"/>
        <v>Stabil</v>
      </c>
      <c r="L1707" s="91">
        <f t="shared" si="4"/>
        <v>0</v>
      </c>
      <c r="M1707" s="88" t="str">
        <f t="shared" si="5"/>
        <v>Perubahan Normal</v>
      </c>
    </row>
    <row r="1708" ht="18.75" customHeight="1">
      <c r="A1708" s="80" t="s">
        <v>1282</v>
      </c>
      <c r="B1708" s="81" t="str">
        <f t="shared" si="1"/>
        <v>Kota Bima</v>
      </c>
      <c r="C1708" s="81" t="str">
        <f t="array" ref="C1708">XLOOKUP(B1708,Reference!$A$2:$A$152,Reference!$B$2:$B$152)</f>
        <v>Nusa Tenggara Barat (NTB)</v>
      </c>
      <c r="D1708" s="82" t="s">
        <v>2147</v>
      </c>
      <c r="E1708" s="83">
        <v>45352.0</v>
      </c>
      <c r="F1708" s="84" t="str">
        <f t="array" ref="F1708">XLOOKUP(G1708,Reference!$F:$F,Reference!$D:$D,"null")</f>
        <v>Rumah Tangga</v>
      </c>
      <c r="G1708" s="85" t="s">
        <v>80</v>
      </c>
      <c r="H1708" s="86">
        <v>100.85</v>
      </c>
      <c r="I1708" s="86">
        <v>100.85</v>
      </c>
      <c r="J1708" s="87">
        <f t="shared" si="2"/>
        <v>0</v>
      </c>
      <c r="K1708" s="84" t="str">
        <f t="shared" si="3"/>
        <v>Stabil</v>
      </c>
      <c r="L1708" s="84">
        <f t="shared" si="4"/>
        <v>0</v>
      </c>
      <c r="M1708" s="88" t="str">
        <f t="shared" si="5"/>
        <v>Perubahan Normal</v>
      </c>
    </row>
    <row r="1709" ht="18.75" customHeight="1">
      <c r="A1709" s="80" t="s">
        <v>454</v>
      </c>
      <c r="B1709" s="81" t="str">
        <f t="shared" si="1"/>
        <v>Kab Ketapang</v>
      </c>
      <c r="C1709" s="81" t="str">
        <f t="array" ref="C1709">XLOOKUP(B1709,Reference!$A$2:$A$152,Reference!$B$2:$B$152)</f>
        <v>Kalimantan Barat</v>
      </c>
      <c r="D1709" s="82" t="s">
        <v>2148</v>
      </c>
      <c r="E1709" s="83">
        <v>45352.0</v>
      </c>
      <c r="F1709" s="84" t="str">
        <f t="array" ref="F1709">XLOOKUP(G1709,Reference!$F:$F,Reference!$D:$D,"null")</f>
        <v>Pendidikan dan Kesehatan</v>
      </c>
      <c r="G1709" s="85" t="s">
        <v>98</v>
      </c>
      <c r="H1709" s="86">
        <v>106.83</v>
      </c>
      <c r="I1709" s="86">
        <v>106.83</v>
      </c>
      <c r="J1709" s="87">
        <f t="shared" si="2"/>
        <v>0</v>
      </c>
      <c r="K1709" s="84" t="str">
        <f t="shared" si="3"/>
        <v>Stabil</v>
      </c>
      <c r="L1709" s="84">
        <f t="shared" si="4"/>
        <v>0</v>
      </c>
      <c r="M1709" s="88" t="str">
        <f t="shared" si="5"/>
        <v>Perubahan Normal</v>
      </c>
    </row>
    <row r="1710" ht="18.75" customHeight="1">
      <c r="A1710" s="80" t="s">
        <v>512</v>
      </c>
      <c r="B1710" s="81" t="str">
        <f t="shared" si="1"/>
        <v>Kota Palu</v>
      </c>
      <c r="C1710" s="81" t="str">
        <f t="array" ref="C1710">XLOOKUP(B1710,Reference!$A$2:$A$152,Reference!$B$2:$B$152)</f>
        <v>Sulawesi Tengah</v>
      </c>
      <c r="D1710" s="82" t="s">
        <v>2149</v>
      </c>
      <c r="E1710" s="83">
        <v>45352.0</v>
      </c>
      <c r="F1710" s="84" t="str">
        <f t="array" ref="F1710">XLOOKUP(G1710,Reference!$F:$F,Reference!$D:$D,"null")</f>
        <v>Makanan dan Pakaian </v>
      </c>
      <c r="G1710" s="85" t="s">
        <v>56</v>
      </c>
      <c r="H1710" s="86">
        <v>103.06</v>
      </c>
      <c r="I1710" s="86">
        <v>102.75</v>
      </c>
      <c r="J1710" s="87">
        <f t="shared" si="2"/>
        <v>0.301703163</v>
      </c>
      <c r="K1710" s="84" t="str">
        <f t="shared" si="3"/>
        <v>Inflasi Normal</v>
      </c>
      <c r="L1710" s="84">
        <f t="shared" si="4"/>
        <v>0.31</v>
      </c>
      <c r="M1710" s="88" t="str">
        <f t="shared" si="5"/>
        <v>Perubahan Normal</v>
      </c>
    </row>
    <row r="1711" ht="18.75" customHeight="1">
      <c r="A1711" s="80" t="s">
        <v>310</v>
      </c>
      <c r="B1711" s="81" t="str">
        <f t="shared" si="1"/>
        <v>Kab Kampar</v>
      </c>
      <c r="C1711" s="81" t="str">
        <f t="array" ref="C1711">XLOOKUP(B1711,Reference!$A$2:$A$152,Reference!$B$2:$B$152)</f>
        <v>Riau</v>
      </c>
      <c r="D1711" s="82" t="s">
        <v>2150</v>
      </c>
      <c r="E1711" s="83">
        <v>45323.0</v>
      </c>
      <c r="F1711" s="84" t="str">
        <f t="array" ref="F1711">XLOOKUP(G1711,Reference!$F:$F,Reference!$D:$D,"null")</f>
        <v>Pendidikan dan Kesehatan</v>
      </c>
      <c r="G1711" s="85" t="s">
        <v>98</v>
      </c>
      <c r="H1711" s="86">
        <v>112.74</v>
      </c>
      <c r="I1711" s="86">
        <v>113.0</v>
      </c>
      <c r="J1711" s="87">
        <f t="shared" si="2"/>
        <v>-0.2300884956</v>
      </c>
      <c r="K1711" s="84" t="str">
        <f t="shared" si="3"/>
        <v>Deflasi</v>
      </c>
      <c r="L1711" s="84">
        <f t="shared" si="4"/>
        <v>-0.26</v>
      </c>
      <c r="M1711" s="88" t="str">
        <f t="shared" si="5"/>
        <v>Perubahan Normal</v>
      </c>
    </row>
    <row r="1712" ht="18.75" customHeight="1">
      <c r="A1712" s="80" t="s">
        <v>990</v>
      </c>
      <c r="B1712" s="81" t="str">
        <f t="shared" si="1"/>
        <v>Kab Pandeglang</v>
      </c>
      <c r="C1712" s="81" t="str">
        <f t="array" ref="C1712">XLOOKUP(B1712,Reference!$A$2:$A$152,Reference!$B$2:$B$152)</f>
        <v>Banten</v>
      </c>
      <c r="D1712" s="82" t="s">
        <v>2151</v>
      </c>
      <c r="E1712" s="83">
        <v>45352.0</v>
      </c>
      <c r="F1712" s="84" t="str">
        <f t="array" ref="F1712">XLOOKUP(G1712,Reference!$F:$F,Reference!$D:$D,"null")</f>
        <v>Rumah Tangga</v>
      </c>
      <c r="G1712" s="85" t="s">
        <v>84</v>
      </c>
      <c r="H1712" s="86">
        <v>100.28</v>
      </c>
      <c r="I1712" s="86">
        <v>100.28</v>
      </c>
      <c r="J1712" s="87">
        <f t="shared" si="2"/>
        <v>0</v>
      </c>
      <c r="K1712" s="84" t="str">
        <f t="shared" si="3"/>
        <v>Stabil</v>
      </c>
      <c r="L1712" s="84">
        <f t="shared" si="4"/>
        <v>0</v>
      </c>
      <c r="M1712" s="88" t="str">
        <f t="shared" si="5"/>
        <v>Perubahan Normal</v>
      </c>
    </row>
    <row r="1713" ht="18.75" customHeight="1">
      <c r="A1713" s="80" t="s">
        <v>370</v>
      </c>
      <c r="B1713" s="81" t="str">
        <f t="shared" si="1"/>
        <v>Jember</v>
      </c>
      <c r="C1713" s="81" t="str">
        <f t="array" ref="C1713">XLOOKUP(B1713,Reference!$A$2:$A$152,Reference!$B$2:$B$152)</f>
        <v>Jawa Timur</v>
      </c>
      <c r="D1713" s="82" t="s">
        <v>2152</v>
      </c>
      <c r="E1713" s="83">
        <v>45323.0</v>
      </c>
      <c r="F1713" s="84" t="str">
        <f t="array" ref="F1713">XLOOKUP(G1713,Reference!$F:$F,Reference!$D:$D,"null")</f>
        <v>Pendidikan dan Kesehatan</v>
      </c>
      <c r="G1713" s="85" t="s">
        <v>95</v>
      </c>
      <c r="H1713" s="86">
        <v>101.87</v>
      </c>
      <c r="I1713" s="86">
        <v>101.87</v>
      </c>
      <c r="J1713" s="87">
        <f t="shared" si="2"/>
        <v>0</v>
      </c>
      <c r="K1713" s="84" t="str">
        <f t="shared" si="3"/>
        <v>Stabil</v>
      </c>
      <c r="L1713" s="84">
        <f t="shared" si="4"/>
        <v>0</v>
      </c>
      <c r="M1713" s="88" t="str">
        <f t="shared" si="5"/>
        <v>Perubahan Normal</v>
      </c>
    </row>
    <row r="1714" ht="18.75" customHeight="1">
      <c r="A1714" s="80" t="s">
        <v>401</v>
      </c>
      <c r="B1714" s="81" t="str">
        <f t="shared" si="1"/>
        <v>Kota Tual</v>
      </c>
      <c r="C1714" s="81" t="str">
        <f t="array" ref="C1714">XLOOKUP(B1714,Reference!$A$2:$A$152,Reference!$B$2:$B$152)</f>
        <v>Maluku</v>
      </c>
      <c r="D1714" s="82" t="s">
        <v>2153</v>
      </c>
      <c r="E1714" s="83">
        <v>45323.0</v>
      </c>
      <c r="F1714" s="84" t="str">
        <f t="array" ref="F1714">XLOOKUP(G1714,Reference!$F:$F,Reference!$D:$D,"null")</f>
        <v>Makanan dan Pakaian </v>
      </c>
      <c r="G1714" s="85" t="s">
        <v>72</v>
      </c>
      <c r="H1714" s="86">
        <v>102.12</v>
      </c>
      <c r="I1714" s="86">
        <v>102.04</v>
      </c>
      <c r="J1714" s="87">
        <f t="shared" si="2"/>
        <v>0.07840062721</v>
      </c>
      <c r="K1714" s="84" t="str">
        <f t="shared" si="3"/>
        <v>Inflasi Normal</v>
      </c>
      <c r="L1714" s="84">
        <f t="shared" si="4"/>
        <v>0.08</v>
      </c>
      <c r="M1714" s="88" t="str">
        <f t="shared" si="5"/>
        <v>Perubahan Normal</v>
      </c>
    </row>
    <row r="1715" ht="18.75" customHeight="1">
      <c r="A1715" s="80" t="s">
        <v>391</v>
      </c>
      <c r="B1715" s="81" t="str">
        <f t="shared" si="1"/>
        <v>Kota Batam</v>
      </c>
      <c r="C1715" s="81" t="str">
        <f t="array" ref="C1715">XLOOKUP(B1715,Reference!$A$2:$A$152,Reference!$B$2:$B$152)</f>
        <v>Kepulauan Riau</v>
      </c>
      <c r="D1715" s="82" t="s">
        <v>2154</v>
      </c>
      <c r="E1715" s="83">
        <v>45352.0</v>
      </c>
      <c r="F1715" s="84" t="str">
        <f t="array" ref="F1715">XLOOKUP(G1715,Reference!$F:$F,Reference!$D:$D,"null")</f>
        <v>Makanan dan Pakaian </v>
      </c>
      <c r="G1715" s="85" t="s">
        <v>72</v>
      </c>
      <c r="H1715" s="86">
        <v>108.85</v>
      </c>
      <c r="I1715" s="86">
        <v>103.47</v>
      </c>
      <c r="J1715" s="87">
        <f t="shared" si="2"/>
        <v>5.199574756</v>
      </c>
      <c r="K1715" s="84" t="str">
        <f t="shared" si="3"/>
        <v>Inflasi Tinggi</v>
      </c>
      <c r="L1715" s="84">
        <f t="shared" si="4"/>
        <v>5.38</v>
      </c>
      <c r="M1715" s="88" t="str">
        <f t="shared" si="5"/>
        <v>Akselerasi Kuat</v>
      </c>
    </row>
    <row r="1716" ht="18.75" customHeight="1">
      <c r="A1716" s="80" t="s">
        <v>331</v>
      </c>
      <c r="B1716" s="81" t="str">
        <f t="shared" si="1"/>
        <v>Kota Lhokseumawe</v>
      </c>
      <c r="C1716" s="81" t="str">
        <f t="array" ref="C1716">XLOOKUP(B1716,Reference!$A$2:$A$152,Reference!$B$2:$B$152)</f>
        <v>Aceh</v>
      </c>
      <c r="D1716" s="82" t="s">
        <v>2155</v>
      </c>
      <c r="E1716" s="83">
        <v>45352.0</v>
      </c>
      <c r="F1716" s="84" t="str">
        <f t="array" ref="F1716">XLOOKUP(G1716,Reference!$F:$F,Reference!$D:$D,"null")</f>
        <v>Makanan dan Pakaian </v>
      </c>
      <c r="G1716" s="85" t="s">
        <v>48</v>
      </c>
      <c r="H1716" s="86">
        <v>109.18</v>
      </c>
      <c r="I1716" s="86">
        <v>106.96</v>
      </c>
      <c r="J1716" s="87">
        <f t="shared" si="2"/>
        <v>2.075542259</v>
      </c>
      <c r="K1716" s="84" t="str">
        <f t="shared" si="3"/>
        <v>Inflasi Tinggi</v>
      </c>
      <c r="L1716" s="84">
        <f t="shared" si="4"/>
        <v>2.22</v>
      </c>
      <c r="M1716" s="88" t="str">
        <f t="shared" si="5"/>
        <v>Akselerasi Kuat</v>
      </c>
    </row>
    <row r="1717" ht="18.75" customHeight="1">
      <c r="A1717" s="80" t="s">
        <v>304</v>
      </c>
      <c r="B1717" s="81" t="str">
        <f t="shared" si="1"/>
        <v>Kota Kediri</v>
      </c>
      <c r="C1717" s="81" t="str">
        <f t="array" ref="C1717">XLOOKUP(B1717,Reference!$A$2:$A$152,Reference!$B$2:$B$152)</f>
        <v>Jawa Timur</v>
      </c>
      <c r="D1717" s="82" t="s">
        <v>2156</v>
      </c>
      <c r="E1717" s="83">
        <v>45323.0</v>
      </c>
      <c r="F1717" s="84" t="str">
        <f t="array" ref="F1717">XLOOKUP(G1717,Reference!$F:$F,Reference!$D:$D,"null")</f>
        <v>Rumah Tangga</v>
      </c>
      <c r="G1717" s="85" t="s">
        <v>89</v>
      </c>
      <c r="H1717" s="86">
        <v>101.24</v>
      </c>
      <c r="I1717" s="86">
        <v>101.24</v>
      </c>
      <c r="J1717" s="87">
        <f t="shared" si="2"/>
        <v>0</v>
      </c>
      <c r="K1717" s="84" t="str">
        <f t="shared" si="3"/>
        <v>Stabil</v>
      </c>
      <c r="L1717" s="84">
        <f t="shared" si="4"/>
        <v>0</v>
      </c>
      <c r="M1717" s="88" t="str">
        <f t="shared" si="5"/>
        <v>Perubahan Normal</v>
      </c>
    </row>
    <row r="1718" ht="18.75" customHeight="1">
      <c r="A1718" s="80" t="s">
        <v>355</v>
      </c>
      <c r="B1718" s="81" t="str">
        <f t="shared" si="1"/>
        <v>Kota Gorontalo</v>
      </c>
      <c r="C1718" s="81" t="str">
        <f t="array" ref="C1718">XLOOKUP(B1718,Reference!$A$2:$A$152,Reference!$B$2:$B$152)</f>
        <v>Gorontalo</v>
      </c>
      <c r="D1718" s="82" t="s">
        <v>2157</v>
      </c>
      <c r="E1718" s="83">
        <v>45323.0</v>
      </c>
      <c r="F1718" s="84" t="str">
        <f t="array" ref="F1718">XLOOKUP(G1718,Reference!$F:$F,Reference!$D:$D,"null")</f>
        <v>Makanan dan Pakaian </v>
      </c>
      <c r="G1718" s="85" t="s">
        <v>64</v>
      </c>
      <c r="H1718" s="86">
        <v>102.12</v>
      </c>
      <c r="I1718" s="86">
        <v>102.12</v>
      </c>
      <c r="J1718" s="87">
        <f t="shared" si="2"/>
        <v>0</v>
      </c>
      <c r="K1718" s="84" t="str">
        <f t="shared" si="3"/>
        <v>Stabil</v>
      </c>
      <c r="L1718" s="84">
        <f t="shared" si="4"/>
        <v>0</v>
      </c>
      <c r="M1718" s="88" t="str">
        <f t="shared" si="5"/>
        <v>Perubahan Normal</v>
      </c>
    </row>
    <row r="1719" ht="18.75" customHeight="1">
      <c r="A1719" s="80" t="s">
        <v>450</v>
      </c>
      <c r="B1719" s="81" t="str">
        <f t="shared" si="1"/>
        <v>Waingapu</v>
      </c>
      <c r="C1719" s="81" t="str">
        <f t="array" ref="C1719">XLOOKUP(B1719,Reference!$A$2:$A$152,Reference!$B$2:$B$152)</f>
        <v>Nusa Tenggara Timur (NTT)</v>
      </c>
      <c r="D1719" s="82" t="s">
        <v>2158</v>
      </c>
      <c r="E1719" s="83">
        <v>45323.0</v>
      </c>
      <c r="F1719" s="84" t="str">
        <f t="array" ref="F1719">XLOOKUP(G1719,Reference!$F:$F,Reference!$D:$D,"null")</f>
        <v>Rumah Tangga</v>
      </c>
      <c r="G1719" s="85" t="s">
        <v>80</v>
      </c>
      <c r="H1719" s="86">
        <v>115.31</v>
      </c>
      <c r="I1719" s="86">
        <v>115.25</v>
      </c>
      <c r="J1719" s="87">
        <f t="shared" si="2"/>
        <v>0.05206073753</v>
      </c>
      <c r="K1719" s="84" t="str">
        <f t="shared" si="3"/>
        <v>Inflasi Normal</v>
      </c>
      <c r="L1719" s="84">
        <f t="shared" si="4"/>
        <v>0.06</v>
      </c>
      <c r="M1719" s="88" t="str">
        <f t="shared" si="5"/>
        <v>Perubahan Normal</v>
      </c>
    </row>
    <row r="1720" ht="18.75" customHeight="1">
      <c r="A1720" s="80" t="s">
        <v>384</v>
      </c>
      <c r="B1720" s="81" t="str">
        <f t="shared" si="1"/>
        <v>Kab Lebak</v>
      </c>
      <c r="C1720" s="81" t="str">
        <f t="array" ref="C1720">XLOOKUP(B1720,Reference!$A$2:$A$152,Reference!$B$2:$B$152)</f>
        <v>Banten</v>
      </c>
      <c r="D1720" s="82" t="s">
        <v>2159</v>
      </c>
      <c r="E1720" s="83">
        <v>45323.0</v>
      </c>
      <c r="F1720" s="84" t="str">
        <f t="array" ref="F1720">XLOOKUP(G1720,Reference!$F:$F,Reference!$D:$D,"null")</f>
        <v>Rekreasi dan Kendaraan</v>
      </c>
      <c r="G1720" s="85" t="s">
        <v>105</v>
      </c>
      <c r="H1720" s="86">
        <v>100.54</v>
      </c>
      <c r="I1720" s="86">
        <v>100.54</v>
      </c>
      <c r="J1720" s="87">
        <f t="shared" si="2"/>
        <v>0</v>
      </c>
      <c r="K1720" s="84" t="str">
        <f t="shared" si="3"/>
        <v>Stabil</v>
      </c>
      <c r="L1720" s="84">
        <f t="shared" si="4"/>
        <v>0</v>
      </c>
      <c r="M1720" s="88" t="str">
        <f t="shared" si="5"/>
        <v>Perubahan Normal</v>
      </c>
    </row>
    <row r="1721" ht="18.75" customHeight="1">
      <c r="A1721" s="80" t="s">
        <v>360</v>
      </c>
      <c r="B1721" s="81" t="str">
        <f t="shared" si="1"/>
        <v>Kab Wonosobo</v>
      </c>
      <c r="C1721" s="81" t="str">
        <f t="array" ref="C1721">XLOOKUP(B1721,Reference!$A$2:$A$152,Reference!$B$2:$B$152)</f>
        <v>Jawa Tengah</v>
      </c>
      <c r="D1721" s="82" t="s">
        <v>2160</v>
      </c>
      <c r="E1721" s="83">
        <v>45323.0</v>
      </c>
      <c r="F1721" s="84" t="str">
        <f t="array" ref="F1721">XLOOKUP(G1721,Reference!$F:$F,Reference!$D:$D,"null")</f>
        <v>Makanan dan Pakaian </v>
      </c>
      <c r="G1721" s="85" t="s">
        <v>48</v>
      </c>
      <c r="H1721" s="86">
        <v>115.17</v>
      </c>
      <c r="I1721" s="86">
        <v>113.15</v>
      </c>
      <c r="J1721" s="87">
        <f t="shared" si="2"/>
        <v>1.785240831</v>
      </c>
      <c r="K1721" s="84" t="str">
        <f t="shared" si="3"/>
        <v>Inflasi Tinggi</v>
      </c>
      <c r="L1721" s="84">
        <f t="shared" si="4"/>
        <v>2.02</v>
      </c>
      <c r="M1721" s="88" t="str">
        <f t="shared" si="5"/>
        <v>Akselerasi Kuat</v>
      </c>
    </row>
    <row r="1722" ht="18.75" customHeight="1">
      <c r="A1722" s="80" t="s">
        <v>990</v>
      </c>
      <c r="B1722" s="81" t="str">
        <f t="shared" si="1"/>
        <v>Kab Pandeglang</v>
      </c>
      <c r="C1722" s="81" t="str">
        <f t="array" ref="C1722">XLOOKUP(B1722,Reference!$A$2:$A$152,Reference!$B$2:$B$152)</f>
        <v>Banten</v>
      </c>
      <c r="D1722" s="82" t="s">
        <v>2161</v>
      </c>
      <c r="E1722" s="83">
        <v>45352.0</v>
      </c>
      <c r="F1722" s="84" t="str">
        <f t="array" ref="F1722">XLOOKUP(G1722,Reference!$F:$F,Reference!$D:$D,"null")</f>
        <v>Rumah Tangga</v>
      </c>
      <c r="G1722" s="85" t="s">
        <v>80</v>
      </c>
      <c r="H1722" s="86">
        <v>102.07</v>
      </c>
      <c r="I1722" s="86">
        <v>102.07</v>
      </c>
      <c r="J1722" s="87">
        <f t="shared" si="2"/>
        <v>0</v>
      </c>
      <c r="K1722" s="84" t="str">
        <f t="shared" si="3"/>
        <v>Stabil</v>
      </c>
      <c r="L1722" s="84">
        <f t="shared" si="4"/>
        <v>0</v>
      </c>
      <c r="M1722" s="88" t="str">
        <f t="shared" si="5"/>
        <v>Perubahan Normal</v>
      </c>
    </row>
    <row r="1723" ht="18.75" customHeight="1">
      <c r="A1723" s="80" t="s">
        <v>335</v>
      </c>
      <c r="B1723" s="81" t="str">
        <f t="shared" si="1"/>
        <v>Kab Wonogiri</v>
      </c>
      <c r="C1723" s="81" t="str">
        <f t="array" ref="C1723">XLOOKUP(B1723,Reference!$A$2:$A$152,Reference!$B$2:$B$152)</f>
        <v>Jawa Tengah</v>
      </c>
      <c r="D1723" s="82" t="s">
        <v>2162</v>
      </c>
      <c r="E1723" s="83">
        <v>45352.0</v>
      </c>
      <c r="F1723" s="84" t="str">
        <f t="array" ref="F1723">XLOOKUP(G1723,Reference!$F:$F,Reference!$D:$D,"null")</f>
        <v>Pendidikan dan Kesehatan</v>
      </c>
      <c r="G1723" s="85" t="s">
        <v>95</v>
      </c>
      <c r="H1723" s="86">
        <v>101.63</v>
      </c>
      <c r="I1723" s="86">
        <v>101.63</v>
      </c>
      <c r="J1723" s="87">
        <f t="shared" si="2"/>
        <v>0</v>
      </c>
      <c r="K1723" s="84" t="str">
        <f t="shared" si="3"/>
        <v>Stabil</v>
      </c>
      <c r="L1723" s="84">
        <f t="shared" si="4"/>
        <v>0</v>
      </c>
      <c r="M1723" s="88" t="str">
        <f t="shared" si="5"/>
        <v>Perubahan Normal</v>
      </c>
    </row>
    <row r="1724" ht="18.75" customHeight="1">
      <c r="A1724" s="80" t="s">
        <v>358</v>
      </c>
      <c r="B1724" s="81" t="str">
        <f t="shared" si="1"/>
        <v>Kab Minahasa Utara</v>
      </c>
      <c r="C1724" s="81" t="str">
        <f t="array" ref="C1724">XLOOKUP(B1724,Reference!$A$2:$A$152,Reference!$B$2:$B$152)</f>
        <v>Sulawesi Utara</v>
      </c>
      <c r="D1724" s="82" t="s">
        <v>2163</v>
      </c>
      <c r="E1724" s="83">
        <v>45352.0</v>
      </c>
      <c r="F1724" s="84" t="str">
        <f t="array" ref="F1724">XLOOKUP(G1724,Reference!$F:$F,Reference!$D:$D,"null")</f>
        <v>Makanan dan Pakaian </v>
      </c>
      <c r="G1724" s="85" t="s">
        <v>64</v>
      </c>
      <c r="H1724" s="86">
        <v>103.35</v>
      </c>
      <c r="I1724" s="86">
        <v>103.46</v>
      </c>
      <c r="J1724" s="87">
        <f t="shared" si="2"/>
        <v>-0.1063212836</v>
      </c>
      <c r="K1724" s="84" t="str">
        <f t="shared" si="3"/>
        <v>Deflasi</v>
      </c>
      <c r="L1724" s="84">
        <f t="shared" si="4"/>
        <v>-0.11</v>
      </c>
      <c r="M1724" s="88" t="str">
        <f t="shared" si="5"/>
        <v>Perubahan Normal</v>
      </c>
    </row>
    <row r="1725" ht="18.75" customHeight="1">
      <c r="A1725" s="80" t="s">
        <v>304</v>
      </c>
      <c r="B1725" s="81" t="str">
        <f t="shared" si="1"/>
        <v>Kota Kediri</v>
      </c>
      <c r="C1725" s="81" t="str">
        <f t="array" ref="C1725">XLOOKUP(B1725,Reference!$A$2:$A$152,Reference!$B$2:$B$152)</f>
        <v>Jawa Timur</v>
      </c>
      <c r="D1725" s="82" t="s">
        <v>2164</v>
      </c>
      <c r="E1725" s="83">
        <v>45323.0</v>
      </c>
      <c r="F1725" s="84" t="str">
        <f t="array" ref="F1725">XLOOKUP(G1725,Reference!$F:$F,Reference!$D:$D,"null")</f>
        <v>Makanan dan Pakaian </v>
      </c>
      <c r="G1725" s="85" t="s">
        <v>48</v>
      </c>
      <c r="H1725" s="86">
        <v>111.27</v>
      </c>
      <c r="I1725" s="86">
        <v>108.61</v>
      </c>
      <c r="J1725" s="87">
        <f t="shared" si="2"/>
        <v>2.449129914</v>
      </c>
      <c r="K1725" s="84" t="str">
        <f t="shared" si="3"/>
        <v>Inflasi Tinggi</v>
      </c>
      <c r="L1725" s="84">
        <f t="shared" si="4"/>
        <v>2.66</v>
      </c>
      <c r="M1725" s="88" t="str">
        <f t="shared" si="5"/>
        <v>Akselerasi Kuat</v>
      </c>
    </row>
    <row r="1726" ht="18.75" customHeight="1">
      <c r="A1726" s="80" t="s">
        <v>663</v>
      </c>
      <c r="B1726" s="81" t="str">
        <f t="shared" si="1"/>
        <v>Kota Serang</v>
      </c>
      <c r="C1726" s="81" t="str">
        <f t="array" ref="C1726">XLOOKUP(B1726,Reference!$A$2:$A$152,Reference!$B$2:$B$152)</f>
        <v>Banten</v>
      </c>
      <c r="D1726" s="82" t="s">
        <v>2165</v>
      </c>
      <c r="E1726" s="83">
        <v>45352.0</v>
      </c>
      <c r="F1726" s="84" t="str">
        <f t="array" ref="F1726">XLOOKUP(G1726,Reference!$F:$F,Reference!$D:$D,"null")</f>
        <v>Rekreasi dan Kendaraan</v>
      </c>
      <c r="G1726" s="85" t="s">
        <v>105</v>
      </c>
      <c r="H1726" s="86">
        <v>105.86</v>
      </c>
      <c r="I1726" s="86">
        <v>105.86</v>
      </c>
      <c r="J1726" s="87">
        <f t="shared" si="2"/>
        <v>0</v>
      </c>
      <c r="K1726" s="84" t="str">
        <f t="shared" si="3"/>
        <v>Stabil</v>
      </c>
      <c r="L1726" s="84">
        <f t="shared" si="4"/>
        <v>0</v>
      </c>
      <c r="M1726" s="88" t="str">
        <f t="shared" si="5"/>
        <v>Perubahan Normal</v>
      </c>
    </row>
    <row r="1727" ht="18.75" customHeight="1">
      <c r="A1727" s="80" t="s">
        <v>417</v>
      </c>
      <c r="B1727" s="81" t="str">
        <f t="shared" si="1"/>
        <v>Kotabaru</v>
      </c>
      <c r="C1727" s="81" t="str">
        <f t="array" ref="C1727">XLOOKUP(B1727,Reference!$A$2:$A$152,Reference!$B$2:$B$152)</f>
        <v>Kalimantan Selatan</v>
      </c>
      <c r="D1727" s="82" t="s">
        <v>2166</v>
      </c>
      <c r="E1727" s="83">
        <v>45352.0</v>
      </c>
      <c r="F1727" s="84" t="str">
        <f t="array" ref="F1727">XLOOKUP(G1727,Reference!$F:$F,Reference!$D:$D,"null")</f>
        <v>Rumah Tangga</v>
      </c>
      <c r="G1727" s="85" t="s">
        <v>84</v>
      </c>
      <c r="H1727" s="86">
        <v>101.29</v>
      </c>
      <c r="I1727" s="86">
        <v>102.18</v>
      </c>
      <c r="J1727" s="87">
        <f t="shared" si="2"/>
        <v>-0.8710119397</v>
      </c>
      <c r="K1727" s="84" t="str">
        <f t="shared" si="3"/>
        <v>Deflasi</v>
      </c>
      <c r="L1727" s="84">
        <f t="shared" si="4"/>
        <v>-0.89</v>
      </c>
      <c r="M1727" s="88" t="str">
        <f t="shared" si="5"/>
        <v>Perubahan Normal</v>
      </c>
    </row>
    <row r="1728" ht="18.75" customHeight="1">
      <c r="A1728" s="80" t="s">
        <v>706</v>
      </c>
      <c r="B1728" s="81" t="str">
        <f t="shared" si="1"/>
        <v>Kota Makassar</v>
      </c>
      <c r="C1728" s="81" t="str">
        <f t="array" ref="C1728">XLOOKUP(B1728,Reference!$A$2:$A$152,Reference!$B$2:$B$152)</f>
        <v>Sulawesi Selatan</v>
      </c>
      <c r="D1728" s="82" t="s">
        <v>2167</v>
      </c>
      <c r="E1728" s="83">
        <v>45323.0</v>
      </c>
      <c r="F1728" s="84" t="str">
        <f t="array" ref="F1728">XLOOKUP(G1728,Reference!$F:$F,Reference!$D:$D,"null")</f>
        <v>Makanan dan Pakaian </v>
      </c>
      <c r="G1728" s="85" t="s">
        <v>48</v>
      </c>
      <c r="H1728" s="86">
        <v>111.56</v>
      </c>
      <c r="I1728" s="86">
        <v>110.42</v>
      </c>
      <c r="J1728" s="87">
        <f t="shared" si="2"/>
        <v>1.032421663</v>
      </c>
      <c r="K1728" s="84" t="str">
        <f t="shared" si="3"/>
        <v>Inflasi Tinggi</v>
      </c>
      <c r="L1728" s="84">
        <f t="shared" si="4"/>
        <v>1.14</v>
      </c>
      <c r="M1728" s="88" t="str">
        <f t="shared" si="5"/>
        <v>Akselerasi Persentase</v>
      </c>
    </row>
    <row r="1729" ht="18.75" customHeight="1">
      <c r="A1729" s="80" t="s">
        <v>395</v>
      </c>
      <c r="B1729" s="81" t="str">
        <f t="shared" si="1"/>
        <v>Kota Bukittinggi</v>
      </c>
      <c r="C1729" s="81" t="str">
        <f t="array" ref="C1729">XLOOKUP(B1729,Reference!$A$2:$A$152,Reference!$B$2:$B$152)</f>
        <v>Sumatera Barat</v>
      </c>
      <c r="D1729" s="82" t="s">
        <v>2168</v>
      </c>
      <c r="E1729" s="83">
        <v>45323.0</v>
      </c>
      <c r="F1729" s="84" t="str">
        <f t="array" ref="F1729">XLOOKUP(G1729,Reference!$F:$F,Reference!$D:$D,"null")</f>
        <v>Rumah Tangga</v>
      </c>
      <c r="G1729" s="85" t="s">
        <v>80</v>
      </c>
      <c r="H1729" s="86">
        <v>102.02</v>
      </c>
      <c r="I1729" s="86">
        <v>102.02</v>
      </c>
      <c r="J1729" s="87">
        <f t="shared" si="2"/>
        <v>0</v>
      </c>
      <c r="K1729" s="84" t="str">
        <f t="shared" si="3"/>
        <v>Stabil</v>
      </c>
      <c r="L1729" s="84">
        <f t="shared" si="4"/>
        <v>0</v>
      </c>
      <c r="M1729" s="88" t="str">
        <f t="shared" si="5"/>
        <v>Perubahan Normal</v>
      </c>
    </row>
    <row r="1730" ht="18.75" customHeight="1">
      <c r="A1730" s="80" t="s">
        <v>631</v>
      </c>
      <c r="B1730" s="81" t="str">
        <f t="shared" si="1"/>
        <v>Kab Toli Toli</v>
      </c>
      <c r="C1730" s="81" t="str">
        <f t="array" ref="C1730">XLOOKUP(B1730,Reference!$A$2:$A$152,Reference!$B$2:$B$152)</f>
        <v>Sulawesi Tengah</v>
      </c>
      <c r="D1730" s="82" t="s">
        <v>2169</v>
      </c>
      <c r="E1730" s="83">
        <v>45352.0</v>
      </c>
      <c r="F1730" s="84" t="str">
        <f t="array" ref="F1730">XLOOKUP(G1730,Reference!$F:$F,Reference!$D:$D,"null")</f>
        <v>Pendidikan dan Kesehatan</v>
      </c>
      <c r="G1730" s="85" t="s">
        <v>98</v>
      </c>
      <c r="H1730" s="86">
        <v>96.9</v>
      </c>
      <c r="I1730" s="86">
        <v>96.9</v>
      </c>
      <c r="J1730" s="87">
        <f t="shared" si="2"/>
        <v>0</v>
      </c>
      <c r="K1730" s="84" t="str">
        <f t="shared" si="3"/>
        <v>Stabil</v>
      </c>
      <c r="L1730" s="84">
        <f t="shared" si="4"/>
        <v>0</v>
      </c>
      <c r="M1730" s="88" t="str">
        <f t="shared" si="5"/>
        <v>Perubahan Normal</v>
      </c>
    </row>
    <row r="1731" ht="18.75" customHeight="1">
      <c r="A1731" s="80" t="s">
        <v>320</v>
      </c>
      <c r="B1731" s="81" t="str">
        <f t="shared" si="1"/>
        <v>Kota Manado</v>
      </c>
      <c r="C1731" s="81" t="str">
        <f t="array" ref="C1731">XLOOKUP(B1731,Reference!$A$2:$A$152,Reference!$B$2:$B$152)</f>
        <v>Sulawesi Utara</v>
      </c>
      <c r="D1731" s="82" t="s">
        <v>2170</v>
      </c>
      <c r="E1731" s="83">
        <v>45323.0</v>
      </c>
      <c r="F1731" s="84" t="str">
        <f t="array" ref="F1731">XLOOKUP(G1731,Reference!$F:$F,Reference!$D:$D,"null")</f>
        <v>Makanan dan Pakaian </v>
      </c>
      <c r="G1731" s="85" t="s">
        <v>48</v>
      </c>
      <c r="H1731" s="86">
        <v>111.71</v>
      </c>
      <c r="I1731" s="86">
        <v>112.68</v>
      </c>
      <c r="J1731" s="87">
        <f t="shared" si="2"/>
        <v>-0.8608448704</v>
      </c>
      <c r="K1731" s="84" t="str">
        <f t="shared" si="3"/>
        <v>Deflasi</v>
      </c>
      <c r="L1731" s="84">
        <f t="shared" si="4"/>
        <v>-0.97</v>
      </c>
      <c r="M1731" s="88" t="str">
        <f t="shared" si="5"/>
        <v>Perubahan Normal</v>
      </c>
    </row>
    <row r="1732" ht="18.75" customHeight="1">
      <c r="A1732" s="80" t="s">
        <v>490</v>
      </c>
      <c r="B1732" s="81" t="str">
        <f t="shared" si="1"/>
        <v>Kab Kerinci</v>
      </c>
      <c r="C1732" s="81" t="str">
        <f t="array" ref="C1732">XLOOKUP(B1732,Reference!$A$2:$A$152,Reference!$B$2:$B$152)</f>
        <v>Jambi</v>
      </c>
      <c r="D1732" s="82" t="s">
        <v>2171</v>
      </c>
      <c r="E1732" s="83">
        <v>45323.0</v>
      </c>
      <c r="F1732" s="84" t="str">
        <f t="array" ref="F1732">XLOOKUP(G1732,Reference!$F:$F,Reference!$D:$D,"null")</f>
        <v>Makanan dan Pakaian </v>
      </c>
      <c r="G1732" s="85" t="s">
        <v>64</v>
      </c>
      <c r="H1732" s="86">
        <v>108.42</v>
      </c>
      <c r="I1732" s="86">
        <v>108.33</v>
      </c>
      <c r="J1732" s="87">
        <f t="shared" si="2"/>
        <v>0.08307947937</v>
      </c>
      <c r="K1732" s="84" t="str">
        <f t="shared" si="3"/>
        <v>Inflasi Normal</v>
      </c>
      <c r="L1732" s="84">
        <f t="shared" si="4"/>
        <v>0.09</v>
      </c>
      <c r="M1732" s="88" t="str">
        <f t="shared" si="5"/>
        <v>Perubahan Normal</v>
      </c>
    </row>
    <row r="1733" ht="18.75" customHeight="1">
      <c r="A1733" s="80" t="s">
        <v>318</v>
      </c>
      <c r="B1733" s="81" t="str">
        <f t="shared" si="1"/>
        <v>Tanjung</v>
      </c>
      <c r="C1733" s="81" t="str">
        <f t="array" ref="C1733">XLOOKUP(B1733,Reference!$A$2:$A$152,Reference!$B$2:$B$152)</f>
        <v>Kalimantan Selatan</v>
      </c>
      <c r="D1733" s="82" t="s">
        <v>2172</v>
      </c>
      <c r="E1733" s="83">
        <v>45323.0</v>
      </c>
      <c r="F1733" s="84" t="str">
        <f t="array" ref="F1733">XLOOKUP(G1733,Reference!$F:$F,Reference!$D:$D,"null")</f>
        <v>Makanan dan Pakaian </v>
      </c>
      <c r="G1733" s="85" t="s">
        <v>56</v>
      </c>
      <c r="H1733" s="86">
        <v>100.36</v>
      </c>
      <c r="I1733" s="86">
        <v>100.36</v>
      </c>
      <c r="J1733" s="87">
        <f t="shared" si="2"/>
        <v>0</v>
      </c>
      <c r="K1733" s="84" t="str">
        <f t="shared" si="3"/>
        <v>Stabil</v>
      </c>
      <c r="L1733" s="84">
        <f t="shared" si="4"/>
        <v>0</v>
      </c>
      <c r="M1733" s="88" t="str">
        <f t="shared" si="5"/>
        <v>Perubahan Normal</v>
      </c>
    </row>
    <row r="1734" ht="18.75" customHeight="1">
      <c r="A1734" s="80" t="s">
        <v>841</v>
      </c>
      <c r="B1734" s="81" t="str">
        <f t="shared" si="1"/>
        <v>Kab Morowali</v>
      </c>
      <c r="C1734" s="81" t="str">
        <f t="array" ref="C1734">XLOOKUP(B1734,Reference!$A$2:$A$152,Reference!$B$2:$B$152)</f>
        <v>Sulawesi Tengah</v>
      </c>
      <c r="D1734" s="82" t="s">
        <v>2173</v>
      </c>
      <c r="E1734" s="83">
        <v>45323.0</v>
      </c>
      <c r="F1734" s="84" t="str">
        <f t="array" ref="F1734">XLOOKUP(G1734,Reference!$F:$F,Reference!$D:$D,"null")</f>
        <v>Pendidikan dan Kesehatan</v>
      </c>
      <c r="G1734" s="89" t="s">
        <v>95</v>
      </c>
      <c r="H1734" s="90">
        <v>100.0</v>
      </c>
      <c r="I1734" s="90">
        <v>100.0</v>
      </c>
      <c r="J1734" s="87">
        <f t="shared" si="2"/>
        <v>0</v>
      </c>
      <c r="K1734" s="84" t="str">
        <f t="shared" si="3"/>
        <v>Stabil</v>
      </c>
      <c r="L1734" s="91">
        <f t="shared" si="4"/>
        <v>0</v>
      </c>
      <c r="M1734" s="88" t="str">
        <f t="shared" si="5"/>
        <v>Perubahan Normal</v>
      </c>
    </row>
    <row r="1735" ht="18.75" customHeight="1">
      <c r="A1735" s="80" t="s">
        <v>542</v>
      </c>
      <c r="B1735" s="81" t="str">
        <f t="shared" si="1"/>
        <v>Kab Karo</v>
      </c>
      <c r="C1735" s="81" t="str">
        <f t="array" ref="C1735">XLOOKUP(B1735,Reference!$A$2:$A$152,Reference!$B$2:$B$152)</f>
        <v>Sumatera Utara</v>
      </c>
      <c r="D1735" s="82" t="s">
        <v>2174</v>
      </c>
      <c r="E1735" s="83">
        <v>45323.0</v>
      </c>
      <c r="F1735" s="84" t="str">
        <f t="array" ref="F1735">XLOOKUP(G1735,Reference!$F:$F,Reference!$D:$D,"null")</f>
        <v>Makanan dan Pakaian </v>
      </c>
      <c r="G1735" s="85" t="s">
        <v>48</v>
      </c>
      <c r="H1735" s="86">
        <v>107.34</v>
      </c>
      <c r="I1735" s="86">
        <v>105.14</v>
      </c>
      <c r="J1735" s="87">
        <f t="shared" si="2"/>
        <v>2.092448164</v>
      </c>
      <c r="K1735" s="84" t="str">
        <f t="shared" si="3"/>
        <v>Inflasi Tinggi</v>
      </c>
      <c r="L1735" s="84">
        <f t="shared" si="4"/>
        <v>2.2</v>
      </c>
      <c r="M1735" s="88" t="str">
        <f t="shared" si="5"/>
        <v>Akselerasi Kuat</v>
      </c>
    </row>
    <row r="1736" ht="18.75" customHeight="1">
      <c r="A1736" s="80" t="s">
        <v>312</v>
      </c>
      <c r="B1736" s="81" t="str">
        <f t="shared" si="1"/>
        <v>Kab Jayawijaya</v>
      </c>
      <c r="C1736" s="81" t="str">
        <f t="array" ref="C1736">XLOOKUP(B1736,Reference!$A$2:$A$152,Reference!$B$2:$B$152)</f>
        <v>Papua</v>
      </c>
      <c r="D1736" s="82" t="s">
        <v>2175</v>
      </c>
      <c r="E1736" s="83">
        <v>45323.0</v>
      </c>
      <c r="F1736" s="84" t="str">
        <f t="array" ref="F1736">XLOOKUP(G1736,Reference!$F:$F,Reference!$D:$D,"null")</f>
        <v>Makanan dan Pakaian </v>
      </c>
      <c r="G1736" s="85" t="s">
        <v>72</v>
      </c>
      <c r="H1736" s="86">
        <v>98.63</v>
      </c>
      <c r="I1736" s="86">
        <v>98.29</v>
      </c>
      <c r="J1736" s="87">
        <f t="shared" si="2"/>
        <v>0.345915149</v>
      </c>
      <c r="K1736" s="84" t="str">
        <f t="shared" si="3"/>
        <v>Inflasi Normal</v>
      </c>
      <c r="L1736" s="84">
        <f t="shared" si="4"/>
        <v>0.34</v>
      </c>
      <c r="M1736" s="88" t="str">
        <f t="shared" si="5"/>
        <v>Perubahan Normal</v>
      </c>
    </row>
    <row r="1737" ht="18.75" customHeight="1">
      <c r="A1737" s="80" t="s">
        <v>376</v>
      </c>
      <c r="B1737" s="81" t="str">
        <f t="shared" si="1"/>
        <v>Bulukumba</v>
      </c>
      <c r="C1737" s="81" t="str">
        <f t="array" ref="C1737">XLOOKUP(B1737,Reference!$A$2:$A$152,Reference!$B$2:$B$152)</f>
        <v>Sulawesi Selatan</v>
      </c>
      <c r="D1737" s="82" t="s">
        <v>2176</v>
      </c>
      <c r="E1737" s="83">
        <v>45323.0</v>
      </c>
      <c r="F1737" s="84" t="str">
        <f t="array" ref="F1737">XLOOKUP(G1737,Reference!$F:$F,Reference!$D:$D,"null")</f>
        <v>Rumah Tangga</v>
      </c>
      <c r="G1737" s="85" t="s">
        <v>89</v>
      </c>
      <c r="H1737" s="86">
        <v>102.4</v>
      </c>
      <c r="I1737" s="86">
        <v>102.26</v>
      </c>
      <c r="J1737" s="87">
        <f t="shared" si="2"/>
        <v>0.1369059261</v>
      </c>
      <c r="K1737" s="84" t="str">
        <f t="shared" si="3"/>
        <v>Inflasi Normal</v>
      </c>
      <c r="L1737" s="84">
        <f t="shared" si="4"/>
        <v>0.14</v>
      </c>
      <c r="M1737" s="88" t="str">
        <f t="shared" si="5"/>
        <v>Perubahan Normal</v>
      </c>
    </row>
    <row r="1738" ht="18.75" customHeight="1">
      <c r="A1738" s="80" t="s">
        <v>358</v>
      </c>
      <c r="B1738" s="81" t="str">
        <f t="shared" si="1"/>
        <v>Kab Minahasa Utara</v>
      </c>
      <c r="C1738" s="81" t="str">
        <f t="array" ref="C1738">XLOOKUP(B1738,Reference!$A$2:$A$152,Reference!$B$2:$B$152)</f>
        <v>Sulawesi Utara</v>
      </c>
      <c r="D1738" s="82" t="s">
        <v>2177</v>
      </c>
      <c r="E1738" s="83">
        <v>45352.0</v>
      </c>
      <c r="F1738" s="84" t="str">
        <f t="array" ref="F1738">XLOOKUP(G1738,Reference!$F:$F,Reference!$D:$D,"null")</f>
        <v>Rekreasi dan Kendaraan</v>
      </c>
      <c r="G1738" s="85" t="s">
        <v>102</v>
      </c>
      <c r="H1738" s="86">
        <v>102.2</v>
      </c>
      <c r="I1738" s="86">
        <v>102.13</v>
      </c>
      <c r="J1738" s="87">
        <f t="shared" si="2"/>
        <v>0.06854009596</v>
      </c>
      <c r="K1738" s="84" t="str">
        <f t="shared" si="3"/>
        <v>Inflasi Normal</v>
      </c>
      <c r="L1738" s="84">
        <f t="shared" si="4"/>
        <v>0.07</v>
      </c>
      <c r="M1738" s="88" t="str">
        <f t="shared" si="5"/>
        <v>Perubahan Normal</v>
      </c>
    </row>
    <row r="1739" ht="18.75" customHeight="1">
      <c r="A1739" s="80" t="s">
        <v>485</v>
      </c>
      <c r="B1739" s="81" t="str">
        <f t="shared" si="1"/>
        <v>Banyuwangi</v>
      </c>
      <c r="C1739" s="81" t="str">
        <f t="array" ref="C1739">XLOOKUP(B1739,Reference!$A$2:$A$152,Reference!$B$2:$B$152)</f>
        <v>Jawa Timur</v>
      </c>
      <c r="D1739" s="82" t="s">
        <v>2178</v>
      </c>
      <c r="E1739" s="83">
        <v>45323.0</v>
      </c>
      <c r="F1739" s="84" t="str">
        <f t="array" ref="F1739">XLOOKUP(G1739,Reference!$F:$F,Reference!$D:$D,"null")</f>
        <v>Makanan dan Pakaian </v>
      </c>
      <c r="G1739" s="85" t="s">
        <v>56</v>
      </c>
      <c r="H1739" s="86">
        <v>103.75</v>
      </c>
      <c r="I1739" s="86">
        <v>103.75</v>
      </c>
      <c r="J1739" s="87">
        <f t="shared" si="2"/>
        <v>0</v>
      </c>
      <c r="K1739" s="84" t="str">
        <f t="shared" si="3"/>
        <v>Stabil</v>
      </c>
      <c r="L1739" s="84">
        <f t="shared" si="4"/>
        <v>0</v>
      </c>
      <c r="M1739" s="88" t="str">
        <f t="shared" si="5"/>
        <v>Perubahan Normal</v>
      </c>
    </row>
    <row r="1740" ht="18.75" customHeight="1">
      <c r="A1740" s="80" t="s">
        <v>532</v>
      </c>
      <c r="B1740" s="81" t="str">
        <f t="shared" si="1"/>
        <v>Kota Palembang</v>
      </c>
      <c r="C1740" s="81" t="str">
        <f t="array" ref="C1740">XLOOKUP(B1740,Reference!$A$2:$A$152,Reference!$B$2:$B$152)</f>
        <v>Sumatera Selatan</v>
      </c>
      <c r="D1740" s="82" t="s">
        <v>2179</v>
      </c>
      <c r="E1740" s="83">
        <v>45323.0</v>
      </c>
      <c r="F1740" s="84" t="str">
        <f t="array" ref="F1740">XLOOKUP(G1740,Reference!$F:$F,Reference!$D:$D,"null")</f>
        <v>Makanan dan Pakaian </v>
      </c>
      <c r="G1740" s="85" t="s">
        <v>64</v>
      </c>
      <c r="H1740" s="86">
        <v>102.35</v>
      </c>
      <c r="I1740" s="86">
        <v>102.34</v>
      </c>
      <c r="J1740" s="87">
        <f t="shared" si="2"/>
        <v>0.009771350401</v>
      </c>
      <c r="K1740" s="84" t="str">
        <f t="shared" si="3"/>
        <v>Inflasi Normal</v>
      </c>
      <c r="L1740" s="84">
        <f t="shared" si="4"/>
        <v>0.01</v>
      </c>
      <c r="M1740" s="88" t="str">
        <f t="shared" si="5"/>
        <v>Perubahan Normal</v>
      </c>
    </row>
    <row r="1741" ht="18.75" customHeight="1">
      <c r="A1741" s="80" t="s">
        <v>306</v>
      </c>
      <c r="B1741" s="81" t="str">
        <f t="shared" si="1"/>
        <v>Kota Padang</v>
      </c>
      <c r="C1741" s="81" t="str">
        <f t="array" ref="C1741">XLOOKUP(B1741,Reference!$A$2:$A$152,Reference!$B$2:$B$152)</f>
        <v>Sumatera Barat</v>
      </c>
      <c r="D1741" s="82" t="s">
        <v>2180</v>
      </c>
      <c r="E1741" s="83">
        <v>45352.0</v>
      </c>
      <c r="F1741" s="84" t="str">
        <f t="array" ref="F1741">XLOOKUP(G1741,Reference!$F:$F,Reference!$D:$D,"null")</f>
        <v>Rekreasi dan Kendaraan</v>
      </c>
      <c r="G1741" s="85" t="s">
        <v>105</v>
      </c>
      <c r="H1741" s="86">
        <v>105.76</v>
      </c>
      <c r="I1741" s="86">
        <v>105.76</v>
      </c>
      <c r="J1741" s="87">
        <f t="shared" si="2"/>
        <v>0</v>
      </c>
      <c r="K1741" s="84" t="str">
        <f t="shared" si="3"/>
        <v>Stabil</v>
      </c>
      <c r="L1741" s="84">
        <f t="shared" si="4"/>
        <v>0</v>
      </c>
      <c r="M1741" s="88" t="str">
        <f t="shared" si="5"/>
        <v>Perubahan Normal</v>
      </c>
    </row>
    <row r="1742" ht="18.75" customHeight="1">
      <c r="A1742" s="80" t="s">
        <v>427</v>
      </c>
      <c r="B1742" s="81" t="str">
        <f t="shared" si="1"/>
        <v>Kota Malang</v>
      </c>
      <c r="C1742" s="81" t="str">
        <f t="array" ref="C1742">XLOOKUP(B1742,Reference!$A$2:$A$152,Reference!$B$2:$B$152)</f>
        <v>Jawa Timur</v>
      </c>
      <c r="D1742" s="82" t="s">
        <v>2181</v>
      </c>
      <c r="E1742" s="83">
        <v>45352.0</v>
      </c>
      <c r="F1742" s="84" t="str">
        <f t="array" ref="F1742">XLOOKUP(G1742,Reference!$F:$F,Reference!$D:$D,"null")</f>
        <v>Rekreasi dan Kendaraan</v>
      </c>
      <c r="G1742" s="85" t="s">
        <v>105</v>
      </c>
      <c r="H1742" s="86">
        <v>103.79</v>
      </c>
      <c r="I1742" s="86">
        <v>103.72</v>
      </c>
      <c r="J1742" s="87">
        <f t="shared" si="2"/>
        <v>0.06748939452</v>
      </c>
      <c r="K1742" s="84" t="str">
        <f t="shared" si="3"/>
        <v>Inflasi Normal</v>
      </c>
      <c r="L1742" s="84">
        <f t="shared" si="4"/>
        <v>0.07</v>
      </c>
      <c r="M1742" s="88" t="str">
        <f t="shared" si="5"/>
        <v>Perubahan Normal</v>
      </c>
    </row>
    <row r="1743" ht="18.75" customHeight="1">
      <c r="A1743" s="80" t="s">
        <v>584</v>
      </c>
      <c r="B1743" s="81" t="str">
        <f t="shared" si="1"/>
        <v>Kota Sibolga</v>
      </c>
      <c r="C1743" s="81" t="str">
        <f t="array" ref="C1743">XLOOKUP(B1743,Reference!$A$2:$A$152,Reference!$B$2:$B$152)</f>
        <v>Sumatera Utara</v>
      </c>
      <c r="D1743" s="82" t="s">
        <v>2182</v>
      </c>
      <c r="E1743" s="83">
        <v>45352.0</v>
      </c>
      <c r="F1743" s="84" t="str">
        <f t="array" ref="F1743">XLOOKUP(G1743,Reference!$F:$F,Reference!$D:$D,"null")</f>
        <v>Makanan dan Pakaian </v>
      </c>
      <c r="G1743" s="85" t="s">
        <v>48</v>
      </c>
      <c r="H1743" s="86">
        <v>111.74</v>
      </c>
      <c r="I1743" s="86">
        <v>109.53</v>
      </c>
      <c r="J1743" s="87">
        <f t="shared" si="2"/>
        <v>2.017712042</v>
      </c>
      <c r="K1743" s="84" t="str">
        <f t="shared" si="3"/>
        <v>Inflasi Tinggi</v>
      </c>
      <c r="L1743" s="84">
        <f t="shared" si="4"/>
        <v>2.21</v>
      </c>
      <c r="M1743" s="88" t="str">
        <f t="shared" si="5"/>
        <v>Akselerasi Kuat</v>
      </c>
    </row>
    <row r="1744" ht="18.75" customHeight="1">
      <c r="A1744" s="80" t="s">
        <v>410</v>
      </c>
      <c r="B1744" s="81" t="str">
        <f t="shared" si="1"/>
        <v>Meulaboh</v>
      </c>
      <c r="C1744" s="81" t="str">
        <f t="array" ref="C1744">XLOOKUP(B1744,Reference!$A$2:$A$152,Reference!$B$2:$B$152)</f>
        <v>Aceh</v>
      </c>
      <c r="D1744" s="82" t="s">
        <v>2183</v>
      </c>
      <c r="E1744" s="83">
        <v>45352.0</v>
      </c>
      <c r="F1744" s="84" t="str">
        <f t="array" ref="F1744">XLOOKUP(G1744,Reference!$F:$F,Reference!$D:$D,"null")</f>
        <v>Rekreasi dan Kendaraan</v>
      </c>
      <c r="G1744" s="85" t="s">
        <v>102</v>
      </c>
      <c r="H1744" s="86">
        <v>101.66</v>
      </c>
      <c r="I1744" s="86">
        <v>101.66</v>
      </c>
      <c r="J1744" s="87">
        <f t="shared" si="2"/>
        <v>0</v>
      </c>
      <c r="K1744" s="84" t="str">
        <f t="shared" si="3"/>
        <v>Stabil</v>
      </c>
      <c r="L1744" s="84">
        <f t="shared" si="4"/>
        <v>0</v>
      </c>
      <c r="M1744" s="88" t="str">
        <f t="shared" si="5"/>
        <v>Perubahan Normal</v>
      </c>
    </row>
    <row r="1745" ht="18.75" customHeight="1">
      <c r="A1745" s="80" t="s">
        <v>542</v>
      </c>
      <c r="B1745" s="81" t="str">
        <f t="shared" si="1"/>
        <v>Kab Karo</v>
      </c>
      <c r="C1745" s="81" t="str">
        <f t="array" ref="C1745">XLOOKUP(B1745,Reference!$A$2:$A$152,Reference!$B$2:$B$152)</f>
        <v>Sumatera Utara</v>
      </c>
      <c r="D1745" s="82" t="s">
        <v>2184</v>
      </c>
      <c r="E1745" s="83">
        <v>45352.0</v>
      </c>
      <c r="F1745" s="84" t="str">
        <f t="array" ref="F1745">XLOOKUP(G1745,Reference!$F:$F,Reference!$D:$D,"null")</f>
        <v>Makanan dan Pakaian </v>
      </c>
      <c r="G1745" s="85" t="s">
        <v>48</v>
      </c>
      <c r="H1745" s="86">
        <v>107.49</v>
      </c>
      <c r="I1745" s="86">
        <v>107.34</v>
      </c>
      <c r="J1745" s="87">
        <f t="shared" si="2"/>
        <v>0.1397428731</v>
      </c>
      <c r="K1745" s="84" t="str">
        <f t="shared" si="3"/>
        <v>Inflasi Normal</v>
      </c>
      <c r="L1745" s="84">
        <f t="shared" si="4"/>
        <v>0.15</v>
      </c>
      <c r="M1745" s="88" t="str">
        <f t="shared" si="5"/>
        <v>Perubahan Normal</v>
      </c>
    </row>
    <row r="1746" ht="18.75" customHeight="1">
      <c r="A1746" s="80" t="s">
        <v>814</v>
      </c>
      <c r="B1746" s="81" t="str">
        <f t="shared" si="1"/>
        <v>Kota Samarinda</v>
      </c>
      <c r="C1746" s="81" t="str">
        <f t="array" ref="C1746">XLOOKUP(B1746,Reference!$A$2:$A$152,Reference!$B$2:$B$152)</f>
        <v>Kalimantan Timur</v>
      </c>
      <c r="D1746" s="82" t="s">
        <v>2185</v>
      </c>
      <c r="E1746" s="83">
        <v>45352.0</v>
      </c>
      <c r="F1746" s="84" t="str">
        <f t="array" ref="F1746">XLOOKUP(G1746,Reference!$F:$F,Reference!$D:$D,"null")</f>
        <v>Pendidikan dan Kesehatan</v>
      </c>
      <c r="G1746" s="85" t="s">
        <v>98</v>
      </c>
      <c r="H1746" s="86">
        <v>104.16</v>
      </c>
      <c r="I1746" s="86">
        <v>104.18</v>
      </c>
      <c r="J1746" s="87">
        <f t="shared" si="2"/>
        <v>-0.01919754271</v>
      </c>
      <c r="K1746" s="84" t="str">
        <f t="shared" si="3"/>
        <v>Deflasi</v>
      </c>
      <c r="L1746" s="84">
        <f t="shared" si="4"/>
        <v>-0.02</v>
      </c>
      <c r="M1746" s="88" t="str">
        <f t="shared" si="5"/>
        <v>Perubahan Normal</v>
      </c>
    </row>
    <row r="1747" ht="18.75" customHeight="1">
      <c r="A1747" s="80" t="s">
        <v>822</v>
      </c>
      <c r="B1747" s="81" t="str">
        <f t="shared" si="1"/>
        <v>Kota Pontianak</v>
      </c>
      <c r="C1747" s="81" t="str">
        <f t="array" ref="C1747">XLOOKUP(B1747,Reference!$A$2:$A$152,Reference!$B$2:$B$152)</f>
        <v>Kalimantan Barat</v>
      </c>
      <c r="D1747" s="82" t="s">
        <v>2186</v>
      </c>
      <c r="E1747" s="83">
        <v>45323.0</v>
      </c>
      <c r="F1747" s="84" t="str">
        <f t="array" ref="F1747">XLOOKUP(G1747,Reference!$F:$F,Reference!$D:$D,"null")</f>
        <v>Makanan dan Pakaian </v>
      </c>
      <c r="G1747" s="85" t="s">
        <v>72</v>
      </c>
      <c r="H1747" s="86">
        <v>100.73</v>
      </c>
      <c r="I1747" s="86">
        <v>102.63</v>
      </c>
      <c r="J1747" s="87">
        <f t="shared" si="2"/>
        <v>-1.851310533</v>
      </c>
      <c r="K1747" s="84" t="str">
        <f t="shared" si="3"/>
        <v>Deflasi</v>
      </c>
      <c r="L1747" s="84">
        <f t="shared" si="4"/>
        <v>-1.9</v>
      </c>
      <c r="M1747" s="88" t="str">
        <f t="shared" si="5"/>
        <v>Perubahan Normal</v>
      </c>
    </row>
    <row r="1748" ht="18.75" customHeight="1">
      <c r="A1748" s="80" t="s">
        <v>925</v>
      </c>
      <c r="B1748" s="81" t="str">
        <f t="shared" si="1"/>
        <v>Kota Jakarta</v>
      </c>
      <c r="C1748" s="81" t="str">
        <f t="array" ref="C1748">XLOOKUP(B1748,Reference!$A$2:$A$152,Reference!$B$2:$B$152)</f>
        <v>DKI Jakarta</v>
      </c>
      <c r="D1748" s="82" t="s">
        <v>2187</v>
      </c>
      <c r="E1748" s="83">
        <v>45323.0</v>
      </c>
      <c r="F1748" s="84" t="str">
        <f t="array" ref="F1748">XLOOKUP(G1748,Reference!$F:$F,Reference!$D:$D,"null")</f>
        <v>Rekreasi dan Kendaraan</v>
      </c>
      <c r="G1748" s="85" t="s">
        <v>105</v>
      </c>
      <c r="H1748" s="86">
        <v>100.77</v>
      </c>
      <c r="I1748" s="86">
        <v>100.77</v>
      </c>
      <c r="J1748" s="87">
        <f t="shared" si="2"/>
        <v>0</v>
      </c>
      <c r="K1748" s="84" t="str">
        <f t="shared" si="3"/>
        <v>Stabil</v>
      </c>
      <c r="L1748" s="84">
        <f t="shared" si="4"/>
        <v>0</v>
      </c>
      <c r="M1748" s="88" t="str">
        <f t="shared" si="5"/>
        <v>Perubahan Normal</v>
      </c>
    </row>
    <row r="1749" ht="18.75" customHeight="1">
      <c r="A1749" s="80" t="s">
        <v>320</v>
      </c>
      <c r="B1749" s="81" t="str">
        <f t="shared" si="1"/>
        <v>Kota Manado</v>
      </c>
      <c r="C1749" s="81" t="str">
        <f t="array" ref="C1749">XLOOKUP(B1749,Reference!$A$2:$A$152,Reference!$B$2:$B$152)</f>
        <v>Sulawesi Utara</v>
      </c>
      <c r="D1749" s="82" t="s">
        <v>2188</v>
      </c>
      <c r="E1749" s="83">
        <v>45352.0</v>
      </c>
      <c r="F1749" s="84" t="str">
        <f t="array" ref="F1749">XLOOKUP(G1749,Reference!$F:$F,Reference!$D:$D,"null")</f>
        <v>Pendidikan dan Kesehatan</v>
      </c>
      <c r="G1749" s="85" t="s">
        <v>98</v>
      </c>
      <c r="H1749" s="86">
        <v>99.05</v>
      </c>
      <c r="I1749" s="86">
        <v>99.05</v>
      </c>
      <c r="J1749" s="87">
        <f t="shared" si="2"/>
        <v>0</v>
      </c>
      <c r="K1749" s="84" t="str">
        <f t="shared" si="3"/>
        <v>Stabil</v>
      </c>
      <c r="L1749" s="84">
        <f t="shared" si="4"/>
        <v>0</v>
      </c>
      <c r="M1749" s="88" t="str">
        <f t="shared" si="5"/>
        <v>Perubahan Normal</v>
      </c>
    </row>
    <row r="1750" ht="18.75" customHeight="1">
      <c r="A1750" s="80" t="s">
        <v>594</v>
      </c>
      <c r="B1750" s="81" t="str">
        <f t="shared" si="1"/>
        <v>Kota Kendari</v>
      </c>
      <c r="C1750" s="81" t="str">
        <f t="array" ref="C1750">XLOOKUP(B1750,Reference!$A$2:$A$152,Reference!$B$2:$B$152)</f>
        <v>Sulawesi Tenggara</v>
      </c>
      <c r="D1750" s="82" t="s">
        <v>2189</v>
      </c>
      <c r="E1750" s="83">
        <v>45323.0</v>
      </c>
      <c r="F1750" s="84" t="str">
        <f t="array" ref="F1750">XLOOKUP(G1750,Reference!$F:$F,Reference!$D:$D,"null")</f>
        <v>Rumah Tangga</v>
      </c>
      <c r="G1750" s="85" t="s">
        <v>89</v>
      </c>
      <c r="H1750" s="86">
        <v>100.9</v>
      </c>
      <c r="I1750" s="86">
        <v>100.49</v>
      </c>
      <c r="J1750" s="87">
        <f t="shared" si="2"/>
        <v>0.4080007961</v>
      </c>
      <c r="K1750" s="84" t="str">
        <f t="shared" si="3"/>
        <v>Inflasi Normal</v>
      </c>
      <c r="L1750" s="84">
        <f t="shared" si="4"/>
        <v>0.41</v>
      </c>
      <c r="M1750" s="88" t="str">
        <f t="shared" si="5"/>
        <v>Perubahan Normal</v>
      </c>
    </row>
    <row r="1751" ht="18.75" customHeight="1">
      <c r="A1751" s="80" t="s">
        <v>462</v>
      </c>
      <c r="B1751" s="81" t="str">
        <f t="shared" si="1"/>
        <v>Kota Probolinggo</v>
      </c>
      <c r="C1751" s="81" t="str">
        <f t="array" ref="C1751">XLOOKUP(B1751,Reference!$A$2:$A$152,Reference!$B$2:$B$152)</f>
        <v>Jawa Timur</v>
      </c>
      <c r="D1751" s="82" t="s">
        <v>2190</v>
      </c>
      <c r="E1751" s="83">
        <v>45323.0</v>
      </c>
      <c r="F1751" s="84" t="str">
        <f t="array" ref="F1751">XLOOKUP(G1751,Reference!$F:$F,Reference!$D:$D,"null")</f>
        <v>Rekreasi dan Kendaraan</v>
      </c>
      <c r="G1751" s="85" t="s">
        <v>102</v>
      </c>
      <c r="H1751" s="86">
        <v>103.0</v>
      </c>
      <c r="I1751" s="86">
        <v>102.88</v>
      </c>
      <c r="J1751" s="87">
        <f t="shared" si="2"/>
        <v>0.1166407465</v>
      </c>
      <c r="K1751" s="84" t="str">
        <f t="shared" si="3"/>
        <v>Inflasi Normal</v>
      </c>
      <c r="L1751" s="84">
        <f t="shared" si="4"/>
        <v>0.12</v>
      </c>
      <c r="M1751" s="88" t="str">
        <f t="shared" si="5"/>
        <v>Perubahan Normal</v>
      </c>
    </row>
    <row r="1752" ht="18.75" customHeight="1">
      <c r="A1752" s="80" t="s">
        <v>508</v>
      </c>
      <c r="B1752" s="81" t="str">
        <f t="shared" si="1"/>
        <v>Kab Minahasa Selatan</v>
      </c>
      <c r="C1752" s="81" t="str">
        <f t="array" ref="C1752">XLOOKUP(B1752,Reference!$A$2:$A$152,Reference!$B$2:$B$152)</f>
        <v>Sulawesi Utara</v>
      </c>
      <c r="D1752" s="82" t="s">
        <v>2191</v>
      </c>
      <c r="E1752" s="83">
        <v>45352.0</v>
      </c>
      <c r="F1752" s="84" t="str">
        <f t="array" ref="F1752">XLOOKUP(G1752,Reference!$F:$F,Reference!$D:$D,"null")</f>
        <v>Makanan dan Pakaian </v>
      </c>
      <c r="G1752" s="85" t="s">
        <v>64</v>
      </c>
      <c r="H1752" s="86">
        <v>100.33</v>
      </c>
      <c r="I1752" s="86">
        <v>100.32</v>
      </c>
      <c r="J1752" s="87">
        <f t="shared" si="2"/>
        <v>0.009968102073</v>
      </c>
      <c r="K1752" s="84" t="str">
        <f t="shared" si="3"/>
        <v>Inflasi Normal</v>
      </c>
      <c r="L1752" s="84">
        <f t="shared" si="4"/>
        <v>0.01</v>
      </c>
      <c r="M1752" s="88" t="str">
        <f t="shared" si="5"/>
        <v>Perubahan Normal</v>
      </c>
    </row>
    <row r="1753" ht="18.75" customHeight="1">
      <c r="A1753" s="80" t="s">
        <v>419</v>
      </c>
      <c r="B1753" s="81" t="str">
        <f t="shared" si="1"/>
        <v>Kota Singkawang</v>
      </c>
      <c r="C1753" s="81" t="str">
        <f t="array" ref="C1753">XLOOKUP(B1753,Reference!$A$2:$A$152,Reference!$B$2:$B$152)</f>
        <v>Kalimantan Barat</v>
      </c>
      <c r="D1753" s="82" t="s">
        <v>2192</v>
      </c>
      <c r="E1753" s="83">
        <v>45352.0</v>
      </c>
      <c r="F1753" s="84" t="str">
        <f t="array" ref="F1753">XLOOKUP(G1753,Reference!$F:$F,Reference!$D:$D,"null")</f>
        <v>Makanan dan Pakaian </v>
      </c>
      <c r="G1753" s="85" t="s">
        <v>64</v>
      </c>
      <c r="H1753" s="86">
        <v>102.26</v>
      </c>
      <c r="I1753" s="86">
        <v>102.15</v>
      </c>
      <c r="J1753" s="87">
        <f t="shared" si="2"/>
        <v>0.1076847773</v>
      </c>
      <c r="K1753" s="84" t="str">
        <f t="shared" si="3"/>
        <v>Inflasi Normal</v>
      </c>
      <c r="L1753" s="84">
        <f t="shared" si="4"/>
        <v>0.11</v>
      </c>
      <c r="M1753" s="88" t="str">
        <f t="shared" si="5"/>
        <v>Perubahan Normal</v>
      </c>
    </row>
    <row r="1754" ht="18.75" customHeight="1">
      <c r="A1754" s="80" t="s">
        <v>322</v>
      </c>
      <c r="B1754" s="81" t="str">
        <f t="shared" si="1"/>
        <v>Purwokerto</v>
      </c>
      <c r="C1754" s="81" t="str">
        <f t="array" ref="C1754">XLOOKUP(B1754,Reference!$A$2:$A$152,Reference!$B$2:$B$152)</f>
        <v>Jawa Tengah</v>
      </c>
      <c r="D1754" s="82" t="s">
        <v>2193</v>
      </c>
      <c r="E1754" s="83">
        <v>45352.0</v>
      </c>
      <c r="F1754" s="84" t="str">
        <f t="array" ref="F1754">XLOOKUP(G1754,Reference!$F:$F,Reference!$D:$D,"null")</f>
        <v>Rumah Tangga</v>
      </c>
      <c r="G1754" s="85" t="s">
        <v>84</v>
      </c>
      <c r="H1754" s="86">
        <v>100.49</v>
      </c>
      <c r="I1754" s="86">
        <v>100.49</v>
      </c>
      <c r="J1754" s="87">
        <f t="shared" si="2"/>
        <v>0</v>
      </c>
      <c r="K1754" s="84" t="str">
        <f t="shared" si="3"/>
        <v>Stabil</v>
      </c>
      <c r="L1754" s="84">
        <f t="shared" si="4"/>
        <v>0</v>
      </c>
      <c r="M1754" s="88" t="str">
        <f t="shared" si="5"/>
        <v>Perubahan Normal</v>
      </c>
    </row>
    <row r="1755" ht="18.75" customHeight="1">
      <c r="A1755" s="80" t="s">
        <v>454</v>
      </c>
      <c r="B1755" s="81" t="str">
        <f t="shared" si="1"/>
        <v>Kab Ketapang</v>
      </c>
      <c r="C1755" s="81" t="str">
        <f t="array" ref="C1755">XLOOKUP(B1755,Reference!$A$2:$A$152,Reference!$B$2:$B$152)</f>
        <v>Kalimantan Barat</v>
      </c>
      <c r="D1755" s="82" t="s">
        <v>2194</v>
      </c>
      <c r="E1755" s="83">
        <v>45323.0</v>
      </c>
      <c r="F1755" s="84" t="str">
        <f t="array" ref="F1755">XLOOKUP(G1755,Reference!$F:$F,Reference!$D:$D,"null")</f>
        <v>Rekreasi dan Kendaraan</v>
      </c>
      <c r="G1755" s="85" t="s">
        <v>105</v>
      </c>
      <c r="H1755" s="86">
        <v>102.21</v>
      </c>
      <c r="I1755" s="86">
        <v>101.94</v>
      </c>
      <c r="J1755" s="87">
        <f t="shared" si="2"/>
        <v>0.2648616833</v>
      </c>
      <c r="K1755" s="84" t="str">
        <f t="shared" si="3"/>
        <v>Inflasi Normal</v>
      </c>
      <c r="L1755" s="84">
        <f t="shared" si="4"/>
        <v>0.27</v>
      </c>
      <c r="M1755" s="88" t="str">
        <f t="shared" si="5"/>
        <v>Perubahan Normal</v>
      </c>
    </row>
    <row r="1756" ht="18.75" customHeight="1">
      <c r="A1756" s="80" t="s">
        <v>731</v>
      </c>
      <c r="B1756" s="81" t="str">
        <f t="shared" si="1"/>
        <v>Kab Hulu Sungai Tengah</v>
      </c>
      <c r="C1756" s="81" t="str">
        <f t="array" ref="C1756">XLOOKUP(B1756,Reference!$A$2:$A$152,Reference!$B$2:$B$152)</f>
        <v>Kalimantan Selatan</v>
      </c>
      <c r="D1756" s="82" t="s">
        <v>2195</v>
      </c>
      <c r="E1756" s="83">
        <v>45352.0</v>
      </c>
      <c r="F1756" s="84" t="str">
        <f t="array" ref="F1756">XLOOKUP(G1756,Reference!$F:$F,Reference!$D:$D,"null")</f>
        <v>Rekreasi dan Kendaraan</v>
      </c>
      <c r="G1756" s="85" t="s">
        <v>102</v>
      </c>
      <c r="H1756" s="86">
        <v>105.02</v>
      </c>
      <c r="I1756" s="86">
        <v>101.12</v>
      </c>
      <c r="J1756" s="87">
        <f t="shared" si="2"/>
        <v>3.856803797</v>
      </c>
      <c r="K1756" s="84" t="str">
        <f t="shared" si="3"/>
        <v>Inflasi Tinggi</v>
      </c>
      <c r="L1756" s="84">
        <f t="shared" si="4"/>
        <v>3.9</v>
      </c>
      <c r="M1756" s="88" t="str">
        <f t="shared" si="5"/>
        <v>Akselerasi Kuat</v>
      </c>
    </row>
    <row r="1757" ht="18.75" customHeight="1">
      <c r="A1757" s="80" t="s">
        <v>539</v>
      </c>
      <c r="B1757" s="81" t="str">
        <f t="shared" si="1"/>
        <v>Kab Sorong Selatan</v>
      </c>
      <c r="C1757" s="81" t="str">
        <f t="array" ref="C1757">XLOOKUP(B1757,Reference!$A$2:$A$152,Reference!$B$2:$B$152)</f>
        <v>Papua Barat Daya</v>
      </c>
      <c r="D1757" s="82" t="s">
        <v>2196</v>
      </c>
      <c r="E1757" s="83">
        <v>45352.0</v>
      </c>
      <c r="F1757" s="84" t="str">
        <f t="array" ref="F1757">XLOOKUP(G1757,Reference!$F:$F,Reference!$D:$D,"null")</f>
        <v>Pendidikan dan Kesehatan</v>
      </c>
      <c r="G1757" s="85" t="s">
        <v>95</v>
      </c>
      <c r="H1757" s="86">
        <v>101.15</v>
      </c>
      <c r="I1757" s="86">
        <v>101.15</v>
      </c>
      <c r="J1757" s="87">
        <f t="shared" si="2"/>
        <v>0</v>
      </c>
      <c r="K1757" s="84" t="str">
        <f t="shared" si="3"/>
        <v>Stabil</v>
      </c>
      <c r="L1757" s="84">
        <f t="shared" si="4"/>
        <v>0</v>
      </c>
      <c r="M1757" s="88" t="str">
        <f t="shared" si="5"/>
        <v>Perubahan Normal</v>
      </c>
    </row>
    <row r="1758" ht="18.75" customHeight="1">
      <c r="A1758" s="80" t="s">
        <v>731</v>
      </c>
      <c r="B1758" s="81" t="str">
        <f t="shared" si="1"/>
        <v>Kab Hulu Sungai Tengah</v>
      </c>
      <c r="C1758" s="81" t="str">
        <f t="array" ref="C1758">XLOOKUP(B1758,Reference!$A$2:$A$152,Reference!$B$2:$B$152)</f>
        <v>Kalimantan Selatan</v>
      </c>
      <c r="D1758" s="82" t="s">
        <v>2197</v>
      </c>
      <c r="E1758" s="83">
        <v>45323.0</v>
      </c>
      <c r="F1758" s="84" t="str">
        <f t="array" ref="F1758">XLOOKUP(G1758,Reference!$F:$F,Reference!$D:$D,"null")</f>
        <v>Rekreasi dan Kendaraan</v>
      </c>
      <c r="G1758" s="85" t="s">
        <v>105</v>
      </c>
      <c r="H1758" s="86">
        <v>102.93</v>
      </c>
      <c r="I1758" s="86">
        <v>102.93</v>
      </c>
      <c r="J1758" s="87">
        <f t="shared" si="2"/>
        <v>0</v>
      </c>
      <c r="K1758" s="84" t="str">
        <f t="shared" si="3"/>
        <v>Stabil</v>
      </c>
      <c r="L1758" s="84">
        <f t="shared" si="4"/>
        <v>0</v>
      </c>
      <c r="M1758" s="88" t="str">
        <f t="shared" si="5"/>
        <v>Perubahan Normal</v>
      </c>
    </row>
    <row r="1759" ht="18.75" customHeight="1">
      <c r="A1759" s="80" t="s">
        <v>308</v>
      </c>
      <c r="B1759" s="81" t="str">
        <f t="shared" si="1"/>
        <v>Kab Sukamara</v>
      </c>
      <c r="C1759" s="81" t="str">
        <f t="array" ref="C1759">XLOOKUP(B1759,Reference!$A$2:$A$152,Reference!$B$2:$B$152)</f>
        <v>Kalimantan Tengah</v>
      </c>
      <c r="D1759" s="82" t="s">
        <v>2198</v>
      </c>
      <c r="E1759" s="83">
        <v>45352.0</v>
      </c>
      <c r="F1759" s="84" t="str">
        <f t="array" ref="F1759">XLOOKUP(G1759,Reference!$F:$F,Reference!$D:$D,"null")</f>
        <v>Makanan dan Pakaian </v>
      </c>
      <c r="G1759" s="85" t="s">
        <v>64</v>
      </c>
      <c r="H1759" s="86">
        <v>107.75</v>
      </c>
      <c r="I1759" s="86">
        <v>107.75</v>
      </c>
      <c r="J1759" s="87">
        <f t="shared" si="2"/>
        <v>0</v>
      </c>
      <c r="K1759" s="84" t="str">
        <f t="shared" si="3"/>
        <v>Stabil</v>
      </c>
      <c r="L1759" s="84">
        <f t="shared" si="4"/>
        <v>0</v>
      </c>
      <c r="M1759" s="88" t="str">
        <f t="shared" si="5"/>
        <v>Perubahan Normal</v>
      </c>
    </row>
    <row r="1760" ht="18.75" customHeight="1">
      <c r="A1760" s="80" t="s">
        <v>408</v>
      </c>
      <c r="B1760" s="81" t="str">
        <f t="shared" si="1"/>
        <v>Manokwari</v>
      </c>
      <c r="C1760" s="81" t="str">
        <f t="array" ref="C1760">XLOOKUP(B1760,Reference!$A$2:$A$152,Reference!$B$2:$B$152)</f>
        <v>Papua Barat Daya</v>
      </c>
      <c r="D1760" s="82" t="s">
        <v>2199</v>
      </c>
      <c r="E1760" s="83">
        <v>45323.0</v>
      </c>
      <c r="F1760" s="84" t="str">
        <f t="array" ref="F1760">XLOOKUP(G1760,Reference!$F:$F,Reference!$D:$D,"null")</f>
        <v>Rekreasi dan Kendaraan</v>
      </c>
      <c r="G1760" s="85" t="s">
        <v>102</v>
      </c>
      <c r="H1760" s="86">
        <v>108.22</v>
      </c>
      <c r="I1760" s="86">
        <v>108.22</v>
      </c>
      <c r="J1760" s="87">
        <f t="shared" si="2"/>
        <v>0</v>
      </c>
      <c r="K1760" s="84" t="str">
        <f t="shared" si="3"/>
        <v>Stabil</v>
      </c>
      <c r="L1760" s="84">
        <f t="shared" si="4"/>
        <v>0</v>
      </c>
      <c r="M1760" s="88" t="str">
        <f t="shared" si="5"/>
        <v>Perubahan Normal</v>
      </c>
    </row>
    <row r="1761" ht="18.75" customHeight="1">
      <c r="A1761" s="80" t="s">
        <v>454</v>
      </c>
      <c r="B1761" s="81" t="str">
        <f t="shared" si="1"/>
        <v>Kab Ketapang</v>
      </c>
      <c r="C1761" s="81" t="str">
        <f t="array" ref="C1761">XLOOKUP(B1761,Reference!$A$2:$A$152,Reference!$B$2:$B$152)</f>
        <v>Kalimantan Barat</v>
      </c>
      <c r="D1761" s="82" t="s">
        <v>2200</v>
      </c>
      <c r="E1761" s="83">
        <v>45352.0</v>
      </c>
      <c r="F1761" s="84" t="str">
        <f t="array" ref="F1761">XLOOKUP(G1761,Reference!$F:$F,Reference!$D:$D,"null")</f>
        <v>Rumah Tangga</v>
      </c>
      <c r="G1761" s="89" t="s">
        <v>84</v>
      </c>
      <c r="H1761" s="90">
        <v>100.0</v>
      </c>
      <c r="I1761" s="90">
        <v>100.0</v>
      </c>
      <c r="J1761" s="87">
        <f t="shared" si="2"/>
        <v>0</v>
      </c>
      <c r="K1761" s="84" t="str">
        <f t="shared" si="3"/>
        <v>Stabil</v>
      </c>
      <c r="L1761" s="91">
        <f t="shared" si="4"/>
        <v>0</v>
      </c>
      <c r="M1761" s="88" t="str">
        <f t="shared" si="5"/>
        <v>Perubahan Normal</v>
      </c>
    </row>
    <row r="1762" ht="18.75" customHeight="1">
      <c r="A1762" s="80" t="s">
        <v>468</v>
      </c>
      <c r="B1762" s="81" t="str">
        <f t="shared" si="1"/>
        <v>Timika</v>
      </c>
      <c r="C1762" s="81" t="str">
        <f t="array" ref="C1762">XLOOKUP(B1762,Reference!$A$2:$A$152,Reference!$B$2:$B$152)</f>
        <v>Papua</v>
      </c>
      <c r="D1762" s="82" t="s">
        <v>2201</v>
      </c>
      <c r="E1762" s="83">
        <v>45352.0</v>
      </c>
      <c r="F1762" s="84" t="str">
        <f t="array" ref="F1762">XLOOKUP(G1762,Reference!$F:$F,Reference!$D:$D,"null")</f>
        <v>Rekreasi dan Kendaraan</v>
      </c>
      <c r="G1762" s="85" t="s">
        <v>105</v>
      </c>
      <c r="H1762" s="86">
        <v>109.4</v>
      </c>
      <c r="I1762" s="86">
        <v>108.84</v>
      </c>
      <c r="J1762" s="87">
        <f t="shared" si="2"/>
        <v>0.5145167218</v>
      </c>
      <c r="K1762" s="84" t="str">
        <f t="shared" si="3"/>
        <v>Inflasi Tinggi</v>
      </c>
      <c r="L1762" s="84">
        <f t="shared" si="4"/>
        <v>0.56</v>
      </c>
      <c r="M1762" s="88" t="str">
        <f t="shared" si="5"/>
        <v>Akselerasi Persentase</v>
      </c>
    </row>
    <row r="1763" ht="18.75" customHeight="1">
      <c r="A1763" s="80" t="s">
        <v>382</v>
      </c>
      <c r="B1763" s="81" t="str">
        <f t="shared" si="1"/>
        <v>Kab Ngada</v>
      </c>
      <c r="C1763" s="81" t="str">
        <f t="array" ref="C1763">XLOOKUP(B1763,Reference!$A$2:$A$152,Reference!$B$2:$B$152)</f>
        <v>Nusa Tenggara Timur (NTT)</v>
      </c>
      <c r="D1763" s="82" t="s">
        <v>2202</v>
      </c>
      <c r="E1763" s="83">
        <v>45352.0</v>
      </c>
      <c r="F1763" s="84" t="str">
        <f t="array" ref="F1763">XLOOKUP(G1763,Reference!$F:$F,Reference!$D:$D,"null")</f>
        <v>Rumah Tangga</v>
      </c>
      <c r="G1763" s="85" t="s">
        <v>80</v>
      </c>
      <c r="H1763" s="86">
        <v>100.9</v>
      </c>
      <c r="I1763" s="86">
        <v>100.9</v>
      </c>
      <c r="J1763" s="87">
        <f t="shared" si="2"/>
        <v>0</v>
      </c>
      <c r="K1763" s="84" t="str">
        <f t="shared" si="3"/>
        <v>Stabil</v>
      </c>
      <c r="L1763" s="84">
        <f t="shared" si="4"/>
        <v>0</v>
      </c>
      <c r="M1763" s="88" t="str">
        <f t="shared" si="5"/>
        <v>Perubahan Normal</v>
      </c>
    </row>
    <row r="1764" ht="18.75" customHeight="1">
      <c r="A1764" s="80" t="s">
        <v>384</v>
      </c>
      <c r="B1764" s="81" t="str">
        <f t="shared" si="1"/>
        <v>Kab Lebak</v>
      </c>
      <c r="C1764" s="81" t="str">
        <f t="array" ref="C1764">XLOOKUP(B1764,Reference!$A$2:$A$152,Reference!$B$2:$B$152)</f>
        <v>Banten</v>
      </c>
      <c r="D1764" s="82" t="s">
        <v>2203</v>
      </c>
      <c r="E1764" s="83">
        <v>45352.0</v>
      </c>
      <c r="F1764" s="84" t="str">
        <f t="array" ref="F1764">XLOOKUP(G1764,Reference!$F:$F,Reference!$D:$D,"null")</f>
        <v>Rekreasi dan Kendaraan</v>
      </c>
      <c r="G1764" s="85" t="s">
        <v>105</v>
      </c>
      <c r="H1764" s="86">
        <v>100.54</v>
      </c>
      <c r="I1764" s="86">
        <v>100.54</v>
      </c>
      <c r="J1764" s="87">
        <f t="shared" si="2"/>
        <v>0</v>
      </c>
      <c r="K1764" s="84" t="str">
        <f t="shared" si="3"/>
        <v>Stabil</v>
      </c>
      <c r="L1764" s="84">
        <f t="shared" si="4"/>
        <v>0</v>
      </c>
      <c r="M1764" s="88" t="str">
        <f t="shared" si="5"/>
        <v>Perubahan Normal</v>
      </c>
    </row>
    <row r="1765" ht="18.75" customHeight="1">
      <c r="A1765" s="80" t="s">
        <v>920</v>
      </c>
      <c r="B1765" s="81" t="str">
        <f t="shared" si="1"/>
        <v>Kab Deli Serdang</v>
      </c>
      <c r="C1765" s="81" t="str">
        <f t="array" ref="C1765">XLOOKUP(B1765,Reference!$A$2:$A$152,Reference!$B$2:$B$152)</f>
        <v>Sumatera Utara</v>
      </c>
      <c r="D1765" s="82" t="s">
        <v>2204</v>
      </c>
      <c r="E1765" s="83">
        <v>45323.0</v>
      </c>
      <c r="F1765" s="84" t="str">
        <f t="array" ref="F1765">XLOOKUP(G1765,Reference!$F:$F,Reference!$D:$D,"null")</f>
        <v>Pendidikan dan Kesehatan</v>
      </c>
      <c r="G1765" s="85" t="s">
        <v>98</v>
      </c>
      <c r="H1765" s="86">
        <v>109.58</v>
      </c>
      <c r="I1765" s="86">
        <v>108.51</v>
      </c>
      <c r="J1765" s="87">
        <f t="shared" si="2"/>
        <v>0.9860842319</v>
      </c>
      <c r="K1765" s="84" t="str">
        <f t="shared" si="3"/>
        <v>Inflasi Tinggi</v>
      </c>
      <c r="L1765" s="84">
        <f t="shared" si="4"/>
        <v>1.07</v>
      </c>
      <c r="M1765" s="88" t="str">
        <f t="shared" si="5"/>
        <v>Akselerasi Persentase</v>
      </c>
    </row>
    <row r="1766" ht="18.75" customHeight="1">
      <c r="A1766" s="80" t="s">
        <v>367</v>
      </c>
      <c r="B1766" s="81" t="str">
        <f t="shared" si="1"/>
        <v>Kota Jambi</v>
      </c>
      <c r="C1766" s="81" t="str">
        <f t="array" ref="C1766">XLOOKUP(B1766,Reference!$A$2:$A$152,Reference!$B$2:$B$152)</f>
        <v>Jambi</v>
      </c>
      <c r="D1766" s="82" t="s">
        <v>2205</v>
      </c>
      <c r="E1766" s="83">
        <v>45323.0</v>
      </c>
      <c r="F1766" s="84" t="str">
        <f t="array" ref="F1766">XLOOKUP(G1766,Reference!$F:$F,Reference!$D:$D,"null")</f>
        <v>Rumah Tangga</v>
      </c>
      <c r="G1766" s="85" t="s">
        <v>84</v>
      </c>
      <c r="H1766" s="86">
        <v>102.45</v>
      </c>
      <c r="I1766" s="86">
        <v>102.45</v>
      </c>
      <c r="J1766" s="87">
        <f t="shared" si="2"/>
        <v>0</v>
      </c>
      <c r="K1766" s="84" t="str">
        <f t="shared" si="3"/>
        <v>Stabil</v>
      </c>
      <c r="L1766" s="84">
        <f t="shared" si="4"/>
        <v>0</v>
      </c>
      <c r="M1766" s="88" t="str">
        <f t="shared" si="5"/>
        <v>Perubahan Normal</v>
      </c>
    </row>
    <row r="1767" ht="18.75" customHeight="1">
      <c r="A1767" s="80" t="s">
        <v>581</v>
      </c>
      <c r="B1767" s="81" t="str">
        <f t="shared" si="1"/>
        <v>Kab Dharmasraya</v>
      </c>
      <c r="C1767" s="81" t="str">
        <f t="array" ref="C1767">XLOOKUP(B1767,Reference!$A$2:$A$152,Reference!$B$2:$B$152)</f>
        <v>Sumatera Barat</v>
      </c>
      <c r="D1767" s="82" t="s">
        <v>2206</v>
      </c>
      <c r="E1767" s="83">
        <v>45352.0</v>
      </c>
      <c r="F1767" s="84" t="str">
        <f t="array" ref="F1767">XLOOKUP(G1767,Reference!$F:$F,Reference!$D:$D,"null")</f>
        <v>Makanan dan Pakaian </v>
      </c>
      <c r="G1767" s="85" t="s">
        <v>64</v>
      </c>
      <c r="H1767" s="86">
        <v>105.02</v>
      </c>
      <c r="I1767" s="86">
        <v>104.06</v>
      </c>
      <c r="J1767" s="87">
        <f t="shared" si="2"/>
        <v>0.9225446858</v>
      </c>
      <c r="K1767" s="84" t="str">
        <f t="shared" si="3"/>
        <v>Inflasi Tinggi</v>
      </c>
      <c r="L1767" s="84">
        <f t="shared" si="4"/>
        <v>0.96</v>
      </c>
      <c r="M1767" s="88" t="str">
        <f t="shared" si="5"/>
        <v>Akselerasi Persentase</v>
      </c>
    </row>
    <row r="1768" ht="18.75" customHeight="1">
      <c r="A1768" s="80" t="s">
        <v>658</v>
      </c>
      <c r="B1768" s="81" t="str">
        <f t="shared" si="1"/>
        <v>Kota Mataram</v>
      </c>
      <c r="C1768" s="81" t="str">
        <f t="array" ref="C1768">XLOOKUP(B1768,Reference!$A$2:$A$152,Reference!$B$2:$B$152)</f>
        <v>Nusa Tenggara Barat (NTB)</v>
      </c>
      <c r="D1768" s="82" t="s">
        <v>2207</v>
      </c>
      <c r="E1768" s="83">
        <v>45352.0</v>
      </c>
      <c r="F1768" s="84" t="str">
        <f t="array" ref="F1768">XLOOKUP(G1768,Reference!$F:$F,Reference!$D:$D,"null")</f>
        <v>Rekreasi dan Kendaraan</v>
      </c>
      <c r="G1768" s="85" t="s">
        <v>102</v>
      </c>
      <c r="H1768" s="86">
        <v>102.68</v>
      </c>
      <c r="I1768" s="86">
        <v>102.65</v>
      </c>
      <c r="J1768" s="87">
        <f t="shared" si="2"/>
        <v>0.02922552362</v>
      </c>
      <c r="K1768" s="84" t="str">
        <f t="shared" si="3"/>
        <v>Inflasi Normal</v>
      </c>
      <c r="L1768" s="84">
        <f t="shared" si="4"/>
        <v>0.03</v>
      </c>
      <c r="M1768" s="88" t="str">
        <f t="shared" si="5"/>
        <v>Perubahan Normal</v>
      </c>
    </row>
    <row r="1769" ht="18.75" customHeight="1">
      <c r="A1769" s="80" t="s">
        <v>433</v>
      </c>
      <c r="B1769" s="81" t="str">
        <f t="shared" si="1"/>
        <v>Kab Tulungagung</v>
      </c>
      <c r="C1769" s="81" t="str">
        <f t="array" ref="C1769">XLOOKUP(B1769,Reference!$A$2:$A$152,Reference!$B$2:$B$152)</f>
        <v>Jawa Timur</v>
      </c>
      <c r="D1769" s="82" t="s">
        <v>2208</v>
      </c>
      <c r="E1769" s="83">
        <v>45323.0</v>
      </c>
      <c r="F1769" s="84" t="str">
        <f t="array" ref="F1769">XLOOKUP(G1769,Reference!$F:$F,Reference!$D:$D,"null")</f>
        <v>Rumah Tangga</v>
      </c>
      <c r="G1769" s="85" t="s">
        <v>80</v>
      </c>
      <c r="H1769" s="86">
        <v>101.43</v>
      </c>
      <c r="I1769" s="86">
        <v>101.43</v>
      </c>
      <c r="J1769" s="87">
        <f t="shared" si="2"/>
        <v>0</v>
      </c>
      <c r="K1769" s="84" t="str">
        <f t="shared" si="3"/>
        <v>Stabil</v>
      </c>
      <c r="L1769" s="84">
        <f t="shared" si="4"/>
        <v>0</v>
      </c>
      <c r="M1769" s="88" t="str">
        <f t="shared" si="5"/>
        <v>Perubahan Normal</v>
      </c>
    </row>
    <row r="1770" ht="18.75" customHeight="1">
      <c r="A1770" s="80" t="s">
        <v>573</v>
      </c>
      <c r="B1770" s="81" t="str">
        <f t="shared" si="1"/>
        <v>Kota Palangkaraya</v>
      </c>
      <c r="C1770" s="81" t="str">
        <f t="array" ref="C1770">XLOOKUP(B1770,Reference!$A$2:$A$152,Reference!$B$2:$B$152)</f>
        <v>Kalimantan Tengah</v>
      </c>
      <c r="D1770" s="82" t="s">
        <v>2209</v>
      </c>
      <c r="E1770" s="83">
        <v>45352.0</v>
      </c>
      <c r="F1770" s="84" t="str">
        <f t="array" ref="F1770">XLOOKUP(G1770,Reference!$F:$F,Reference!$D:$D,"null")</f>
        <v>Makanan dan Pakaian </v>
      </c>
      <c r="G1770" s="85" t="s">
        <v>64</v>
      </c>
      <c r="H1770" s="86">
        <v>100.28</v>
      </c>
      <c r="I1770" s="86">
        <v>100.26</v>
      </c>
      <c r="J1770" s="87">
        <f t="shared" si="2"/>
        <v>0.01994813485</v>
      </c>
      <c r="K1770" s="84" t="str">
        <f t="shared" si="3"/>
        <v>Inflasi Normal</v>
      </c>
      <c r="L1770" s="84">
        <f t="shared" si="4"/>
        <v>0.02</v>
      </c>
      <c r="M1770" s="88" t="str">
        <f t="shared" si="5"/>
        <v>Perubahan Normal</v>
      </c>
    </row>
    <row r="1771" ht="18.75" customHeight="1">
      <c r="A1771" s="80" t="s">
        <v>312</v>
      </c>
      <c r="B1771" s="81" t="str">
        <f t="shared" si="1"/>
        <v>Kab Jayawijaya</v>
      </c>
      <c r="C1771" s="81" t="str">
        <f t="array" ref="C1771">XLOOKUP(B1771,Reference!$A$2:$A$152,Reference!$B$2:$B$152)</f>
        <v>Papua</v>
      </c>
      <c r="D1771" s="82" t="s">
        <v>2210</v>
      </c>
      <c r="E1771" s="83">
        <v>45352.0</v>
      </c>
      <c r="F1771" s="84" t="str">
        <f t="array" ref="F1771">XLOOKUP(G1771,Reference!$F:$F,Reference!$D:$D,"null")</f>
        <v>Rumah Tangga</v>
      </c>
      <c r="G1771" s="85" t="s">
        <v>84</v>
      </c>
      <c r="H1771" s="86">
        <v>98.05</v>
      </c>
      <c r="I1771" s="86">
        <v>98.05</v>
      </c>
      <c r="J1771" s="87">
        <f t="shared" si="2"/>
        <v>0</v>
      </c>
      <c r="K1771" s="84" t="str">
        <f t="shared" si="3"/>
        <v>Stabil</v>
      </c>
      <c r="L1771" s="84">
        <f t="shared" si="4"/>
        <v>0</v>
      </c>
      <c r="M1771" s="88" t="str">
        <f t="shared" si="5"/>
        <v>Perubahan Normal</v>
      </c>
    </row>
    <row r="1772" ht="18.75" customHeight="1">
      <c r="A1772" s="80" t="s">
        <v>680</v>
      </c>
      <c r="B1772" s="81" t="str">
        <f t="shared" si="1"/>
        <v>Kota Pekanbaru</v>
      </c>
      <c r="C1772" s="81" t="str">
        <f t="array" ref="C1772">XLOOKUP(B1772,Reference!$A$2:$A$152,Reference!$B$2:$B$152)</f>
        <v>Riau</v>
      </c>
      <c r="D1772" s="82" t="s">
        <v>2211</v>
      </c>
      <c r="E1772" s="83">
        <v>45352.0</v>
      </c>
      <c r="F1772" s="84" t="str">
        <f t="array" ref="F1772">XLOOKUP(G1772,Reference!$F:$F,Reference!$D:$D,"null")</f>
        <v>Rumah Tangga</v>
      </c>
      <c r="G1772" s="85" t="s">
        <v>89</v>
      </c>
      <c r="H1772" s="86">
        <v>104.39</v>
      </c>
      <c r="I1772" s="86">
        <v>104.39</v>
      </c>
      <c r="J1772" s="87">
        <f t="shared" si="2"/>
        <v>0</v>
      </c>
      <c r="K1772" s="84" t="str">
        <f t="shared" si="3"/>
        <v>Stabil</v>
      </c>
      <c r="L1772" s="84">
        <f t="shared" si="4"/>
        <v>0</v>
      </c>
      <c r="M1772" s="88" t="str">
        <f t="shared" si="5"/>
        <v>Perubahan Normal</v>
      </c>
    </row>
    <row r="1773" ht="18.75" customHeight="1">
      <c r="A1773" s="80" t="s">
        <v>448</v>
      </c>
      <c r="B1773" s="81" t="str">
        <f t="shared" si="1"/>
        <v>Tanjung Selor</v>
      </c>
      <c r="C1773" s="81" t="str">
        <f t="array" ref="C1773">XLOOKUP(B1773,Reference!$A$2:$A$152,Reference!$B$2:$B$152)</f>
        <v>Kalimantan Utara</v>
      </c>
      <c r="D1773" s="82" t="s">
        <v>2212</v>
      </c>
      <c r="E1773" s="83">
        <v>45352.0</v>
      </c>
      <c r="F1773" s="84" t="str">
        <f t="array" ref="F1773">XLOOKUP(G1773,Reference!$F:$F,Reference!$D:$D,"null")</f>
        <v>Makanan dan Pakaian </v>
      </c>
      <c r="G1773" s="85" t="s">
        <v>56</v>
      </c>
      <c r="H1773" s="86">
        <v>102.35</v>
      </c>
      <c r="I1773" s="86">
        <v>102.11</v>
      </c>
      <c r="J1773" s="87">
        <f t="shared" si="2"/>
        <v>0.2350406424</v>
      </c>
      <c r="K1773" s="84" t="str">
        <f t="shared" si="3"/>
        <v>Inflasi Normal</v>
      </c>
      <c r="L1773" s="84">
        <f t="shared" si="4"/>
        <v>0.24</v>
      </c>
      <c r="M1773" s="88" t="str">
        <f t="shared" si="5"/>
        <v>Perubahan Normal</v>
      </c>
    </row>
    <row r="1774" ht="18.75" customHeight="1">
      <c r="A1774" s="80" t="s">
        <v>965</v>
      </c>
      <c r="B1774" s="81" t="str">
        <f t="shared" si="1"/>
        <v>Kab Konawe</v>
      </c>
      <c r="C1774" s="81" t="str">
        <f t="array" ref="C1774">XLOOKUP(B1774,Reference!$A$2:$A$152,Reference!$B$2:$B$152)</f>
        <v>Sulawesi Tenggara</v>
      </c>
      <c r="D1774" s="82" t="s">
        <v>2213</v>
      </c>
      <c r="E1774" s="83">
        <v>45323.0</v>
      </c>
      <c r="F1774" s="84" t="str">
        <f t="array" ref="F1774">XLOOKUP(G1774,Reference!$F:$F,Reference!$D:$D,"null")</f>
        <v>Rumah Tangga</v>
      </c>
      <c r="G1774" s="85" t="s">
        <v>84</v>
      </c>
      <c r="H1774" s="86">
        <v>102.61</v>
      </c>
      <c r="I1774" s="86">
        <v>103.46</v>
      </c>
      <c r="J1774" s="87">
        <f t="shared" si="2"/>
        <v>-0.821573555</v>
      </c>
      <c r="K1774" s="84" t="str">
        <f t="shared" si="3"/>
        <v>Deflasi</v>
      </c>
      <c r="L1774" s="84">
        <f t="shared" si="4"/>
        <v>-0.85</v>
      </c>
      <c r="M1774" s="88" t="str">
        <f t="shared" si="5"/>
        <v>Perubahan Normal</v>
      </c>
    </row>
    <row r="1775" ht="18.75" customHeight="1">
      <c r="A1775" s="80" t="s">
        <v>395</v>
      </c>
      <c r="B1775" s="81" t="str">
        <f t="shared" si="1"/>
        <v>Kota Bukittinggi</v>
      </c>
      <c r="C1775" s="81" t="str">
        <f t="array" ref="C1775">XLOOKUP(B1775,Reference!$A$2:$A$152,Reference!$B$2:$B$152)</f>
        <v>Sumatera Barat</v>
      </c>
      <c r="D1775" s="82" t="s">
        <v>2214</v>
      </c>
      <c r="E1775" s="83">
        <v>45323.0</v>
      </c>
      <c r="F1775" s="84" t="str">
        <f t="array" ref="F1775">XLOOKUP(G1775,Reference!$F:$F,Reference!$D:$D,"null")</f>
        <v>Rumah Tangga</v>
      </c>
      <c r="G1775" s="85" t="s">
        <v>84</v>
      </c>
      <c r="H1775" s="86">
        <v>99.46</v>
      </c>
      <c r="I1775" s="86">
        <v>99.92</v>
      </c>
      <c r="J1775" s="87">
        <f t="shared" si="2"/>
        <v>-0.4603682946</v>
      </c>
      <c r="K1775" s="84" t="str">
        <f t="shared" si="3"/>
        <v>Deflasi</v>
      </c>
      <c r="L1775" s="84">
        <f t="shared" si="4"/>
        <v>-0.46</v>
      </c>
      <c r="M1775" s="88" t="str">
        <f t="shared" si="5"/>
        <v>Perubahan Normal</v>
      </c>
    </row>
    <row r="1776" ht="18.75" customHeight="1">
      <c r="A1776" s="80" t="s">
        <v>380</v>
      </c>
      <c r="B1776" s="81" t="str">
        <f t="shared" si="1"/>
        <v>Kota Bengkulu</v>
      </c>
      <c r="C1776" s="81" t="str">
        <f t="array" ref="C1776">XLOOKUP(B1776,Reference!$A$2:$A$152,Reference!$B$2:$B$152)</f>
        <v>Bengkulu</v>
      </c>
      <c r="D1776" s="82" t="s">
        <v>2215</v>
      </c>
      <c r="E1776" s="83">
        <v>45352.0</v>
      </c>
      <c r="F1776" s="84" t="str">
        <f t="array" ref="F1776">XLOOKUP(G1776,Reference!$F:$F,Reference!$D:$D,"null")</f>
        <v>Rumah Tangga</v>
      </c>
      <c r="G1776" s="85" t="s">
        <v>84</v>
      </c>
      <c r="H1776" s="86">
        <v>101.46</v>
      </c>
      <c r="I1776" s="86">
        <v>101.46</v>
      </c>
      <c r="J1776" s="87">
        <f t="shared" si="2"/>
        <v>0</v>
      </c>
      <c r="K1776" s="84" t="str">
        <f t="shared" si="3"/>
        <v>Stabil</v>
      </c>
      <c r="L1776" s="84">
        <f t="shared" si="4"/>
        <v>0</v>
      </c>
      <c r="M1776" s="88" t="str">
        <f t="shared" si="5"/>
        <v>Perubahan Normal</v>
      </c>
    </row>
    <row r="1777" ht="18.75" customHeight="1">
      <c r="A1777" s="80" t="s">
        <v>310</v>
      </c>
      <c r="B1777" s="81" t="str">
        <f t="shared" si="1"/>
        <v>Kab Kampar</v>
      </c>
      <c r="C1777" s="81" t="str">
        <f t="array" ref="C1777">XLOOKUP(B1777,Reference!$A$2:$A$152,Reference!$B$2:$B$152)</f>
        <v>Riau</v>
      </c>
      <c r="D1777" s="82" t="s">
        <v>2216</v>
      </c>
      <c r="E1777" s="83">
        <v>45323.0</v>
      </c>
      <c r="F1777" s="84" t="str">
        <f t="array" ref="F1777">XLOOKUP(G1777,Reference!$F:$F,Reference!$D:$D,"null")</f>
        <v>Makanan dan Pakaian </v>
      </c>
      <c r="G1777" s="85" t="s">
        <v>64</v>
      </c>
      <c r="H1777" s="86">
        <v>109.55</v>
      </c>
      <c r="I1777" s="86">
        <v>109.44</v>
      </c>
      <c r="J1777" s="87">
        <f t="shared" si="2"/>
        <v>0.1005116959</v>
      </c>
      <c r="K1777" s="84" t="str">
        <f t="shared" si="3"/>
        <v>Inflasi Normal</v>
      </c>
      <c r="L1777" s="84">
        <f t="shared" si="4"/>
        <v>0.11</v>
      </c>
      <c r="M1777" s="88" t="str">
        <f t="shared" si="5"/>
        <v>Perubahan Normal</v>
      </c>
    </row>
    <row r="1778" ht="18.75" customHeight="1">
      <c r="A1778" s="80" t="s">
        <v>329</v>
      </c>
      <c r="B1778" s="81" t="str">
        <f t="shared" si="1"/>
        <v>Kab Penajam Paser Utara</v>
      </c>
      <c r="C1778" s="81" t="str">
        <f t="array" ref="C1778">XLOOKUP(B1778,Reference!$A$2:$A$152,Reference!$B$2:$B$152)</f>
        <v>Kalimantan Timur</v>
      </c>
      <c r="D1778" s="82" t="s">
        <v>2217</v>
      </c>
      <c r="E1778" s="83">
        <v>45352.0</v>
      </c>
      <c r="F1778" s="84" t="str">
        <f t="array" ref="F1778">XLOOKUP(G1778,Reference!$F:$F,Reference!$D:$D,"null")</f>
        <v>Pendidikan dan Kesehatan</v>
      </c>
      <c r="G1778" s="85" t="s">
        <v>98</v>
      </c>
      <c r="H1778" s="86">
        <v>112.81</v>
      </c>
      <c r="I1778" s="86">
        <v>112.81</v>
      </c>
      <c r="J1778" s="87">
        <f t="shared" si="2"/>
        <v>0</v>
      </c>
      <c r="K1778" s="84" t="str">
        <f t="shared" si="3"/>
        <v>Stabil</v>
      </c>
      <c r="L1778" s="84">
        <f t="shared" si="4"/>
        <v>0</v>
      </c>
      <c r="M1778" s="88" t="str">
        <f t="shared" si="5"/>
        <v>Perubahan Normal</v>
      </c>
    </row>
    <row r="1779" ht="18.75" customHeight="1">
      <c r="A1779" s="80" t="s">
        <v>535</v>
      </c>
      <c r="B1779" s="81" t="str">
        <f t="shared" si="1"/>
        <v>Kota Tarakan</v>
      </c>
      <c r="C1779" s="81" t="str">
        <f t="array" ref="C1779">XLOOKUP(B1779,Reference!$A$2:$A$152,Reference!$B$2:$B$152)</f>
        <v>Kalimantan Utara</v>
      </c>
      <c r="D1779" s="82" t="s">
        <v>2218</v>
      </c>
      <c r="E1779" s="83">
        <v>45323.0</v>
      </c>
      <c r="F1779" s="84" t="str">
        <f t="array" ref="F1779">XLOOKUP(G1779,Reference!$F:$F,Reference!$D:$D,"null")</f>
        <v>Rekreasi dan Kendaraan</v>
      </c>
      <c r="G1779" s="85" t="s">
        <v>105</v>
      </c>
      <c r="H1779" s="86">
        <v>101.61</v>
      </c>
      <c r="I1779" s="86">
        <v>101.61</v>
      </c>
      <c r="J1779" s="87">
        <f t="shared" si="2"/>
        <v>0</v>
      </c>
      <c r="K1779" s="84" t="str">
        <f t="shared" si="3"/>
        <v>Stabil</v>
      </c>
      <c r="L1779" s="84">
        <f t="shared" si="4"/>
        <v>0</v>
      </c>
      <c r="M1779" s="88" t="str">
        <f t="shared" si="5"/>
        <v>Perubahan Normal</v>
      </c>
    </row>
    <row r="1780" ht="18.75" customHeight="1">
      <c r="A1780" s="80" t="s">
        <v>331</v>
      </c>
      <c r="B1780" s="81" t="str">
        <f t="shared" si="1"/>
        <v>Kota Lhokseumawe</v>
      </c>
      <c r="C1780" s="81" t="str">
        <f t="array" ref="C1780">XLOOKUP(B1780,Reference!$A$2:$A$152,Reference!$B$2:$B$152)</f>
        <v>Aceh</v>
      </c>
      <c r="D1780" s="82" t="s">
        <v>2219</v>
      </c>
      <c r="E1780" s="83">
        <v>45352.0</v>
      </c>
      <c r="F1780" s="84" t="str">
        <f t="array" ref="F1780">XLOOKUP(G1780,Reference!$F:$F,Reference!$D:$D,"null")</f>
        <v>Makanan dan Pakaian </v>
      </c>
      <c r="G1780" s="85" t="s">
        <v>64</v>
      </c>
      <c r="H1780" s="86">
        <v>103.61</v>
      </c>
      <c r="I1780" s="86">
        <v>103.49</v>
      </c>
      <c r="J1780" s="87">
        <f t="shared" si="2"/>
        <v>0.1159532322</v>
      </c>
      <c r="K1780" s="84" t="str">
        <f t="shared" si="3"/>
        <v>Inflasi Normal</v>
      </c>
      <c r="L1780" s="84">
        <f t="shared" si="4"/>
        <v>0.12</v>
      </c>
      <c r="M1780" s="88" t="str">
        <f t="shared" si="5"/>
        <v>Perubahan Normal</v>
      </c>
    </row>
    <row r="1781" ht="18.75" customHeight="1">
      <c r="A1781" s="80" t="s">
        <v>367</v>
      </c>
      <c r="B1781" s="81" t="str">
        <f t="shared" si="1"/>
        <v>Kota Jambi</v>
      </c>
      <c r="C1781" s="81" t="str">
        <f t="array" ref="C1781">XLOOKUP(B1781,Reference!$A$2:$A$152,Reference!$B$2:$B$152)</f>
        <v>Jambi</v>
      </c>
      <c r="D1781" s="82" t="s">
        <v>2220</v>
      </c>
      <c r="E1781" s="83">
        <v>45352.0</v>
      </c>
      <c r="F1781" s="84" t="str">
        <f t="array" ref="F1781">XLOOKUP(G1781,Reference!$F:$F,Reference!$D:$D,"null")</f>
        <v>Rumah Tangga</v>
      </c>
      <c r="G1781" s="89" t="s">
        <v>84</v>
      </c>
      <c r="H1781" s="90">
        <v>102.53</v>
      </c>
      <c r="I1781" s="90">
        <v>102.45</v>
      </c>
      <c r="J1781" s="87">
        <f t="shared" si="2"/>
        <v>0.07808687164</v>
      </c>
      <c r="K1781" s="84" t="str">
        <f t="shared" si="3"/>
        <v>Inflasi Normal</v>
      </c>
      <c r="L1781" s="91">
        <f t="shared" si="4"/>
        <v>0.08</v>
      </c>
      <c r="M1781" s="88" t="str">
        <f t="shared" si="5"/>
        <v>Perubahan Normal</v>
      </c>
    </row>
    <row r="1782" ht="18.75" customHeight="1">
      <c r="A1782" s="80" t="s">
        <v>360</v>
      </c>
      <c r="B1782" s="81" t="str">
        <f t="shared" si="1"/>
        <v>Kab Wonosobo</v>
      </c>
      <c r="C1782" s="81" t="str">
        <f t="array" ref="C1782">XLOOKUP(B1782,Reference!$A$2:$A$152,Reference!$B$2:$B$152)</f>
        <v>Jawa Tengah</v>
      </c>
      <c r="D1782" s="82" t="s">
        <v>2221</v>
      </c>
      <c r="E1782" s="83">
        <v>45352.0</v>
      </c>
      <c r="F1782" s="84" t="str">
        <f t="array" ref="F1782">XLOOKUP(G1782,Reference!$F:$F,Reference!$D:$D,"null")</f>
        <v>Makanan dan Pakaian </v>
      </c>
      <c r="G1782" s="85" t="s">
        <v>72</v>
      </c>
      <c r="H1782" s="86">
        <v>104.05</v>
      </c>
      <c r="I1782" s="86">
        <v>104.05</v>
      </c>
      <c r="J1782" s="87">
        <f t="shared" si="2"/>
        <v>0</v>
      </c>
      <c r="K1782" s="84" t="str">
        <f t="shared" si="3"/>
        <v>Stabil</v>
      </c>
      <c r="L1782" s="84">
        <f t="shared" si="4"/>
        <v>0</v>
      </c>
      <c r="M1782" s="88" t="str">
        <f t="shared" si="5"/>
        <v>Perubahan Normal</v>
      </c>
    </row>
    <row r="1783" ht="18.75" customHeight="1">
      <c r="A1783" s="80" t="s">
        <v>404</v>
      </c>
      <c r="B1783" s="81" t="str">
        <f t="shared" si="1"/>
        <v>Kab Mesuji</v>
      </c>
      <c r="C1783" s="81" t="str">
        <f t="array" ref="C1783">XLOOKUP(B1783,Reference!$A$2:$A$152,Reference!$B$2:$B$152)</f>
        <v>Lampung</v>
      </c>
      <c r="D1783" s="82" t="s">
        <v>2222</v>
      </c>
      <c r="E1783" s="83">
        <v>45323.0</v>
      </c>
      <c r="F1783" s="84" t="str">
        <f t="array" ref="F1783">XLOOKUP(G1783,Reference!$F:$F,Reference!$D:$D,"null")</f>
        <v>Makanan dan Pakaian </v>
      </c>
      <c r="G1783" s="85" t="s">
        <v>56</v>
      </c>
      <c r="H1783" s="86">
        <v>101.52</v>
      </c>
      <c r="I1783" s="86">
        <v>101.9</v>
      </c>
      <c r="J1783" s="87">
        <f t="shared" si="2"/>
        <v>-0.3729146222</v>
      </c>
      <c r="K1783" s="84" t="str">
        <f t="shared" si="3"/>
        <v>Deflasi</v>
      </c>
      <c r="L1783" s="84">
        <f t="shared" si="4"/>
        <v>-0.38</v>
      </c>
      <c r="M1783" s="88" t="str">
        <f t="shared" si="5"/>
        <v>Perubahan Normal</v>
      </c>
    </row>
    <row r="1784" ht="18.75" customHeight="1">
      <c r="A1784" s="80" t="s">
        <v>535</v>
      </c>
      <c r="B1784" s="81" t="str">
        <f t="shared" si="1"/>
        <v>Kota Tarakan</v>
      </c>
      <c r="C1784" s="81" t="str">
        <f t="array" ref="C1784">XLOOKUP(B1784,Reference!$A$2:$A$152,Reference!$B$2:$B$152)</f>
        <v>Kalimantan Utara</v>
      </c>
      <c r="D1784" s="82" t="s">
        <v>2223</v>
      </c>
      <c r="E1784" s="83">
        <v>45352.0</v>
      </c>
      <c r="F1784" s="84" t="str">
        <f t="array" ref="F1784">XLOOKUP(G1784,Reference!$F:$F,Reference!$D:$D,"null")</f>
        <v>Makanan dan Pakaian </v>
      </c>
      <c r="G1784" s="85" t="s">
        <v>64</v>
      </c>
      <c r="H1784" s="86">
        <v>100.15</v>
      </c>
      <c r="I1784" s="86">
        <v>100.06</v>
      </c>
      <c r="J1784" s="87">
        <f t="shared" si="2"/>
        <v>0.08994603238</v>
      </c>
      <c r="K1784" s="84" t="str">
        <f t="shared" si="3"/>
        <v>Inflasi Normal</v>
      </c>
      <c r="L1784" s="84">
        <f t="shared" si="4"/>
        <v>0.09</v>
      </c>
      <c r="M1784" s="88" t="str">
        <f t="shared" si="5"/>
        <v>Perubahan Normal</v>
      </c>
    </row>
    <row r="1785" ht="18.75" customHeight="1">
      <c r="A1785" s="80" t="s">
        <v>654</v>
      </c>
      <c r="B1785" s="81" t="str">
        <f t="shared" si="1"/>
        <v>Kab Aceh Tengah</v>
      </c>
      <c r="C1785" s="81" t="str">
        <f t="array" ref="C1785">XLOOKUP(B1785,Reference!$A$2:$A$152,Reference!$B$2:$B$152)</f>
        <v>Aceh</v>
      </c>
      <c r="D1785" s="82" t="s">
        <v>2224</v>
      </c>
      <c r="E1785" s="83">
        <v>45323.0</v>
      </c>
      <c r="F1785" s="84" t="str">
        <f t="array" ref="F1785">XLOOKUP(G1785,Reference!$F:$F,Reference!$D:$D,"null")</f>
        <v>Makanan dan Pakaian </v>
      </c>
      <c r="G1785" s="85" t="s">
        <v>72</v>
      </c>
      <c r="H1785" s="86">
        <v>103.43</v>
      </c>
      <c r="I1785" s="86">
        <v>103.57</v>
      </c>
      <c r="J1785" s="87">
        <f t="shared" si="2"/>
        <v>-0.1351742783</v>
      </c>
      <c r="K1785" s="84" t="str">
        <f t="shared" si="3"/>
        <v>Deflasi</v>
      </c>
      <c r="L1785" s="84">
        <f t="shared" si="4"/>
        <v>-0.14</v>
      </c>
      <c r="M1785" s="88" t="str">
        <f t="shared" si="5"/>
        <v>Perubahan Normal</v>
      </c>
    </row>
    <row r="1786" ht="18.75" customHeight="1">
      <c r="A1786" s="80" t="s">
        <v>468</v>
      </c>
      <c r="B1786" s="81" t="str">
        <f t="shared" si="1"/>
        <v>Timika</v>
      </c>
      <c r="C1786" s="81" t="str">
        <f t="array" ref="C1786">XLOOKUP(B1786,Reference!$A$2:$A$152,Reference!$B$2:$B$152)</f>
        <v>Papua</v>
      </c>
      <c r="D1786" s="82" t="s">
        <v>2225</v>
      </c>
      <c r="E1786" s="83">
        <v>45323.0</v>
      </c>
      <c r="F1786" s="84" t="str">
        <f t="array" ref="F1786">XLOOKUP(G1786,Reference!$F:$F,Reference!$D:$D,"null")</f>
        <v>Rekreasi dan Kendaraan</v>
      </c>
      <c r="G1786" s="85" t="s">
        <v>102</v>
      </c>
      <c r="H1786" s="86">
        <v>103.94</v>
      </c>
      <c r="I1786" s="86">
        <v>104.66</v>
      </c>
      <c r="J1786" s="87">
        <f t="shared" si="2"/>
        <v>-0.6879419071</v>
      </c>
      <c r="K1786" s="84" t="str">
        <f t="shared" si="3"/>
        <v>Deflasi</v>
      </c>
      <c r="L1786" s="84">
        <f t="shared" si="4"/>
        <v>-0.72</v>
      </c>
      <c r="M1786" s="88" t="str">
        <f t="shared" si="5"/>
        <v>Perubahan Normal</v>
      </c>
    </row>
    <row r="1787" ht="18.75" customHeight="1">
      <c r="A1787" s="80" t="s">
        <v>573</v>
      </c>
      <c r="B1787" s="81" t="str">
        <f t="shared" si="1"/>
        <v>Kota Palangkaraya</v>
      </c>
      <c r="C1787" s="81" t="str">
        <f t="array" ref="C1787">XLOOKUP(B1787,Reference!$A$2:$A$152,Reference!$B$2:$B$152)</f>
        <v>Kalimantan Tengah</v>
      </c>
      <c r="D1787" s="82" t="s">
        <v>2226</v>
      </c>
      <c r="E1787" s="83">
        <v>45323.0</v>
      </c>
      <c r="F1787" s="84" t="str">
        <f t="array" ref="F1787">XLOOKUP(G1787,Reference!$F:$F,Reference!$D:$D,"null")</f>
        <v>Rumah Tangga</v>
      </c>
      <c r="G1787" s="85" t="s">
        <v>89</v>
      </c>
      <c r="H1787" s="86">
        <v>102.6</v>
      </c>
      <c r="I1787" s="86">
        <v>102.74</v>
      </c>
      <c r="J1787" s="87">
        <f t="shared" si="2"/>
        <v>-0.1362663033</v>
      </c>
      <c r="K1787" s="84" t="str">
        <f t="shared" si="3"/>
        <v>Deflasi</v>
      </c>
      <c r="L1787" s="84">
        <f t="shared" si="4"/>
        <v>-0.14</v>
      </c>
      <c r="M1787" s="88" t="str">
        <f t="shared" si="5"/>
        <v>Perubahan Normal</v>
      </c>
    </row>
    <row r="1788" ht="18.75" customHeight="1">
      <c r="A1788" s="80" t="s">
        <v>680</v>
      </c>
      <c r="B1788" s="81" t="str">
        <f t="shared" si="1"/>
        <v>Kota Pekanbaru</v>
      </c>
      <c r="C1788" s="81" t="str">
        <f t="array" ref="C1788">XLOOKUP(B1788,Reference!$A$2:$A$152,Reference!$B$2:$B$152)</f>
        <v>Riau</v>
      </c>
      <c r="D1788" s="82" t="s">
        <v>2227</v>
      </c>
      <c r="E1788" s="83">
        <v>45323.0</v>
      </c>
      <c r="F1788" s="84" t="str">
        <f t="array" ref="F1788">XLOOKUP(G1788,Reference!$F:$F,Reference!$D:$D,"null")</f>
        <v>Rumah Tangga</v>
      </c>
      <c r="G1788" s="85" t="s">
        <v>84</v>
      </c>
      <c r="H1788" s="86">
        <v>101.74</v>
      </c>
      <c r="I1788" s="86">
        <v>101.74</v>
      </c>
      <c r="J1788" s="87">
        <f t="shared" si="2"/>
        <v>0</v>
      </c>
      <c r="K1788" s="84" t="str">
        <f t="shared" si="3"/>
        <v>Stabil</v>
      </c>
      <c r="L1788" s="84">
        <f t="shared" si="4"/>
        <v>0</v>
      </c>
      <c r="M1788" s="88" t="str">
        <f t="shared" si="5"/>
        <v>Perubahan Normal</v>
      </c>
    </row>
    <row r="1789" ht="18.75" customHeight="1">
      <c r="A1789" s="80" t="s">
        <v>532</v>
      </c>
      <c r="B1789" s="81" t="str">
        <f t="shared" si="1"/>
        <v>Kota Palembang</v>
      </c>
      <c r="C1789" s="81" t="str">
        <f t="array" ref="C1789">XLOOKUP(B1789,Reference!$A$2:$A$152,Reference!$B$2:$B$152)</f>
        <v>Sumatera Selatan</v>
      </c>
      <c r="D1789" s="82" t="s">
        <v>2228</v>
      </c>
      <c r="E1789" s="83">
        <v>45352.0</v>
      </c>
      <c r="F1789" s="84" t="str">
        <f t="array" ref="F1789">XLOOKUP(G1789,Reference!$F:$F,Reference!$D:$D,"null")</f>
        <v>Makanan dan Pakaian </v>
      </c>
      <c r="G1789" s="89" t="s">
        <v>48</v>
      </c>
      <c r="H1789" s="90">
        <v>111.87</v>
      </c>
      <c r="I1789" s="90">
        <v>109.82</v>
      </c>
      <c r="J1789" s="87">
        <f t="shared" si="2"/>
        <v>1.866690949</v>
      </c>
      <c r="K1789" s="84" t="str">
        <f t="shared" si="3"/>
        <v>Inflasi Tinggi</v>
      </c>
      <c r="L1789" s="91">
        <f t="shared" si="4"/>
        <v>2.05</v>
      </c>
      <c r="M1789" s="88" t="str">
        <f t="shared" si="5"/>
        <v>Akselerasi Kuat</v>
      </c>
    </row>
    <row r="1790" ht="18.75" customHeight="1">
      <c r="A1790" s="80" t="s">
        <v>326</v>
      </c>
      <c r="B1790" s="81" t="str">
        <f t="shared" si="1"/>
        <v>Luwuk</v>
      </c>
      <c r="C1790" s="81" t="str">
        <f t="array" ref="C1790">XLOOKUP(B1790,Reference!$A$2:$A$152,Reference!$B$2:$B$152)</f>
        <v>Sulawesi Tengah</v>
      </c>
      <c r="D1790" s="82" t="s">
        <v>2229</v>
      </c>
      <c r="E1790" s="83">
        <v>45352.0</v>
      </c>
      <c r="F1790" s="84" t="str">
        <f t="array" ref="F1790">XLOOKUP(G1790,Reference!$F:$F,Reference!$D:$D,"null")</f>
        <v>Rekreasi dan Kendaraan</v>
      </c>
      <c r="G1790" s="85" t="s">
        <v>102</v>
      </c>
      <c r="H1790" s="86">
        <v>111.12</v>
      </c>
      <c r="I1790" s="86">
        <v>109.88</v>
      </c>
      <c r="J1790" s="87">
        <f t="shared" si="2"/>
        <v>1.128503822</v>
      </c>
      <c r="K1790" s="84" t="str">
        <f t="shared" si="3"/>
        <v>Inflasi Tinggi</v>
      </c>
      <c r="L1790" s="84">
        <f t="shared" si="4"/>
        <v>1.24</v>
      </c>
      <c r="M1790" s="88" t="str">
        <f t="shared" si="5"/>
        <v>Akselerasi Persentase</v>
      </c>
    </row>
    <row r="1791" ht="18.75" customHeight="1">
      <c r="A1791" s="80" t="s">
        <v>586</v>
      </c>
      <c r="B1791" s="81" t="str">
        <f t="shared" si="1"/>
        <v>Kab Karimun</v>
      </c>
      <c r="C1791" s="81" t="str">
        <f t="array" ref="C1791">XLOOKUP(B1791,Reference!$A$2:$A$152,Reference!$B$2:$B$152)</f>
        <v>Kepulauan Riau</v>
      </c>
      <c r="D1791" s="82" t="s">
        <v>2230</v>
      </c>
      <c r="E1791" s="83">
        <v>45323.0</v>
      </c>
      <c r="F1791" s="84" t="str">
        <f t="array" ref="F1791">XLOOKUP(G1791,Reference!$F:$F,Reference!$D:$D,"null")</f>
        <v>Rumah Tangga</v>
      </c>
      <c r="G1791" s="85" t="s">
        <v>84</v>
      </c>
      <c r="H1791" s="86">
        <v>101.1</v>
      </c>
      <c r="I1791" s="86">
        <v>101.12</v>
      </c>
      <c r="J1791" s="87">
        <f t="shared" si="2"/>
        <v>-0.01977848101</v>
      </c>
      <c r="K1791" s="84" t="str">
        <f t="shared" si="3"/>
        <v>Deflasi</v>
      </c>
      <c r="L1791" s="84">
        <f t="shared" si="4"/>
        <v>-0.02</v>
      </c>
      <c r="M1791" s="88" t="str">
        <f t="shared" si="5"/>
        <v>Perubahan Normal</v>
      </c>
    </row>
    <row r="1792" ht="18.75" customHeight="1">
      <c r="A1792" s="80" t="s">
        <v>399</v>
      </c>
      <c r="B1792" s="81" t="str">
        <f t="shared" si="1"/>
        <v>Sampit</v>
      </c>
      <c r="C1792" s="81" t="str">
        <f t="array" ref="C1792">XLOOKUP(B1792,Reference!$A$2:$A$152,Reference!$B$2:$B$152)</f>
        <v>Kalimantan Tengah</v>
      </c>
      <c r="D1792" s="82" t="s">
        <v>2231</v>
      </c>
      <c r="E1792" s="83">
        <v>45323.0</v>
      </c>
      <c r="F1792" s="84" t="str">
        <f t="array" ref="F1792">XLOOKUP(G1792,Reference!$F:$F,Reference!$D:$D,"null")</f>
        <v>Rumah Tangga</v>
      </c>
      <c r="G1792" s="85" t="s">
        <v>84</v>
      </c>
      <c r="H1792" s="86">
        <v>101.47</v>
      </c>
      <c r="I1792" s="86">
        <v>101.56</v>
      </c>
      <c r="J1792" s="87">
        <f t="shared" si="2"/>
        <v>-0.08861756597</v>
      </c>
      <c r="K1792" s="84" t="str">
        <f t="shared" si="3"/>
        <v>Deflasi</v>
      </c>
      <c r="L1792" s="84">
        <f t="shared" si="4"/>
        <v>-0.09</v>
      </c>
      <c r="M1792" s="88" t="str">
        <f t="shared" si="5"/>
        <v>Perubahan Normal</v>
      </c>
    </row>
    <row r="1793" ht="18.75" customHeight="1">
      <c r="A1793" s="80" t="s">
        <v>448</v>
      </c>
      <c r="B1793" s="81" t="str">
        <f t="shared" si="1"/>
        <v>Tanjung Selor</v>
      </c>
      <c r="C1793" s="81" t="str">
        <f t="array" ref="C1793">XLOOKUP(B1793,Reference!$A$2:$A$152,Reference!$B$2:$B$152)</f>
        <v>Kalimantan Utara</v>
      </c>
      <c r="D1793" s="82" t="s">
        <v>2232</v>
      </c>
      <c r="E1793" s="83">
        <v>45323.0</v>
      </c>
      <c r="F1793" s="84" t="str">
        <f t="array" ref="F1793">XLOOKUP(G1793,Reference!$F:$F,Reference!$D:$D,"null")</f>
        <v>Rumah Tangga</v>
      </c>
      <c r="G1793" s="85" t="s">
        <v>84</v>
      </c>
      <c r="H1793" s="86">
        <v>102.68</v>
      </c>
      <c r="I1793" s="86">
        <v>103.29</v>
      </c>
      <c r="J1793" s="87">
        <f t="shared" si="2"/>
        <v>-0.5905702391</v>
      </c>
      <c r="K1793" s="84" t="str">
        <f t="shared" si="3"/>
        <v>Deflasi</v>
      </c>
      <c r="L1793" s="84">
        <f t="shared" si="4"/>
        <v>-0.61</v>
      </c>
      <c r="M1793" s="88" t="str">
        <f t="shared" si="5"/>
        <v>Perubahan Normal</v>
      </c>
    </row>
    <row r="1794" ht="18.75" customHeight="1">
      <c r="A1794" s="80" t="s">
        <v>680</v>
      </c>
      <c r="B1794" s="81" t="str">
        <f t="shared" si="1"/>
        <v>Kota Pekanbaru</v>
      </c>
      <c r="C1794" s="81" t="str">
        <f t="array" ref="C1794">XLOOKUP(B1794,Reference!$A$2:$A$152,Reference!$B$2:$B$152)</f>
        <v>Riau</v>
      </c>
      <c r="D1794" s="82" t="s">
        <v>2233</v>
      </c>
      <c r="E1794" s="83">
        <v>45352.0</v>
      </c>
      <c r="F1794" s="84" t="str">
        <f t="array" ref="F1794">XLOOKUP(G1794,Reference!$F:$F,Reference!$D:$D,"null")</f>
        <v>Makanan dan Pakaian </v>
      </c>
      <c r="G1794" s="85" t="s">
        <v>64</v>
      </c>
      <c r="H1794" s="86">
        <v>101.45</v>
      </c>
      <c r="I1794" s="86">
        <v>101.45</v>
      </c>
      <c r="J1794" s="87">
        <f t="shared" si="2"/>
        <v>0</v>
      </c>
      <c r="K1794" s="84" t="str">
        <f t="shared" si="3"/>
        <v>Stabil</v>
      </c>
      <c r="L1794" s="84">
        <f t="shared" si="4"/>
        <v>0</v>
      </c>
      <c r="M1794" s="88" t="str">
        <f t="shared" si="5"/>
        <v>Perubahan Normal</v>
      </c>
    </row>
    <row r="1795" ht="18.75" customHeight="1">
      <c r="A1795" s="80" t="s">
        <v>316</v>
      </c>
      <c r="B1795" s="81" t="str">
        <f t="shared" si="1"/>
        <v>Singaraja</v>
      </c>
      <c r="C1795" s="81" t="str">
        <f t="array" ref="C1795">XLOOKUP(B1795,Reference!$A$2:$A$152,Reference!$B$2:$B$152)</f>
        <v>Bali</v>
      </c>
      <c r="D1795" s="82" t="s">
        <v>2234</v>
      </c>
      <c r="E1795" s="83">
        <v>45323.0</v>
      </c>
      <c r="F1795" s="84" t="str">
        <f t="array" ref="F1795">XLOOKUP(G1795,Reference!$F:$F,Reference!$D:$D,"null")</f>
        <v>Rekreasi dan Kendaraan</v>
      </c>
      <c r="G1795" s="85" t="s">
        <v>105</v>
      </c>
      <c r="H1795" s="86">
        <v>105.96</v>
      </c>
      <c r="I1795" s="86">
        <v>105.96</v>
      </c>
      <c r="J1795" s="87">
        <f t="shared" si="2"/>
        <v>0</v>
      </c>
      <c r="K1795" s="84" t="str">
        <f t="shared" si="3"/>
        <v>Stabil</v>
      </c>
      <c r="L1795" s="84">
        <f t="shared" si="4"/>
        <v>0</v>
      </c>
      <c r="M1795" s="88" t="str">
        <f t="shared" si="5"/>
        <v>Perubahan Normal</v>
      </c>
    </row>
    <row r="1796" ht="18.75" customHeight="1">
      <c r="A1796" s="80" t="s">
        <v>663</v>
      </c>
      <c r="B1796" s="81" t="str">
        <f t="shared" si="1"/>
        <v>Kota Serang</v>
      </c>
      <c r="C1796" s="81" t="str">
        <f t="array" ref="C1796">XLOOKUP(B1796,Reference!$A$2:$A$152,Reference!$B$2:$B$152)</f>
        <v>Banten</v>
      </c>
      <c r="D1796" s="82" t="s">
        <v>2235</v>
      </c>
      <c r="E1796" s="83">
        <v>45323.0</v>
      </c>
      <c r="F1796" s="84" t="str">
        <f t="array" ref="F1796">XLOOKUP(G1796,Reference!$F:$F,Reference!$D:$D,"null")</f>
        <v>Makanan dan Pakaian </v>
      </c>
      <c r="G1796" s="85" t="s">
        <v>56</v>
      </c>
      <c r="H1796" s="86">
        <v>104.26</v>
      </c>
      <c r="I1796" s="86">
        <v>103.54</v>
      </c>
      <c r="J1796" s="87">
        <f t="shared" si="2"/>
        <v>0.6953834267</v>
      </c>
      <c r="K1796" s="84" t="str">
        <f t="shared" si="3"/>
        <v>Inflasi Tinggi</v>
      </c>
      <c r="L1796" s="84">
        <f t="shared" si="4"/>
        <v>0.72</v>
      </c>
      <c r="M1796" s="88" t="str">
        <f t="shared" si="5"/>
        <v>Akselerasi Persentase</v>
      </c>
    </row>
    <row r="1797" ht="18.75" customHeight="1">
      <c r="A1797" s="80" t="s">
        <v>298</v>
      </c>
      <c r="B1797" s="81" t="str">
        <f t="shared" si="1"/>
        <v>Kota Bekasi</v>
      </c>
      <c r="C1797" s="81" t="str">
        <f t="array" ref="C1797">XLOOKUP(B1797,Reference!$A$2:$A$152,Reference!$B$2:$B$152)</f>
        <v>Jawa Barat</v>
      </c>
      <c r="D1797" s="82" t="s">
        <v>2236</v>
      </c>
      <c r="E1797" s="83">
        <v>45323.0</v>
      </c>
      <c r="F1797" s="84" t="str">
        <f t="array" ref="F1797">XLOOKUP(G1797,Reference!$F:$F,Reference!$D:$D,"null")</f>
        <v>Rekreasi dan Kendaraan</v>
      </c>
      <c r="G1797" s="85" t="s">
        <v>105</v>
      </c>
      <c r="H1797" s="86">
        <v>102.96</v>
      </c>
      <c r="I1797" s="86">
        <v>101.87</v>
      </c>
      <c r="J1797" s="87">
        <f t="shared" si="2"/>
        <v>1.069991165</v>
      </c>
      <c r="K1797" s="84" t="str">
        <f t="shared" si="3"/>
        <v>Inflasi Tinggi</v>
      </c>
      <c r="L1797" s="84">
        <f t="shared" si="4"/>
        <v>1.09</v>
      </c>
      <c r="M1797" s="88" t="str">
        <f t="shared" si="5"/>
        <v>Akselerasi Persentase</v>
      </c>
    </row>
    <row r="1798" ht="18.75" customHeight="1">
      <c r="A1798" s="80" t="s">
        <v>502</v>
      </c>
      <c r="B1798" s="81" t="str">
        <f t="shared" si="1"/>
        <v>Muara Bungo</v>
      </c>
      <c r="C1798" s="81" t="str">
        <f t="array" ref="C1798">XLOOKUP(B1798,Reference!$A$2:$A$152,Reference!$B$2:$B$152)</f>
        <v>Jambi</v>
      </c>
      <c r="D1798" s="82" t="s">
        <v>2237</v>
      </c>
      <c r="E1798" s="83">
        <v>45323.0</v>
      </c>
      <c r="F1798" s="84" t="str">
        <f t="array" ref="F1798">XLOOKUP(G1798,Reference!$F:$F,Reference!$D:$D,"null")</f>
        <v>Makanan dan Pakaian </v>
      </c>
      <c r="G1798" s="85" t="s">
        <v>64</v>
      </c>
      <c r="H1798" s="86">
        <v>102.14</v>
      </c>
      <c r="I1798" s="86">
        <v>102.12</v>
      </c>
      <c r="J1798" s="87">
        <f t="shared" si="2"/>
        <v>0.01958480219</v>
      </c>
      <c r="K1798" s="84" t="str">
        <f t="shared" si="3"/>
        <v>Inflasi Normal</v>
      </c>
      <c r="L1798" s="84">
        <f t="shared" si="4"/>
        <v>0.02</v>
      </c>
      <c r="M1798" s="88" t="str">
        <f t="shared" si="5"/>
        <v>Perubahan Normal</v>
      </c>
    </row>
    <row r="1799" ht="18.75" customHeight="1">
      <c r="A1799" s="80" t="s">
        <v>367</v>
      </c>
      <c r="B1799" s="81" t="str">
        <f t="shared" si="1"/>
        <v>Kota Jambi</v>
      </c>
      <c r="C1799" s="81" t="str">
        <f t="array" ref="C1799">XLOOKUP(B1799,Reference!$A$2:$A$152,Reference!$B$2:$B$152)</f>
        <v>Jambi</v>
      </c>
      <c r="D1799" s="82" t="s">
        <v>2238</v>
      </c>
      <c r="E1799" s="83">
        <v>45352.0</v>
      </c>
      <c r="F1799" s="84" t="str">
        <f t="array" ref="F1799">XLOOKUP(G1799,Reference!$F:$F,Reference!$D:$D,"null")</f>
        <v>Rumah Tangga</v>
      </c>
      <c r="G1799" s="85" t="s">
        <v>89</v>
      </c>
      <c r="H1799" s="86">
        <v>104.42</v>
      </c>
      <c r="I1799" s="86">
        <v>104.42</v>
      </c>
      <c r="J1799" s="87">
        <f t="shared" si="2"/>
        <v>0</v>
      </c>
      <c r="K1799" s="84" t="str">
        <f t="shared" si="3"/>
        <v>Stabil</v>
      </c>
      <c r="L1799" s="84">
        <f t="shared" si="4"/>
        <v>0</v>
      </c>
      <c r="M1799" s="88" t="str">
        <f t="shared" si="5"/>
        <v>Perubahan Normal</v>
      </c>
    </row>
    <row r="1800" ht="18.75" customHeight="1">
      <c r="A1800" s="80" t="s">
        <v>458</v>
      </c>
      <c r="B1800" s="81" t="str">
        <f t="shared" si="1"/>
        <v>Kota Dumai</v>
      </c>
      <c r="C1800" s="81" t="str">
        <f t="array" ref="C1800">XLOOKUP(B1800,Reference!$A$2:$A$152,Reference!$B$2:$B$152)</f>
        <v>Riau</v>
      </c>
      <c r="D1800" s="82" t="s">
        <v>2239</v>
      </c>
      <c r="E1800" s="83">
        <v>45352.0</v>
      </c>
      <c r="F1800" s="84" t="str">
        <f t="array" ref="F1800">XLOOKUP(G1800,Reference!$F:$F,Reference!$D:$D,"null")</f>
        <v>Makanan dan Pakaian </v>
      </c>
      <c r="G1800" s="85" t="s">
        <v>48</v>
      </c>
      <c r="H1800" s="86">
        <v>110.24</v>
      </c>
      <c r="I1800" s="86">
        <v>107.24</v>
      </c>
      <c r="J1800" s="87">
        <f t="shared" si="2"/>
        <v>2.797463633</v>
      </c>
      <c r="K1800" s="84" t="str">
        <f t="shared" si="3"/>
        <v>Inflasi Tinggi</v>
      </c>
      <c r="L1800" s="84">
        <f t="shared" si="4"/>
        <v>3</v>
      </c>
      <c r="M1800" s="88" t="str">
        <f t="shared" si="5"/>
        <v>Akselerasi Kuat</v>
      </c>
    </row>
    <row r="1801" ht="18.75" customHeight="1">
      <c r="A1801" s="80" t="s">
        <v>616</v>
      </c>
      <c r="B1801" s="81" t="str">
        <f t="shared" si="1"/>
        <v>Kab Sorong</v>
      </c>
      <c r="C1801" s="81" t="str">
        <f t="array" ref="C1801">XLOOKUP(B1801,Reference!$A$2:$A$152,Reference!$B$2:$B$152)</f>
        <v>Papua Barat Daya</v>
      </c>
      <c r="D1801" s="82" t="s">
        <v>2240</v>
      </c>
      <c r="E1801" s="83">
        <v>45323.0</v>
      </c>
      <c r="F1801" s="84" t="str">
        <f t="array" ref="F1801">XLOOKUP(G1801,Reference!$F:$F,Reference!$D:$D,"null")</f>
        <v>Pendidikan dan Kesehatan</v>
      </c>
      <c r="G1801" s="89" t="s">
        <v>95</v>
      </c>
      <c r="H1801" s="90">
        <v>100.92</v>
      </c>
      <c r="I1801" s="90">
        <v>100.92</v>
      </c>
      <c r="J1801" s="87">
        <f t="shared" si="2"/>
        <v>0</v>
      </c>
      <c r="K1801" s="84" t="str">
        <f t="shared" si="3"/>
        <v>Stabil</v>
      </c>
      <c r="L1801" s="91">
        <f t="shared" si="4"/>
        <v>0</v>
      </c>
      <c r="M1801" s="88" t="str">
        <f t="shared" si="5"/>
        <v>Perubahan Normal</v>
      </c>
    </row>
    <row r="1802" ht="18.75" customHeight="1">
      <c r="A1802" s="80" t="s">
        <v>731</v>
      </c>
      <c r="B1802" s="81" t="str">
        <f t="shared" si="1"/>
        <v>Kab Hulu Sungai Tengah</v>
      </c>
      <c r="C1802" s="81" t="str">
        <f t="array" ref="C1802">XLOOKUP(B1802,Reference!$A$2:$A$152,Reference!$B$2:$B$152)</f>
        <v>Kalimantan Selatan</v>
      </c>
      <c r="D1802" s="82" t="s">
        <v>2241</v>
      </c>
      <c r="E1802" s="83">
        <v>45323.0</v>
      </c>
      <c r="F1802" s="84" t="str">
        <f t="array" ref="F1802">XLOOKUP(G1802,Reference!$F:$F,Reference!$D:$D,"null")</f>
        <v>Makanan dan Pakaian </v>
      </c>
      <c r="G1802" s="85" t="s">
        <v>64</v>
      </c>
      <c r="H1802" s="86">
        <v>104.7</v>
      </c>
      <c r="I1802" s="86">
        <v>103.68</v>
      </c>
      <c r="J1802" s="87">
        <f t="shared" si="2"/>
        <v>0.9837962963</v>
      </c>
      <c r="K1802" s="84" t="str">
        <f t="shared" si="3"/>
        <v>Inflasi Tinggi</v>
      </c>
      <c r="L1802" s="84">
        <f t="shared" si="4"/>
        <v>1.02</v>
      </c>
      <c r="M1802" s="88" t="str">
        <f t="shared" si="5"/>
        <v>Akselerasi Persentase</v>
      </c>
    </row>
    <row r="1803" ht="18.75" customHeight="1">
      <c r="A1803" s="80" t="s">
        <v>450</v>
      </c>
      <c r="B1803" s="81" t="str">
        <f t="shared" si="1"/>
        <v>Waingapu</v>
      </c>
      <c r="C1803" s="81" t="str">
        <f t="array" ref="C1803">XLOOKUP(B1803,Reference!$A$2:$A$152,Reference!$B$2:$B$152)</f>
        <v>Nusa Tenggara Timur (NTT)</v>
      </c>
      <c r="D1803" s="82" t="s">
        <v>2242</v>
      </c>
      <c r="E1803" s="83">
        <v>45323.0</v>
      </c>
      <c r="F1803" s="84" t="str">
        <f t="array" ref="F1803">XLOOKUP(G1803,Reference!$F:$F,Reference!$D:$D,"null")</f>
        <v>Pendidikan dan Kesehatan</v>
      </c>
      <c r="G1803" s="85" t="s">
        <v>98</v>
      </c>
      <c r="H1803" s="86">
        <v>104.51</v>
      </c>
      <c r="I1803" s="86">
        <v>103.34</v>
      </c>
      <c r="J1803" s="87">
        <f t="shared" si="2"/>
        <v>1.13218502</v>
      </c>
      <c r="K1803" s="84" t="str">
        <f t="shared" si="3"/>
        <v>Inflasi Tinggi</v>
      </c>
      <c r="L1803" s="84">
        <f t="shared" si="4"/>
        <v>1.17</v>
      </c>
      <c r="M1803" s="88" t="str">
        <f t="shared" si="5"/>
        <v>Akselerasi Persentase</v>
      </c>
    </row>
    <row r="1804" ht="18.75" customHeight="1">
      <c r="A1804" s="80" t="s">
        <v>324</v>
      </c>
      <c r="B1804" s="81" t="str">
        <f t="shared" si="1"/>
        <v>Kab Nunukan</v>
      </c>
      <c r="C1804" s="81" t="str">
        <f t="array" ref="C1804">XLOOKUP(B1804,Reference!$A$2:$A$152,Reference!$B$2:$B$152)</f>
        <v>Kalimantan Utara</v>
      </c>
      <c r="D1804" s="82" t="s">
        <v>2243</v>
      </c>
      <c r="E1804" s="83">
        <v>45352.0</v>
      </c>
      <c r="F1804" s="84" t="str">
        <f t="array" ref="F1804">XLOOKUP(G1804,Reference!$F:$F,Reference!$D:$D,"null")</f>
        <v>Rekreasi dan Kendaraan</v>
      </c>
      <c r="G1804" s="85" t="s">
        <v>102</v>
      </c>
      <c r="H1804" s="86">
        <v>102.55</v>
      </c>
      <c r="I1804" s="86">
        <v>102.38</v>
      </c>
      <c r="J1804" s="87">
        <f t="shared" si="2"/>
        <v>0.1660480563</v>
      </c>
      <c r="K1804" s="84" t="str">
        <f t="shared" si="3"/>
        <v>Inflasi Normal</v>
      </c>
      <c r="L1804" s="84">
        <f t="shared" si="4"/>
        <v>0.17</v>
      </c>
      <c r="M1804" s="88" t="str">
        <f t="shared" si="5"/>
        <v>Perubahan Normal</v>
      </c>
    </row>
    <row r="1805" ht="18.75" customHeight="1">
      <c r="A1805" s="80" t="s">
        <v>497</v>
      </c>
      <c r="B1805" s="81" t="str">
        <f t="shared" si="1"/>
        <v>Tanjung Pandan</v>
      </c>
      <c r="C1805" s="81" t="str">
        <f t="array" ref="C1805">XLOOKUP(B1805,Reference!$A$2:$A$152,Reference!$B$2:$B$152)</f>
        <v>Kepulauan Bangka Belitung</v>
      </c>
      <c r="D1805" s="82" t="s">
        <v>2244</v>
      </c>
      <c r="E1805" s="83">
        <v>45352.0</v>
      </c>
      <c r="F1805" s="84" t="str">
        <f t="array" ref="F1805">XLOOKUP(G1805,Reference!$F:$F,Reference!$D:$D,"null")</f>
        <v>Pendidikan dan Kesehatan</v>
      </c>
      <c r="G1805" s="85" t="s">
        <v>95</v>
      </c>
      <c r="H1805" s="86">
        <v>110.6</v>
      </c>
      <c r="I1805" s="86">
        <v>110.6</v>
      </c>
      <c r="J1805" s="87">
        <f t="shared" si="2"/>
        <v>0</v>
      </c>
      <c r="K1805" s="84" t="str">
        <f t="shared" si="3"/>
        <v>Stabil</v>
      </c>
      <c r="L1805" s="84">
        <f t="shared" si="4"/>
        <v>0</v>
      </c>
      <c r="M1805" s="88" t="str">
        <f t="shared" si="5"/>
        <v>Perubahan Normal</v>
      </c>
    </row>
    <row r="1806" ht="18.75" customHeight="1">
      <c r="A1806" s="80" t="s">
        <v>431</v>
      </c>
      <c r="B1806" s="81" t="str">
        <f t="shared" si="1"/>
        <v>Kota Ternate</v>
      </c>
      <c r="C1806" s="81" t="str">
        <f t="array" ref="C1806">XLOOKUP(B1806,Reference!$A$2:$A$152,Reference!$B$2:$B$152)</f>
        <v>Maluku Utara</v>
      </c>
      <c r="D1806" s="82" t="s">
        <v>2245</v>
      </c>
      <c r="E1806" s="83">
        <v>45323.0</v>
      </c>
      <c r="F1806" s="84" t="str">
        <f t="array" ref="F1806">XLOOKUP(G1806,Reference!$F:$F,Reference!$D:$D,"null")</f>
        <v>Makanan dan Pakaian </v>
      </c>
      <c r="G1806" s="85" t="s">
        <v>48</v>
      </c>
      <c r="H1806" s="86">
        <v>109.24</v>
      </c>
      <c r="I1806" s="86">
        <v>111.6</v>
      </c>
      <c r="J1806" s="87">
        <f t="shared" si="2"/>
        <v>-2.114695341</v>
      </c>
      <c r="K1806" s="84" t="str">
        <f t="shared" si="3"/>
        <v>Deflasi</v>
      </c>
      <c r="L1806" s="84">
        <f t="shared" si="4"/>
        <v>-2.36</v>
      </c>
      <c r="M1806" s="88" t="str">
        <f t="shared" si="5"/>
        <v>Perubahan Normal</v>
      </c>
    </row>
    <row r="1807" ht="18.75" customHeight="1">
      <c r="A1807" s="80" t="s">
        <v>393</v>
      </c>
      <c r="B1807" s="81" t="str">
        <f t="shared" si="1"/>
        <v>Kab Sumbawa</v>
      </c>
      <c r="C1807" s="81" t="str">
        <f t="array" ref="C1807">XLOOKUP(B1807,Reference!$A$2:$A$152,Reference!$B$2:$B$152)</f>
        <v>Nusa Tenggara Barat (NTB)</v>
      </c>
      <c r="D1807" s="82" t="s">
        <v>2246</v>
      </c>
      <c r="E1807" s="83">
        <v>45323.0</v>
      </c>
      <c r="F1807" s="84" t="str">
        <f t="array" ref="F1807">XLOOKUP(G1807,Reference!$F:$F,Reference!$D:$D,"null")</f>
        <v>Pendidikan dan Kesehatan</v>
      </c>
      <c r="G1807" s="85" t="s">
        <v>98</v>
      </c>
      <c r="H1807" s="86">
        <v>106.35</v>
      </c>
      <c r="I1807" s="86">
        <v>105.98</v>
      </c>
      <c r="J1807" s="87">
        <f t="shared" si="2"/>
        <v>0.3491224759</v>
      </c>
      <c r="K1807" s="84" t="str">
        <f t="shared" si="3"/>
        <v>Inflasi Normal</v>
      </c>
      <c r="L1807" s="84">
        <f t="shared" si="4"/>
        <v>0.37</v>
      </c>
      <c r="M1807" s="88" t="str">
        <f t="shared" si="5"/>
        <v>Perubahan Normal</v>
      </c>
    </row>
    <row r="1808" ht="18.75" customHeight="1">
      <c r="A1808" s="80" t="s">
        <v>342</v>
      </c>
      <c r="B1808" s="81" t="str">
        <f t="shared" si="1"/>
        <v>Kab Bandung</v>
      </c>
      <c r="C1808" s="81" t="str">
        <f t="array" ref="C1808">XLOOKUP(B1808,Reference!$A$2:$A$152,Reference!$B$2:$B$152)</f>
        <v>Jawa Barat</v>
      </c>
      <c r="D1808" s="82" t="s">
        <v>2247</v>
      </c>
      <c r="E1808" s="83">
        <v>45352.0</v>
      </c>
      <c r="F1808" s="84" t="str">
        <f t="array" ref="F1808">XLOOKUP(G1808,Reference!$F:$F,Reference!$D:$D,"null")</f>
        <v>Pendidikan dan Kesehatan</v>
      </c>
      <c r="G1808" s="85" t="s">
        <v>95</v>
      </c>
      <c r="H1808" s="86">
        <v>102.16</v>
      </c>
      <c r="I1808" s="86">
        <v>102.16</v>
      </c>
      <c r="J1808" s="87">
        <f t="shared" si="2"/>
        <v>0</v>
      </c>
      <c r="K1808" s="84" t="str">
        <f t="shared" si="3"/>
        <v>Stabil</v>
      </c>
      <c r="L1808" s="84">
        <f t="shared" si="4"/>
        <v>0</v>
      </c>
      <c r="M1808" s="88" t="str">
        <f t="shared" si="5"/>
        <v>Perubahan Normal</v>
      </c>
    </row>
    <row r="1809" ht="18.75" customHeight="1">
      <c r="A1809" s="80" t="s">
        <v>471</v>
      </c>
      <c r="B1809" s="81" t="str">
        <f t="shared" si="1"/>
        <v>Kab Gunungkidul</v>
      </c>
      <c r="C1809" s="81" t="str">
        <f t="array" ref="C1809">XLOOKUP(B1809,Reference!$A$2:$A$152,Reference!$B$2:$B$152)</f>
        <v>D.I. Yogyakarta</v>
      </c>
      <c r="D1809" s="82" t="s">
        <v>2248</v>
      </c>
      <c r="E1809" s="83">
        <v>45323.0</v>
      </c>
      <c r="F1809" s="84" t="str">
        <f t="array" ref="F1809">XLOOKUP(G1809,Reference!$F:$F,Reference!$D:$D,"null")</f>
        <v>Rekreasi dan Kendaraan</v>
      </c>
      <c r="G1809" s="85" t="s">
        <v>105</v>
      </c>
      <c r="H1809" s="86">
        <v>101.38</v>
      </c>
      <c r="I1809" s="86">
        <v>101.23</v>
      </c>
      <c r="J1809" s="87">
        <f t="shared" si="2"/>
        <v>0.1481774178</v>
      </c>
      <c r="K1809" s="84" t="str">
        <f t="shared" si="3"/>
        <v>Inflasi Normal</v>
      </c>
      <c r="L1809" s="84">
        <f t="shared" si="4"/>
        <v>0.15</v>
      </c>
      <c r="M1809" s="88" t="str">
        <f t="shared" si="5"/>
        <v>Perubahan Normal</v>
      </c>
    </row>
    <row r="1810" ht="18.75" customHeight="1">
      <c r="A1810" s="80" t="s">
        <v>306</v>
      </c>
      <c r="B1810" s="81" t="str">
        <f t="shared" si="1"/>
        <v>Kota Padang</v>
      </c>
      <c r="C1810" s="81" t="str">
        <f t="array" ref="C1810">XLOOKUP(B1810,Reference!$A$2:$A$152,Reference!$B$2:$B$152)</f>
        <v>Sumatera Barat</v>
      </c>
      <c r="D1810" s="82" t="s">
        <v>2249</v>
      </c>
      <c r="E1810" s="83">
        <v>45323.0</v>
      </c>
      <c r="F1810" s="84" t="str">
        <f t="array" ref="F1810">XLOOKUP(G1810,Reference!$F:$F,Reference!$D:$D,"null")</f>
        <v>Rumah Tangga</v>
      </c>
      <c r="G1810" s="85" t="s">
        <v>84</v>
      </c>
      <c r="H1810" s="86">
        <v>100.12</v>
      </c>
      <c r="I1810" s="86">
        <v>100.19</v>
      </c>
      <c r="J1810" s="87">
        <f t="shared" si="2"/>
        <v>-0.06986725222</v>
      </c>
      <c r="K1810" s="84" t="str">
        <f t="shared" si="3"/>
        <v>Deflasi</v>
      </c>
      <c r="L1810" s="84">
        <f t="shared" si="4"/>
        <v>-0.07</v>
      </c>
      <c r="M1810" s="88" t="str">
        <f t="shared" si="5"/>
        <v>Perubahan Normal</v>
      </c>
    </row>
    <row r="1811" ht="18.75" customHeight="1">
      <c r="A1811" s="80" t="s">
        <v>397</v>
      </c>
      <c r="B1811" s="81" t="str">
        <f t="shared" si="1"/>
        <v>Kota Pematangsiantar</v>
      </c>
      <c r="C1811" s="81" t="str">
        <f t="array" ref="C1811">XLOOKUP(B1811,Reference!$A$2:$A$152,Reference!$B$2:$B$152)</f>
        <v>Sumatera Utara</v>
      </c>
      <c r="D1811" s="82" t="s">
        <v>2250</v>
      </c>
      <c r="E1811" s="83">
        <v>45323.0</v>
      </c>
      <c r="F1811" s="84" t="str">
        <f t="array" ref="F1811">XLOOKUP(G1811,Reference!$F:$F,Reference!$D:$D,"null")</f>
        <v>Makanan dan Pakaian </v>
      </c>
      <c r="G1811" s="85" t="s">
        <v>72</v>
      </c>
      <c r="H1811" s="86">
        <v>102.15</v>
      </c>
      <c r="I1811" s="86">
        <v>102.15</v>
      </c>
      <c r="J1811" s="87">
        <f t="shared" si="2"/>
        <v>0</v>
      </c>
      <c r="K1811" s="84" t="str">
        <f t="shared" si="3"/>
        <v>Stabil</v>
      </c>
      <c r="L1811" s="84">
        <f t="shared" si="4"/>
        <v>0</v>
      </c>
      <c r="M1811" s="88" t="str">
        <f t="shared" si="5"/>
        <v>Perubahan Normal</v>
      </c>
    </row>
    <row r="1812" ht="18.75" customHeight="1">
      <c r="A1812" s="80" t="s">
        <v>571</v>
      </c>
      <c r="B1812" s="81" t="str">
        <f t="shared" si="1"/>
        <v>Kota Sorong</v>
      </c>
      <c r="C1812" s="81" t="str">
        <f t="array" ref="C1812">XLOOKUP(B1812,Reference!$A$2:$A$152,Reference!$B$2:$B$152)</f>
        <v>Papua Barat Daya</v>
      </c>
      <c r="D1812" s="82" t="s">
        <v>2251</v>
      </c>
      <c r="E1812" s="83">
        <v>45352.0</v>
      </c>
      <c r="F1812" s="84" t="str">
        <f t="array" ref="F1812">XLOOKUP(G1812,Reference!$F:$F,Reference!$D:$D,"null")</f>
        <v>Makanan dan Pakaian </v>
      </c>
      <c r="G1812" s="85" t="s">
        <v>72</v>
      </c>
      <c r="H1812" s="86">
        <v>104.07</v>
      </c>
      <c r="I1812" s="86">
        <v>103.95</v>
      </c>
      <c r="J1812" s="87">
        <f t="shared" si="2"/>
        <v>0.1154401154</v>
      </c>
      <c r="K1812" s="84" t="str">
        <f t="shared" si="3"/>
        <v>Inflasi Normal</v>
      </c>
      <c r="L1812" s="84">
        <f t="shared" si="4"/>
        <v>0.12</v>
      </c>
      <c r="M1812" s="88" t="str">
        <f t="shared" si="5"/>
        <v>Perubahan Normal</v>
      </c>
    </row>
    <row r="1813" ht="18.75" customHeight="1">
      <c r="A1813" s="80" t="s">
        <v>382</v>
      </c>
      <c r="B1813" s="81" t="str">
        <f t="shared" si="1"/>
        <v>Kab Ngada</v>
      </c>
      <c r="C1813" s="81" t="str">
        <f t="array" ref="C1813">XLOOKUP(B1813,Reference!$A$2:$A$152,Reference!$B$2:$B$152)</f>
        <v>Nusa Tenggara Timur (NTT)</v>
      </c>
      <c r="D1813" s="82" t="s">
        <v>2252</v>
      </c>
      <c r="E1813" s="83">
        <v>45352.0</v>
      </c>
      <c r="F1813" s="84" t="str">
        <f t="array" ref="F1813">XLOOKUP(G1813,Reference!$F:$F,Reference!$D:$D,"null")</f>
        <v>Rekreasi dan Kendaraan</v>
      </c>
      <c r="G1813" s="85" t="s">
        <v>102</v>
      </c>
      <c r="H1813" s="86">
        <v>98.74</v>
      </c>
      <c r="I1813" s="86">
        <v>98.74</v>
      </c>
      <c r="J1813" s="87">
        <f t="shared" si="2"/>
        <v>0</v>
      </c>
      <c r="K1813" s="84" t="str">
        <f t="shared" si="3"/>
        <v>Stabil</v>
      </c>
      <c r="L1813" s="84">
        <f t="shared" si="4"/>
        <v>0</v>
      </c>
      <c r="M1813" s="88" t="str">
        <f t="shared" si="5"/>
        <v>Perubahan Normal</v>
      </c>
    </row>
    <row r="1814" ht="18.75" customHeight="1">
      <c r="A1814" s="80" t="s">
        <v>920</v>
      </c>
      <c r="B1814" s="81" t="str">
        <f t="shared" si="1"/>
        <v>Kab Deli Serdang</v>
      </c>
      <c r="C1814" s="81" t="str">
        <f t="array" ref="C1814">XLOOKUP(B1814,Reference!$A$2:$A$152,Reference!$B$2:$B$152)</f>
        <v>Sumatera Utara</v>
      </c>
      <c r="D1814" s="82" t="s">
        <v>2253</v>
      </c>
      <c r="E1814" s="83">
        <v>45323.0</v>
      </c>
      <c r="F1814" s="84" t="str">
        <f t="array" ref="F1814">XLOOKUP(G1814,Reference!$F:$F,Reference!$D:$D,"null")</f>
        <v>Rumah Tangga</v>
      </c>
      <c r="G1814" s="85" t="s">
        <v>80</v>
      </c>
      <c r="H1814" s="86">
        <v>100.0</v>
      </c>
      <c r="I1814" s="86">
        <v>100.0</v>
      </c>
      <c r="J1814" s="87">
        <f t="shared" si="2"/>
        <v>0</v>
      </c>
      <c r="K1814" s="84" t="str">
        <f t="shared" si="3"/>
        <v>Stabil</v>
      </c>
      <c r="L1814" s="84">
        <f t="shared" si="4"/>
        <v>0</v>
      </c>
      <c r="M1814" s="88" t="str">
        <f t="shared" si="5"/>
        <v>Perubahan Normal</v>
      </c>
    </row>
    <row r="1815" ht="18.75" customHeight="1">
      <c r="A1815" s="80" t="s">
        <v>517</v>
      </c>
      <c r="B1815" s="81" t="str">
        <f t="shared" si="1"/>
        <v>Kota Kupang</v>
      </c>
      <c r="C1815" s="81" t="str">
        <f t="array" ref="C1815">XLOOKUP(B1815,Reference!$A$2:$A$152,Reference!$B$2:$B$152)</f>
        <v>Nusa Tenggara Timur (NTT)</v>
      </c>
      <c r="D1815" s="82" t="s">
        <v>2254</v>
      </c>
      <c r="E1815" s="83">
        <v>45352.0</v>
      </c>
      <c r="F1815" s="84" t="str">
        <f t="array" ref="F1815">XLOOKUP(G1815,Reference!$F:$F,Reference!$D:$D,"null")</f>
        <v>Rumah Tangga</v>
      </c>
      <c r="G1815" s="85" t="s">
        <v>89</v>
      </c>
      <c r="H1815" s="86">
        <v>99.86</v>
      </c>
      <c r="I1815" s="86">
        <v>100.72</v>
      </c>
      <c r="J1815" s="87">
        <f t="shared" si="2"/>
        <v>-0.8538522637</v>
      </c>
      <c r="K1815" s="84" t="str">
        <f t="shared" si="3"/>
        <v>Deflasi</v>
      </c>
      <c r="L1815" s="84">
        <f t="shared" si="4"/>
        <v>-0.86</v>
      </c>
      <c r="M1815" s="88" t="str">
        <f t="shared" si="5"/>
        <v>Perubahan Normal</v>
      </c>
    </row>
    <row r="1816" ht="18.75" customHeight="1">
      <c r="A1816" s="80" t="s">
        <v>642</v>
      </c>
      <c r="B1816" s="81" t="str">
        <f t="shared" si="1"/>
        <v>Kota Bandar Lampung</v>
      </c>
      <c r="C1816" s="81" t="str">
        <f t="array" ref="C1816">XLOOKUP(B1816,Reference!$A$2:$A$152,Reference!$B$2:$B$152)</f>
        <v>Lampung</v>
      </c>
      <c r="D1816" s="82" t="s">
        <v>2255</v>
      </c>
      <c r="E1816" s="83">
        <v>45323.0</v>
      </c>
      <c r="F1816" s="84" t="str">
        <f t="array" ref="F1816">XLOOKUP(G1816,Reference!$F:$F,Reference!$D:$D,"null")</f>
        <v>Makanan dan Pakaian </v>
      </c>
      <c r="G1816" s="89" t="s">
        <v>48</v>
      </c>
      <c r="H1816" s="90">
        <v>109.18</v>
      </c>
      <c r="I1816" s="90">
        <v>107.15</v>
      </c>
      <c r="J1816" s="87">
        <f t="shared" si="2"/>
        <v>1.894540364</v>
      </c>
      <c r="K1816" s="84" t="str">
        <f t="shared" si="3"/>
        <v>Inflasi Tinggi</v>
      </c>
      <c r="L1816" s="91">
        <f t="shared" si="4"/>
        <v>2.03</v>
      </c>
      <c r="M1816" s="88" t="str">
        <f t="shared" si="5"/>
        <v>Akselerasi Kuat</v>
      </c>
    </row>
    <row r="1817" ht="18.75" customHeight="1">
      <c r="A1817" s="80" t="s">
        <v>663</v>
      </c>
      <c r="B1817" s="81" t="str">
        <f t="shared" si="1"/>
        <v>Kota Serang</v>
      </c>
      <c r="C1817" s="81" t="str">
        <f t="array" ref="C1817">XLOOKUP(B1817,Reference!$A$2:$A$152,Reference!$B$2:$B$152)</f>
        <v>Banten</v>
      </c>
      <c r="D1817" s="82" t="s">
        <v>2256</v>
      </c>
      <c r="E1817" s="83">
        <v>45352.0</v>
      </c>
      <c r="F1817" s="84" t="str">
        <f t="array" ref="F1817">XLOOKUP(G1817,Reference!$F:$F,Reference!$D:$D,"null")</f>
        <v>Rumah Tangga</v>
      </c>
      <c r="G1817" s="89" t="s">
        <v>89</v>
      </c>
      <c r="H1817" s="90">
        <v>102.38</v>
      </c>
      <c r="I1817" s="90">
        <v>102.38</v>
      </c>
      <c r="J1817" s="87">
        <f t="shared" si="2"/>
        <v>0</v>
      </c>
      <c r="K1817" s="84" t="str">
        <f t="shared" si="3"/>
        <v>Stabil</v>
      </c>
      <c r="L1817" s="91">
        <f t="shared" si="4"/>
        <v>0</v>
      </c>
      <c r="M1817" s="88" t="str">
        <f t="shared" si="5"/>
        <v>Perubahan Normal</v>
      </c>
    </row>
    <row r="1818" ht="18.75" customHeight="1">
      <c r="A1818" s="80" t="s">
        <v>326</v>
      </c>
      <c r="B1818" s="81" t="str">
        <f t="shared" si="1"/>
        <v>Luwuk</v>
      </c>
      <c r="C1818" s="81" t="str">
        <f t="array" ref="C1818">XLOOKUP(B1818,Reference!$A$2:$A$152,Reference!$B$2:$B$152)</f>
        <v>Sulawesi Tengah</v>
      </c>
      <c r="D1818" s="82" t="s">
        <v>2257</v>
      </c>
      <c r="E1818" s="83">
        <v>45323.0</v>
      </c>
      <c r="F1818" s="84" t="str">
        <f t="array" ref="F1818">XLOOKUP(G1818,Reference!$F:$F,Reference!$D:$D,"null")</f>
        <v>Pendidikan dan Kesehatan</v>
      </c>
      <c r="G1818" s="85" t="s">
        <v>98</v>
      </c>
      <c r="H1818" s="86">
        <v>98.99</v>
      </c>
      <c r="I1818" s="86">
        <v>97.56</v>
      </c>
      <c r="J1818" s="87">
        <f t="shared" si="2"/>
        <v>1.465764658</v>
      </c>
      <c r="K1818" s="84" t="str">
        <f t="shared" si="3"/>
        <v>Inflasi Tinggi</v>
      </c>
      <c r="L1818" s="84">
        <f t="shared" si="4"/>
        <v>1.43</v>
      </c>
      <c r="M1818" s="88" t="str">
        <f t="shared" si="5"/>
        <v>Akselerasi Persentase</v>
      </c>
    </row>
    <row r="1819" ht="18.75" customHeight="1">
      <c r="A1819" s="80" t="s">
        <v>355</v>
      </c>
      <c r="B1819" s="81" t="str">
        <f t="shared" si="1"/>
        <v>Kota Gorontalo</v>
      </c>
      <c r="C1819" s="81" t="str">
        <f t="array" ref="C1819">XLOOKUP(B1819,Reference!$A$2:$A$152,Reference!$B$2:$B$152)</f>
        <v>Gorontalo</v>
      </c>
      <c r="D1819" s="82" t="s">
        <v>2258</v>
      </c>
      <c r="E1819" s="83">
        <v>45323.0</v>
      </c>
      <c r="F1819" s="84" t="str">
        <f t="array" ref="F1819">XLOOKUP(G1819,Reference!$F:$F,Reference!$D:$D,"null")</f>
        <v>Makanan dan Pakaian </v>
      </c>
      <c r="G1819" s="89" t="s">
        <v>48</v>
      </c>
      <c r="H1819" s="90">
        <v>102.79</v>
      </c>
      <c r="I1819" s="90">
        <v>107.74</v>
      </c>
      <c r="J1819" s="87">
        <f t="shared" si="2"/>
        <v>-4.594393911</v>
      </c>
      <c r="K1819" s="84" t="str">
        <f t="shared" si="3"/>
        <v>Deflasi</v>
      </c>
      <c r="L1819" s="91">
        <f t="shared" si="4"/>
        <v>-4.95</v>
      </c>
      <c r="M1819" s="88" t="str">
        <f t="shared" si="5"/>
        <v>Perubahan Normal</v>
      </c>
    </row>
    <row r="1820" ht="18.75" customHeight="1">
      <c r="A1820" s="80" t="s">
        <v>337</v>
      </c>
      <c r="B1820" s="81" t="str">
        <f t="shared" si="1"/>
        <v>Merauke</v>
      </c>
      <c r="C1820" s="81" t="str">
        <f t="array" ref="C1820">XLOOKUP(B1820,Reference!$A$2:$A$152,Reference!$B$2:$B$152)</f>
        <v>Papua</v>
      </c>
      <c r="D1820" s="82" t="s">
        <v>2259</v>
      </c>
      <c r="E1820" s="83">
        <v>45352.0</v>
      </c>
      <c r="F1820" s="84" t="str">
        <f t="array" ref="F1820">XLOOKUP(G1820,Reference!$F:$F,Reference!$D:$D,"null")</f>
        <v>Pendidikan dan Kesehatan</v>
      </c>
      <c r="G1820" s="85" t="s">
        <v>98</v>
      </c>
      <c r="H1820" s="86">
        <v>110.15</v>
      </c>
      <c r="I1820" s="86">
        <v>109.23</v>
      </c>
      <c r="J1820" s="87">
        <f t="shared" si="2"/>
        <v>0.8422594525</v>
      </c>
      <c r="K1820" s="84" t="str">
        <f t="shared" si="3"/>
        <v>Inflasi Tinggi</v>
      </c>
      <c r="L1820" s="84">
        <f t="shared" si="4"/>
        <v>0.92</v>
      </c>
      <c r="M1820" s="88" t="str">
        <f t="shared" si="5"/>
        <v>Akselerasi Persentase</v>
      </c>
    </row>
    <row r="1821" ht="18.75" customHeight="1">
      <c r="A1821" s="80" t="s">
        <v>425</v>
      </c>
      <c r="B1821" s="81" t="str">
        <f t="shared" si="1"/>
        <v>Kab Gorontalo</v>
      </c>
      <c r="C1821" s="81" t="str">
        <f t="array" ref="C1821">XLOOKUP(B1821,Reference!$A$2:$A$152,Reference!$B$2:$B$152)</f>
        <v>Gorontalo</v>
      </c>
      <c r="D1821" s="82" t="s">
        <v>2260</v>
      </c>
      <c r="E1821" s="83">
        <v>45352.0</v>
      </c>
      <c r="F1821" s="84" t="str">
        <f t="array" ref="F1821">XLOOKUP(G1821,Reference!$F:$F,Reference!$D:$D,"null")</f>
        <v>Makanan dan Pakaian </v>
      </c>
      <c r="G1821" s="85" t="s">
        <v>72</v>
      </c>
      <c r="H1821" s="86">
        <v>114.35</v>
      </c>
      <c r="I1821" s="86">
        <v>102.92</v>
      </c>
      <c r="J1821" s="87">
        <f t="shared" si="2"/>
        <v>11.10571318</v>
      </c>
      <c r="K1821" s="84" t="str">
        <f t="shared" si="3"/>
        <v>Inflasi Tinggi</v>
      </c>
      <c r="L1821" s="84">
        <f t="shared" si="4"/>
        <v>11.43</v>
      </c>
      <c r="M1821" s="88" t="str">
        <f t="shared" si="5"/>
        <v>Akselerasi Kuat</v>
      </c>
    </row>
    <row r="1822" ht="18.75" customHeight="1">
      <c r="A1822" s="80" t="s">
        <v>837</v>
      </c>
      <c r="B1822" s="81" t="str">
        <f t="shared" si="1"/>
        <v>Kab Luwu Timur</v>
      </c>
      <c r="C1822" s="81" t="str">
        <f t="array" ref="C1822">XLOOKUP(B1822,Reference!$A$2:$A$152,Reference!$B$2:$B$152)</f>
        <v>Sulawesi Selatan</v>
      </c>
      <c r="D1822" s="82" t="s">
        <v>2261</v>
      </c>
      <c r="E1822" s="83">
        <v>45352.0</v>
      </c>
      <c r="F1822" s="84" t="str">
        <f t="array" ref="F1822">XLOOKUP(G1822,Reference!$F:$F,Reference!$D:$D,"null")</f>
        <v>Rumah Tangga</v>
      </c>
      <c r="G1822" s="85" t="s">
        <v>84</v>
      </c>
      <c r="H1822" s="86">
        <v>96.97</v>
      </c>
      <c r="I1822" s="86">
        <v>96.73</v>
      </c>
      <c r="J1822" s="87">
        <f t="shared" si="2"/>
        <v>0.2481133051</v>
      </c>
      <c r="K1822" s="84" t="str">
        <f t="shared" si="3"/>
        <v>Inflasi Normal</v>
      </c>
      <c r="L1822" s="84">
        <f t="shared" si="4"/>
        <v>0.24</v>
      </c>
      <c r="M1822" s="88" t="str">
        <f t="shared" si="5"/>
        <v>Perubahan Normal</v>
      </c>
    </row>
    <row r="1823" ht="18.75" customHeight="1">
      <c r="A1823" s="80" t="s">
        <v>304</v>
      </c>
      <c r="B1823" s="81" t="str">
        <f t="shared" si="1"/>
        <v>Kota Kediri</v>
      </c>
      <c r="C1823" s="81" t="str">
        <f t="array" ref="C1823">XLOOKUP(B1823,Reference!$A$2:$A$152,Reference!$B$2:$B$152)</f>
        <v>Jawa Timur</v>
      </c>
      <c r="D1823" s="82" t="s">
        <v>2262</v>
      </c>
      <c r="E1823" s="83">
        <v>45352.0</v>
      </c>
      <c r="F1823" s="84" t="str">
        <f t="array" ref="F1823">XLOOKUP(G1823,Reference!$F:$F,Reference!$D:$D,"null")</f>
        <v>Makanan dan Pakaian </v>
      </c>
      <c r="G1823" s="85" t="s">
        <v>64</v>
      </c>
      <c r="H1823" s="86">
        <v>101.3</v>
      </c>
      <c r="I1823" s="86">
        <v>101.25</v>
      </c>
      <c r="J1823" s="87">
        <f t="shared" si="2"/>
        <v>0.04938271605</v>
      </c>
      <c r="K1823" s="84" t="str">
        <f t="shared" si="3"/>
        <v>Inflasi Normal</v>
      </c>
      <c r="L1823" s="84">
        <f t="shared" si="4"/>
        <v>0.05</v>
      </c>
      <c r="M1823" s="88" t="str">
        <f t="shared" si="5"/>
        <v>Perubahan Normal</v>
      </c>
    </row>
    <row r="1824" ht="18.75" customHeight="1">
      <c r="A1824" s="80" t="s">
        <v>389</v>
      </c>
      <c r="B1824" s="81" t="str">
        <f t="shared" si="1"/>
        <v>Tembilahan</v>
      </c>
      <c r="C1824" s="81" t="str">
        <f t="array" ref="C1824">XLOOKUP(B1824,Reference!$A$2:$A$152,Reference!$B$2:$B$152)</f>
        <v>Riau</v>
      </c>
      <c r="D1824" s="82" t="s">
        <v>2263</v>
      </c>
      <c r="E1824" s="83">
        <v>45323.0</v>
      </c>
      <c r="F1824" s="84" t="str">
        <f t="array" ref="F1824">XLOOKUP(G1824,Reference!$F:$F,Reference!$D:$D,"null")</f>
        <v>Rumah Tangga</v>
      </c>
      <c r="G1824" s="85" t="s">
        <v>89</v>
      </c>
      <c r="H1824" s="86">
        <v>100.0</v>
      </c>
      <c r="I1824" s="86">
        <v>100.0</v>
      </c>
      <c r="J1824" s="87">
        <f t="shared" si="2"/>
        <v>0</v>
      </c>
      <c r="K1824" s="84" t="str">
        <f t="shared" si="3"/>
        <v>Stabil</v>
      </c>
      <c r="L1824" s="84">
        <f t="shared" si="4"/>
        <v>0</v>
      </c>
      <c r="M1824" s="88" t="str">
        <f t="shared" si="5"/>
        <v>Perubahan Normal</v>
      </c>
    </row>
    <row r="1825" ht="18.75" customHeight="1">
      <c r="A1825" s="80" t="s">
        <v>370</v>
      </c>
      <c r="B1825" s="81" t="str">
        <f t="shared" si="1"/>
        <v>Jember</v>
      </c>
      <c r="C1825" s="81" t="str">
        <f t="array" ref="C1825">XLOOKUP(B1825,Reference!$A$2:$A$152,Reference!$B$2:$B$152)</f>
        <v>Jawa Timur</v>
      </c>
      <c r="D1825" s="82" t="s">
        <v>2264</v>
      </c>
      <c r="E1825" s="83">
        <v>45323.0</v>
      </c>
      <c r="F1825" s="84" t="str">
        <f t="array" ref="F1825">XLOOKUP(G1825,Reference!$F:$F,Reference!$D:$D,"null")</f>
        <v>Makanan dan Pakaian </v>
      </c>
      <c r="G1825" s="85" t="s">
        <v>64</v>
      </c>
      <c r="H1825" s="86">
        <v>102.99</v>
      </c>
      <c r="I1825" s="86">
        <v>102.69</v>
      </c>
      <c r="J1825" s="87">
        <f t="shared" si="2"/>
        <v>0.2921413964</v>
      </c>
      <c r="K1825" s="84" t="str">
        <f t="shared" si="3"/>
        <v>Inflasi Normal</v>
      </c>
      <c r="L1825" s="84">
        <f t="shared" si="4"/>
        <v>0.3</v>
      </c>
      <c r="M1825" s="88" t="str">
        <f t="shared" si="5"/>
        <v>Perubahan Normal</v>
      </c>
    </row>
    <row r="1826" ht="18.75" customHeight="1">
      <c r="A1826" s="80" t="s">
        <v>376</v>
      </c>
      <c r="B1826" s="81" t="str">
        <f t="shared" si="1"/>
        <v>Bulukumba</v>
      </c>
      <c r="C1826" s="81" t="str">
        <f t="array" ref="C1826">XLOOKUP(B1826,Reference!$A$2:$A$152,Reference!$B$2:$B$152)</f>
        <v>Sulawesi Selatan</v>
      </c>
      <c r="D1826" s="82" t="s">
        <v>2265</v>
      </c>
      <c r="E1826" s="83">
        <v>45352.0</v>
      </c>
      <c r="F1826" s="84" t="str">
        <f t="array" ref="F1826">XLOOKUP(G1826,Reference!$F:$F,Reference!$D:$D,"null")</f>
        <v>Rekreasi dan Kendaraan</v>
      </c>
      <c r="G1826" s="85" t="s">
        <v>105</v>
      </c>
      <c r="H1826" s="86">
        <v>100.7</v>
      </c>
      <c r="I1826" s="86">
        <v>100.7</v>
      </c>
      <c r="J1826" s="87">
        <f t="shared" si="2"/>
        <v>0</v>
      </c>
      <c r="K1826" s="84" t="str">
        <f t="shared" si="3"/>
        <v>Stabil</v>
      </c>
      <c r="L1826" s="84">
        <f t="shared" si="4"/>
        <v>0</v>
      </c>
      <c r="M1826" s="88" t="str">
        <f t="shared" si="5"/>
        <v>Perubahan Normal</v>
      </c>
    </row>
    <row r="1827" ht="18.75" customHeight="1">
      <c r="A1827" s="80" t="s">
        <v>351</v>
      </c>
      <c r="B1827" s="81" t="str">
        <f t="shared" si="1"/>
        <v>Kota Balikpapan</v>
      </c>
      <c r="C1827" s="81" t="str">
        <f t="array" ref="C1827">XLOOKUP(B1827,Reference!$A$2:$A$152,Reference!$B$2:$B$152)</f>
        <v>Kalimantan Timur</v>
      </c>
      <c r="D1827" s="82" t="s">
        <v>2266</v>
      </c>
      <c r="E1827" s="83">
        <v>45352.0</v>
      </c>
      <c r="F1827" s="84" t="str">
        <f t="array" ref="F1827">XLOOKUP(G1827,Reference!$F:$F,Reference!$D:$D,"null")</f>
        <v>Rumah Tangga</v>
      </c>
      <c r="G1827" s="89" t="s">
        <v>80</v>
      </c>
      <c r="H1827" s="90">
        <v>100.71</v>
      </c>
      <c r="I1827" s="90">
        <v>100.71</v>
      </c>
      <c r="J1827" s="87">
        <f t="shared" si="2"/>
        <v>0</v>
      </c>
      <c r="K1827" s="84" t="str">
        <f t="shared" si="3"/>
        <v>Stabil</v>
      </c>
      <c r="L1827" s="91">
        <f t="shared" si="4"/>
        <v>0</v>
      </c>
      <c r="M1827" s="88" t="str">
        <f t="shared" si="5"/>
        <v>Perubahan Normal</v>
      </c>
    </row>
    <row r="1828" ht="18.75" customHeight="1">
      <c r="A1828" s="80" t="s">
        <v>584</v>
      </c>
      <c r="B1828" s="81" t="str">
        <f t="shared" si="1"/>
        <v>Kota Sibolga</v>
      </c>
      <c r="C1828" s="81" t="str">
        <f t="array" ref="C1828">XLOOKUP(B1828,Reference!$A$2:$A$152,Reference!$B$2:$B$152)</f>
        <v>Sumatera Utara</v>
      </c>
      <c r="D1828" s="82" t="s">
        <v>2267</v>
      </c>
      <c r="E1828" s="83">
        <v>45323.0</v>
      </c>
      <c r="F1828" s="84" t="str">
        <f t="array" ref="F1828">XLOOKUP(G1828,Reference!$F:$F,Reference!$D:$D,"null")</f>
        <v>Makanan dan Pakaian </v>
      </c>
      <c r="G1828" s="85" t="s">
        <v>72</v>
      </c>
      <c r="H1828" s="86">
        <v>104.35</v>
      </c>
      <c r="I1828" s="86">
        <v>104.34</v>
      </c>
      <c r="J1828" s="87">
        <f t="shared" si="2"/>
        <v>0.009584052137</v>
      </c>
      <c r="K1828" s="84" t="str">
        <f t="shared" si="3"/>
        <v>Inflasi Normal</v>
      </c>
      <c r="L1828" s="84">
        <f t="shared" si="4"/>
        <v>0.01</v>
      </c>
      <c r="M1828" s="88" t="str">
        <f t="shared" si="5"/>
        <v>Perubahan Normal</v>
      </c>
    </row>
    <row r="1829" ht="18.75" customHeight="1">
      <c r="A1829" s="80" t="s">
        <v>346</v>
      </c>
      <c r="B1829" s="81" t="str">
        <f t="shared" si="1"/>
        <v>Kab Timor Tengah Selatan</v>
      </c>
      <c r="C1829" s="81" t="str">
        <f t="array" ref="C1829">XLOOKUP(B1829,Reference!$A$2:$A$152,Reference!$B$2:$B$152)</f>
        <v>Nusa Tenggara Timur (NTT)</v>
      </c>
      <c r="D1829" s="82" t="s">
        <v>2268</v>
      </c>
      <c r="E1829" s="83">
        <v>45352.0</v>
      </c>
      <c r="F1829" s="84" t="str">
        <f t="array" ref="F1829">XLOOKUP(G1829,Reference!$F:$F,Reference!$D:$D,"null")</f>
        <v>Rekreasi dan Kendaraan</v>
      </c>
      <c r="G1829" s="85" t="s">
        <v>102</v>
      </c>
      <c r="H1829" s="86">
        <v>93.76</v>
      </c>
      <c r="I1829" s="86">
        <v>92.62</v>
      </c>
      <c r="J1829" s="87">
        <f t="shared" si="2"/>
        <v>1.230835673</v>
      </c>
      <c r="K1829" s="84" t="str">
        <f t="shared" si="3"/>
        <v>Inflasi Tinggi</v>
      </c>
      <c r="L1829" s="84">
        <f t="shared" si="4"/>
        <v>1.14</v>
      </c>
      <c r="M1829" s="88" t="str">
        <f t="shared" si="5"/>
        <v>Akselerasi Persentase</v>
      </c>
    </row>
    <row r="1830" ht="18.75" customHeight="1">
      <c r="A1830" s="80" t="s">
        <v>654</v>
      </c>
      <c r="B1830" s="81" t="str">
        <f t="shared" si="1"/>
        <v>Kab Aceh Tengah</v>
      </c>
      <c r="C1830" s="81" t="str">
        <f t="array" ref="C1830">XLOOKUP(B1830,Reference!$A$2:$A$152,Reference!$B$2:$B$152)</f>
        <v>Aceh</v>
      </c>
      <c r="D1830" s="82" t="s">
        <v>2269</v>
      </c>
      <c r="E1830" s="83">
        <v>45323.0</v>
      </c>
      <c r="F1830" s="84" t="str">
        <f t="array" ref="F1830">XLOOKUP(G1830,Reference!$F:$F,Reference!$D:$D,"null")</f>
        <v>Makanan dan Pakaian </v>
      </c>
      <c r="G1830" s="89" t="s">
        <v>56</v>
      </c>
      <c r="H1830" s="90">
        <v>116.73</v>
      </c>
      <c r="I1830" s="90">
        <v>114.47</v>
      </c>
      <c r="J1830" s="87">
        <f t="shared" si="2"/>
        <v>1.974316415</v>
      </c>
      <c r="K1830" s="84" t="str">
        <f t="shared" si="3"/>
        <v>Inflasi Tinggi</v>
      </c>
      <c r="L1830" s="91">
        <f t="shared" si="4"/>
        <v>2.26</v>
      </c>
      <c r="M1830" s="88" t="str">
        <f t="shared" si="5"/>
        <v>Akselerasi Kuat</v>
      </c>
    </row>
    <row r="1831" ht="18.75" customHeight="1">
      <c r="A1831" s="80" t="s">
        <v>404</v>
      </c>
      <c r="B1831" s="81" t="str">
        <f t="shared" si="1"/>
        <v>Kab Mesuji</v>
      </c>
      <c r="C1831" s="81" t="str">
        <f t="array" ref="C1831">XLOOKUP(B1831,Reference!$A$2:$A$152,Reference!$B$2:$B$152)</f>
        <v>Lampung</v>
      </c>
      <c r="D1831" s="82" t="s">
        <v>2270</v>
      </c>
      <c r="E1831" s="83">
        <v>45352.0</v>
      </c>
      <c r="F1831" s="84" t="str">
        <f t="array" ref="F1831">XLOOKUP(G1831,Reference!$F:$F,Reference!$D:$D,"null")</f>
        <v>Makanan dan Pakaian </v>
      </c>
      <c r="G1831" s="85" t="s">
        <v>64</v>
      </c>
      <c r="H1831" s="86">
        <v>116.37</v>
      </c>
      <c r="I1831" s="86">
        <v>114.66</v>
      </c>
      <c r="J1831" s="87">
        <f t="shared" si="2"/>
        <v>1.491365777</v>
      </c>
      <c r="K1831" s="84" t="str">
        <f t="shared" si="3"/>
        <v>Inflasi Tinggi</v>
      </c>
      <c r="L1831" s="84">
        <f t="shared" si="4"/>
        <v>1.71</v>
      </c>
      <c r="M1831" s="88" t="str">
        <f t="shared" si="5"/>
        <v>Akselerasi Persentase</v>
      </c>
    </row>
    <row r="1832" ht="18.75" customHeight="1">
      <c r="A1832" s="80" t="s">
        <v>654</v>
      </c>
      <c r="B1832" s="81" t="str">
        <f t="shared" si="1"/>
        <v>Kab Aceh Tengah</v>
      </c>
      <c r="C1832" s="81" t="str">
        <f t="array" ref="C1832">XLOOKUP(B1832,Reference!$A$2:$A$152,Reference!$B$2:$B$152)</f>
        <v>Aceh</v>
      </c>
      <c r="D1832" s="82" t="s">
        <v>2271</v>
      </c>
      <c r="E1832" s="83">
        <v>45352.0</v>
      </c>
      <c r="F1832" s="84" t="str">
        <f t="array" ref="F1832">XLOOKUP(G1832,Reference!$F:$F,Reference!$D:$D,"null")</f>
        <v>Makanan dan Pakaian </v>
      </c>
      <c r="G1832" s="85" t="s">
        <v>56</v>
      </c>
      <c r="H1832" s="86">
        <v>116.19</v>
      </c>
      <c r="I1832" s="86">
        <v>116.73</v>
      </c>
      <c r="J1832" s="87">
        <f t="shared" si="2"/>
        <v>-0.4626060139</v>
      </c>
      <c r="K1832" s="84" t="str">
        <f t="shared" si="3"/>
        <v>Deflasi</v>
      </c>
      <c r="L1832" s="84">
        <f t="shared" si="4"/>
        <v>-0.54</v>
      </c>
      <c r="M1832" s="88" t="str">
        <f t="shared" si="5"/>
        <v>Perubahan Normal</v>
      </c>
    </row>
    <row r="1833" ht="18.75" customHeight="1">
      <c r="A1833" s="80" t="s">
        <v>1031</v>
      </c>
      <c r="B1833" s="81" t="str">
        <f t="shared" si="1"/>
        <v>Kab Majene</v>
      </c>
      <c r="C1833" s="81" t="str">
        <f t="array" ref="C1833">XLOOKUP(B1833,Reference!$A$2:$A$152,Reference!$B$2:$B$152)</f>
        <v>Sulawesi Barat</v>
      </c>
      <c r="D1833" s="82" t="s">
        <v>2272</v>
      </c>
      <c r="E1833" s="83">
        <v>45352.0</v>
      </c>
      <c r="F1833" s="84" t="str">
        <f t="array" ref="F1833">XLOOKUP(G1833,Reference!$F:$F,Reference!$D:$D,"null")</f>
        <v>Pendidikan dan Kesehatan</v>
      </c>
      <c r="G1833" s="85" t="s">
        <v>95</v>
      </c>
      <c r="H1833" s="86">
        <v>100.12</v>
      </c>
      <c r="I1833" s="86">
        <v>100.12</v>
      </c>
      <c r="J1833" s="87">
        <f t="shared" si="2"/>
        <v>0</v>
      </c>
      <c r="K1833" s="84" t="str">
        <f t="shared" si="3"/>
        <v>Stabil</v>
      </c>
      <c r="L1833" s="84">
        <f t="shared" si="4"/>
        <v>0</v>
      </c>
      <c r="M1833" s="88" t="str">
        <f t="shared" si="5"/>
        <v>Perubahan Normal</v>
      </c>
    </row>
    <row r="1834" ht="18.75" customHeight="1">
      <c r="A1834" s="80" t="s">
        <v>320</v>
      </c>
      <c r="B1834" s="81" t="str">
        <f t="shared" si="1"/>
        <v>Kota Manado</v>
      </c>
      <c r="C1834" s="81" t="str">
        <f t="array" ref="C1834">XLOOKUP(B1834,Reference!$A$2:$A$152,Reference!$B$2:$B$152)</f>
        <v>Sulawesi Utara</v>
      </c>
      <c r="D1834" s="82" t="s">
        <v>2273</v>
      </c>
      <c r="E1834" s="83">
        <v>45323.0</v>
      </c>
      <c r="F1834" s="84" t="str">
        <f t="array" ref="F1834">XLOOKUP(G1834,Reference!$F:$F,Reference!$D:$D,"null")</f>
        <v>Rekreasi dan Kendaraan</v>
      </c>
      <c r="G1834" s="85" t="s">
        <v>105</v>
      </c>
      <c r="H1834" s="86">
        <v>104.98</v>
      </c>
      <c r="I1834" s="86">
        <v>104.98</v>
      </c>
      <c r="J1834" s="87">
        <f t="shared" si="2"/>
        <v>0</v>
      </c>
      <c r="K1834" s="84" t="str">
        <f t="shared" si="3"/>
        <v>Stabil</v>
      </c>
      <c r="L1834" s="84">
        <f t="shared" si="4"/>
        <v>0</v>
      </c>
      <c r="M1834" s="88" t="str">
        <f t="shared" si="5"/>
        <v>Perubahan Normal</v>
      </c>
    </row>
    <row r="1835" ht="18.75" customHeight="1">
      <c r="A1835" s="80" t="s">
        <v>658</v>
      </c>
      <c r="B1835" s="81" t="str">
        <f t="shared" si="1"/>
        <v>Kota Mataram</v>
      </c>
      <c r="C1835" s="81" t="str">
        <f t="array" ref="C1835">XLOOKUP(B1835,Reference!$A$2:$A$152,Reference!$B$2:$B$152)</f>
        <v>Nusa Tenggara Barat (NTB)</v>
      </c>
      <c r="D1835" s="82" t="s">
        <v>2274</v>
      </c>
      <c r="E1835" s="83">
        <v>45323.0</v>
      </c>
      <c r="F1835" s="84" t="str">
        <f t="array" ref="F1835">XLOOKUP(G1835,Reference!$F:$F,Reference!$D:$D,"null")</f>
        <v>Makanan dan Pakaian </v>
      </c>
      <c r="G1835" s="85" t="s">
        <v>72</v>
      </c>
      <c r="H1835" s="86">
        <v>103.07</v>
      </c>
      <c r="I1835" s="86">
        <v>102.77</v>
      </c>
      <c r="J1835" s="87">
        <f t="shared" si="2"/>
        <v>0.2919139827</v>
      </c>
      <c r="K1835" s="84" t="str">
        <f t="shared" si="3"/>
        <v>Inflasi Normal</v>
      </c>
      <c r="L1835" s="84">
        <f t="shared" si="4"/>
        <v>0.3</v>
      </c>
      <c r="M1835" s="88" t="str">
        <f t="shared" si="5"/>
        <v>Perubahan Normal</v>
      </c>
    </row>
    <row r="1836" ht="18.75" customHeight="1">
      <c r="A1836" s="80" t="s">
        <v>308</v>
      </c>
      <c r="B1836" s="81" t="str">
        <f t="shared" si="1"/>
        <v>Kab Sukamara</v>
      </c>
      <c r="C1836" s="81" t="str">
        <f t="array" ref="C1836">XLOOKUP(B1836,Reference!$A$2:$A$152,Reference!$B$2:$B$152)</f>
        <v>Kalimantan Tengah</v>
      </c>
      <c r="D1836" s="82" t="s">
        <v>2275</v>
      </c>
      <c r="E1836" s="83">
        <v>45352.0</v>
      </c>
      <c r="F1836" s="84" t="str">
        <f t="array" ref="F1836">XLOOKUP(G1836,Reference!$F:$F,Reference!$D:$D,"null")</f>
        <v>Rekreasi dan Kendaraan</v>
      </c>
      <c r="G1836" s="85" t="s">
        <v>105</v>
      </c>
      <c r="H1836" s="86">
        <v>101.22</v>
      </c>
      <c r="I1836" s="86">
        <v>101.22</v>
      </c>
      <c r="J1836" s="87">
        <f t="shared" si="2"/>
        <v>0</v>
      </c>
      <c r="K1836" s="84" t="str">
        <f t="shared" si="3"/>
        <v>Stabil</v>
      </c>
      <c r="L1836" s="84">
        <f t="shared" si="4"/>
        <v>0</v>
      </c>
      <c r="M1836" s="88" t="str">
        <f t="shared" si="5"/>
        <v>Perubahan Normal</v>
      </c>
    </row>
    <row r="1837" ht="18.75" customHeight="1">
      <c r="A1837" s="80" t="s">
        <v>606</v>
      </c>
      <c r="B1837" s="81" t="str">
        <f t="shared" si="1"/>
        <v>Kota Pare Pare</v>
      </c>
      <c r="C1837" s="81" t="str">
        <f t="array" ref="C1837">XLOOKUP(B1837,Reference!$A$2:$A$152,Reference!$B$2:$B$152)</f>
        <v>Sulawesi Selatan</v>
      </c>
      <c r="D1837" s="82" t="s">
        <v>2276</v>
      </c>
      <c r="E1837" s="83">
        <v>45323.0</v>
      </c>
      <c r="F1837" s="84" t="str">
        <f t="array" ref="F1837">XLOOKUP(G1837,Reference!$F:$F,Reference!$D:$D,"null")</f>
        <v>Rekreasi dan Kendaraan</v>
      </c>
      <c r="G1837" s="85" t="s">
        <v>105</v>
      </c>
      <c r="H1837" s="86">
        <v>105.41</v>
      </c>
      <c r="I1837" s="86">
        <v>104.45</v>
      </c>
      <c r="J1837" s="87">
        <f t="shared" si="2"/>
        <v>0.9191000479</v>
      </c>
      <c r="K1837" s="84" t="str">
        <f t="shared" si="3"/>
        <v>Inflasi Tinggi</v>
      </c>
      <c r="L1837" s="84">
        <f t="shared" si="4"/>
        <v>0.96</v>
      </c>
      <c r="M1837" s="88" t="str">
        <f t="shared" si="5"/>
        <v>Akselerasi Persentase</v>
      </c>
    </row>
    <row r="1838" ht="18.75" customHeight="1">
      <c r="A1838" s="80" t="s">
        <v>581</v>
      </c>
      <c r="B1838" s="81" t="str">
        <f t="shared" si="1"/>
        <v>Kab Dharmasraya</v>
      </c>
      <c r="C1838" s="81" t="str">
        <f t="array" ref="C1838">XLOOKUP(B1838,Reference!$A$2:$A$152,Reference!$B$2:$B$152)</f>
        <v>Sumatera Barat</v>
      </c>
      <c r="D1838" s="82" t="s">
        <v>2277</v>
      </c>
      <c r="E1838" s="83">
        <v>45323.0</v>
      </c>
      <c r="F1838" s="84" t="str">
        <f t="array" ref="F1838">XLOOKUP(G1838,Reference!$F:$F,Reference!$D:$D,"null")</f>
        <v>Rekreasi dan Kendaraan</v>
      </c>
      <c r="G1838" s="85" t="s">
        <v>102</v>
      </c>
      <c r="H1838" s="86">
        <v>104.52</v>
      </c>
      <c r="I1838" s="86">
        <v>104.52</v>
      </c>
      <c r="J1838" s="87">
        <f t="shared" si="2"/>
        <v>0</v>
      </c>
      <c r="K1838" s="84" t="str">
        <f t="shared" si="3"/>
        <v>Stabil</v>
      </c>
      <c r="L1838" s="84">
        <f t="shared" si="4"/>
        <v>0</v>
      </c>
      <c r="M1838" s="88" t="str">
        <f t="shared" si="5"/>
        <v>Perubahan Normal</v>
      </c>
    </row>
    <row r="1839" ht="18.75" customHeight="1">
      <c r="A1839" s="80" t="s">
        <v>460</v>
      </c>
      <c r="B1839" s="81" t="str">
        <f t="shared" si="1"/>
        <v>Kab Kayong Utara</v>
      </c>
      <c r="C1839" s="81" t="str">
        <f t="array" ref="C1839">XLOOKUP(B1839,Reference!$A$2:$A$152,Reference!$B$2:$B$152)</f>
        <v>Kalimantan Barat</v>
      </c>
      <c r="D1839" s="82" t="s">
        <v>2278</v>
      </c>
      <c r="E1839" s="83">
        <v>45352.0</v>
      </c>
      <c r="F1839" s="84" t="str">
        <f t="array" ref="F1839">XLOOKUP(G1839,Reference!$F:$F,Reference!$D:$D,"null")</f>
        <v>Pendidikan dan Kesehatan</v>
      </c>
      <c r="G1839" s="85" t="s">
        <v>95</v>
      </c>
      <c r="H1839" s="86">
        <v>108.14</v>
      </c>
      <c r="I1839" s="86">
        <v>108.14</v>
      </c>
      <c r="J1839" s="87">
        <f t="shared" si="2"/>
        <v>0</v>
      </c>
      <c r="K1839" s="84" t="str">
        <f t="shared" si="3"/>
        <v>Stabil</v>
      </c>
      <c r="L1839" s="84">
        <f t="shared" si="4"/>
        <v>0</v>
      </c>
      <c r="M1839" s="88" t="str">
        <f t="shared" si="5"/>
        <v>Perubahan Normal</v>
      </c>
    </row>
    <row r="1840" ht="18.75" customHeight="1">
      <c r="A1840" s="80" t="s">
        <v>296</v>
      </c>
      <c r="B1840" s="81" t="str">
        <f t="shared" si="1"/>
        <v>Kota Bogor</v>
      </c>
      <c r="C1840" s="81" t="str">
        <f t="array" ref="C1840">XLOOKUP(B1840,Reference!$A$2:$A$152,Reference!$B$2:$B$152)</f>
        <v>Jawa Barat</v>
      </c>
      <c r="D1840" s="82" t="s">
        <v>2279</v>
      </c>
      <c r="E1840" s="83">
        <v>45352.0</v>
      </c>
      <c r="F1840" s="84" t="str">
        <f t="array" ref="F1840">XLOOKUP(G1840,Reference!$F:$F,Reference!$D:$D,"null")</f>
        <v>Rekreasi dan Kendaraan</v>
      </c>
      <c r="G1840" s="85" t="s">
        <v>102</v>
      </c>
      <c r="H1840" s="86">
        <v>101.33</v>
      </c>
      <c r="I1840" s="86">
        <v>101.37</v>
      </c>
      <c r="J1840" s="87">
        <f t="shared" si="2"/>
        <v>-0.03945940614</v>
      </c>
      <c r="K1840" s="84" t="str">
        <f t="shared" si="3"/>
        <v>Deflasi</v>
      </c>
      <c r="L1840" s="84">
        <f t="shared" si="4"/>
        <v>-0.04</v>
      </c>
      <c r="M1840" s="88" t="str">
        <f t="shared" si="5"/>
        <v>Perubahan Normal</v>
      </c>
    </row>
    <row r="1841" ht="18.75" customHeight="1">
      <c r="A1841" s="80" t="s">
        <v>654</v>
      </c>
      <c r="B1841" s="81" t="str">
        <f t="shared" si="1"/>
        <v>Kab Aceh Tengah</v>
      </c>
      <c r="C1841" s="81" t="str">
        <f t="array" ref="C1841">XLOOKUP(B1841,Reference!$A$2:$A$152,Reference!$B$2:$B$152)</f>
        <v>Aceh</v>
      </c>
      <c r="D1841" s="82" t="s">
        <v>2280</v>
      </c>
      <c r="E1841" s="83">
        <v>45323.0</v>
      </c>
      <c r="F1841" s="84" t="str">
        <f t="array" ref="F1841">XLOOKUP(G1841,Reference!$F:$F,Reference!$D:$D,"null")</f>
        <v>Rekreasi dan Kendaraan</v>
      </c>
      <c r="G1841" s="85" t="s">
        <v>102</v>
      </c>
      <c r="H1841" s="86">
        <v>110.04</v>
      </c>
      <c r="I1841" s="86">
        <v>108.89</v>
      </c>
      <c r="J1841" s="87">
        <f t="shared" si="2"/>
        <v>1.056111672</v>
      </c>
      <c r="K1841" s="84" t="str">
        <f t="shared" si="3"/>
        <v>Inflasi Tinggi</v>
      </c>
      <c r="L1841" s="84">
        <f t="shared" si="4"/>
        <v>1.15</v>
      </c>
      <c r="M1841" s="88" t="str">
        <f t="shared" si="5"/>
        <v>Akselerasi Persentase</v>
      </c>
    </row>
    <row r="1842" ht="18.75" customHeight="1">
      <c r="A1842" s="80" t="s">
        <v>372</v>
      </c>
      <c r="B1842" s="81" t="str">
        <f t="shared" si="1"/>
        <v>Kota Tanjung Pinang</v>
      </c>
      <c r="C1842" s="81" t="str">
        <f t="array" ref="C1842">XLOOKUP(B1842,Reference!$A$2:$A$152,Reference!$B$2:$B$152)</f>
        <v>Kepulauan Riau</v>
      </c>
      <c r="D1842" s="82" t="s">
        <v>2281</v>
      </c>
      <c r="E1842" s="83">
        <v>45352.0</v>
      </c>
      <c r="F1842" s="84" t="str">
        <f t="array" ref="F1842">XLOOKUP(G1842,Reference!$F:$F,Reference!$D:$D,"null")</f>
        <v>Pendidikan dan Kesehatan</v>
      </c>
      <c r="G1842" s="85" t="s">
        <v>95</v>
      </c>
      <c r="H1842" s="86">
        <v>106.35</v>
      </c>
      <c r="I1842" s="86">
        <v>106.35</v>
      </c>
      <c r="J1842" s="87">
        <f t="shared" si="2"/>
        <v>0</v>
      </c>
      <c r="K1842" s="84" t="str">
        <f t="shared" si="3"/>
        <v>Stabil</v>
      </c>
      <c r="L1842" s="84">
        <f t="shared" si="4"/>
        <v>0</v>
      </c>
      <c r="M1842" s="88" t="str">
        <f t="shared" si="5"/>
        <v>Perubahan Normal</v>
      </c>
    </row>
    <row r="1843" ht="18.75" customHeight="1">
      <c r="A1843" s="80" t="s">
        <v>346</v>
      </c>
      <c r="B1843" s="81" t="str">
        <f t="shared" si="1"/>
        <v>Kab Timor Tengah Selatan</v>
      </c>
      <c r="C1843" s="81" t="str">
        <f t="array" ref="C1843">XLOOKUP(B1843,Reference!$A$2:$A$152,Reference!$B$2:$B$152)</f>
        <v>Nusa Tenggara Timur (NTT)</v>
      </c>
      <c r="D1843" s="82" t="s">
        <v>2282</v>
      </c>
      <c r="E1843" s="83">
        <v>45352.0</v>
      </c>
      <c r="F1843" s="84" t="str">
        <f t="array" ref="F1843">XLOOKUP(G1843,Reference!$F:$F,Reference!$D:$D,"null")</f>
        <v>Makanan dan Pakaian </v>
      </c>
      <c r="G1843" s="85" t="s">
        <v>72</v>
      </c>
      <c r="H1843" s="86">
        <v>104.07</v>
      </c>
      <c r="I1843" s="86">
        <v>104.07</v>
      </c>
      <c r="J1843" s="87">
        <f t="shared" si="2"/>
        <v>0</v>
      </c>
      <c r="K1843" s="84" t="str">
        <f t="shared" si="3"/>
        <v>Stabil</v>
      </c>
      <c r="L1843" s="84">
        <f t="shared" si="4"/>
        <v>0</v>
      </c>
      <c r="M1843" s="88" t="str">
        <f t="shared" si="5"/>
        <v>Perubahan Normal</v>
      </c>
    </row>
    <row r="1844" ht="18.75" customHeight="1">
      <c r="A1844" s="80" t="s">
        <v>485</v>
      </c>
      <c r="B1844" s="81" t="str">
        <f t="shared" si="1"/>
        <v>Banyuwangi</v>
      </c>
      <c r="C1844" s="81" t="str">
        <f t="array" ref="C1844">XLOOKUP(B1844,Reference!$A$2:$A$152,Reference!$B$2:$B$152)</f>
        <v>Jawa Timur</v>
      </c>
      <c r="D1844" s="82" t="s">
        <v>2283</v>
      </c>
      <c r="E1844" s="83">
        <v>45352.0</v>
      </c>
      <c r="F1844" s="84" t="str">
        <f t="array" ref="F1844">XLOOKUP(G1844,Reference!$F:$F,Reference!$D:$D,"null")</f>
        <v>Rekreasi dan Kendaraan</v>
      </c>
      <c r="G1844" s="85" t="s">
        <v>105</v>
      </c>
      <c r="H1844" s="86">
        <v>107.87</v>
      </c>
      <c r="I1844" s="86">
        <v>107.8</v>
      </c>
      <c r="J1844" s="87">
        <f t="shared" si="2"/>
        <v>0.06493506494</v>
      </c>
      <c r="K1844" s="84" t="str">
        <f t="shared" si="3"/>
        <v>Inflasi Normal</v>
      </c>
      <c r="L1844" s="84">
        <f t="shared" si="4"/>
        <v>0.07</v>
      </c>
      <c r="M1844" s="88" t="str">
        <f t="shared" si="5"/>
        <v>Perubahan Normal</v>
      </c>
    </row>
    <row r="1845" ht="18.75" customHeight="1">
      <c r="A1845" s="80" t="s">
        <v>663</v>
      </c>
      <c r="B1845" s="81" t="str">
        <f t="shared" si="1"/>
        <v>Kota Serang</v>
      </c>
      <c r="C1845" s="81" t="str">
        <f t="array" ref="C1845">XLOOKUP(B1845,Reference!$A$2:$A$152,Reference!$B$2:$B$152)</f>
        <v>Banten</v>
      </c>
      <c r="D1845" s="82" t="s">
        <v>2284</v>
      </c>
      <c r="E1845" s="83">
        <v>45352.0</v>
      </c>
      <c r="F1845" s="84" t="str">
        <f t="array" ref="F1845">XLOOKUP(G1845,Reference!$F:$F,Reference!$D:$D,"null")</f>
        <v>Makanan dan Pakaian </v>
      </c>
      <c r="G1845" s="85" t="s">
        <v>72</v>
      </c>
      <c r="H1845" s="86">
        <v>101.58</v>
      </c>
      <c r="I1845" s="86">
        <v>100.47</v>
      </c>
      <c r="J1845" s="87">
        <f t="shared" si="2"/>
        <v>1.104807405</v>
      </c>
      <c r="K1845" s="84" t="str">
        <f t="shared" si="3"/>
        <v>Inflasi Tinggi</v>
      </c>
      <c r="L1845" s="84">
        <f t="shared" si="4"/>
        <v>1.11</v>
      </c>
      <c r="M1845" s="88" t="str">
        <f t="shared" si="5"/>
        <v>Akselerasi Persentase</v>
      </c>
    </row>
    <row r="1846" ht="18.75" customHeight="1">
      <c r="A1846" s="80" t="s">
        <v>656</v>
      </c>
      <c r="B1846" s="81" t="str">
        <f t="shared" si="1"/>
        <v>Kota Palopo</v>
      </c>
      <c r="C1846" s="81" t="str">
        <f t="array" ref="C1846">XLOOKUP(B1846,Reference!$A$2:$A$152,Reference!$B$2:$B$152)</f>
        <v>Sulawesi Selatan</v>
      </c>
      <c r="D1846" s="82" t="s">
        <v>2285</v>
      </c>
      <c r="E1846" s="83">
        <v>45323.0</v>
      </c>
      <c r="F1846" s="84" t="str">
        <f t="array" ref="F1846">XLOOKUP(G1846,Reference!$F:$F,Reference!$D:$D,"null")</f>
        <v>Makanan dan Pakaian </v>
      </c>
      <c r="G1846" s="85" t="s">
        <v>72</v>
      </c>
      <c r="H1846" s="86">
        <v>100.08</v>
      </c>
      <c r="I1846" s="86">
        <v>100.03</v>
      </c>
      <c r="J1846" s="87">
        <f t="shared" si="2"/>
        <v>0.0499850045</v>
      </c>
      <c r="K1846" s="84" t="str">
        <f t="shared" si="3"/>
        <v>Inflasi Normal</v>
      </c>
      <c r="L1846" s="84">
        <f t="shared" si="4"/>
        <v>0.05</v>
      </c>
      <c r="M1846" s="88" t="str">
        <f t="shared" si="5"/>
        <v>Perubahan Normal</v>
      </c>
    </row>
    <row r="1847" ht="18.75" customHeight="1">
      <c r="A1847" s="80" t="s">
        <v>727</v>
      </c>
      <c r="B1847" s="81" t="str">
        <f t="shared" si="1"/>
        <v>Kab Badung</v>
      </c>
      <c r="C1847" s="81" t="str">
        <f t="array" ref="C1847">XLOOKUP(B1847,Reference!$A$2:$A$152,Reference!$B$2:$B$152)</f>
        <v>Bali</v>
      </c>
      <c r="D1847" s="82" t="s">
        <v>2286</v>
      </c>
      <c r="E1847" s="83">
        <v>45323.0</v>
      </c>
      <c r="F1847" s="84" t="str">
        <f t="array" ref="F1847">XLOOKUP(G1847,Reference!$F:$F,Reference!$D:$D,"null")</f>
        <v>Rumah Tangga</v>
      </c>
      <c r="G1847" s="85" t="s">
        <v>80</v>
      </c>
      <c r="H1847" s="86">
        <v>100.14</v>
      </c>
      <c r="I1847" s="86">
        <v>100.14</v>
      </c>
      <c r="J1847" s="87">
        <f t="shared" si="2"/>
        <v>0</v>
      </c>
      <c r="K1847" s="84" t="str">
        <f t="shared" si="3"/>
        <v>Stabil</v>
      </c>
      <c r="L1847" s="84">
        <f t="shared" si="4"/>
        <v>0</v>
      </c>
      <c r="M1847" s="88" t="str">
        <f t="shared" si="5"/>
        <v>Perubahan Normal</v>
      </c>
    </row>
    <row r="1848" ht="18.75" customHeight="1">
      <c r="A1848" s="80" t="s">
        <v>586</v>
      </c>
      <c r="B1848" s="81" t="str">
        <f t="shared" si="1"/>
        <v>Kab Karimun</v>
      </c>
      <c r="C1848" s="81" t="str">
        <f t="array" ref="C1848">XLOOKUP(B1848,Reference!$A$2:$A$152,Reference!$B$2:$B$152)</f>
        <v>Kepulauan Riau</v>
      </c>
      <c r="D1848" s="82" t="s">
        <v>2287</v>
      </c>
      <c r="E1848" s="83">
        <v>45323.0</v>
      </c>
      <c r="F1848" s="84" t="str">
        <f t="array" ref="F1848">XLOOKUP(G1848,Reference!$F:$F,Reference!$D:$D,"null")</f>
        <v>Rekreasi dan Kendaraan</v>
      </c>
      <c r="G1848" s="89" t="s">
        <v>105</v>
      </c>
      <c r="H1848" s="90">
        <v>100.29</v>
      </c>
      <c r="I1848" s="90">
        <v>100.29</v>
      </c>
      <c r="J1848" s="87">
        <f t="shared" si="2"/>
        <v>0</v>
      </c>
      <c r="K1848" s="84" t="str">
        <f t="shared" si="3"/>
        <v>Stabil</v>
      </c>
      <c r="L1848" s="91">
        <f t="shared" si="4"/>
        <v>0</v>
      </c>
      <c r="M1848" s="88" t="str">
        <f t="shared" si="5"/>
        <v>Perubahan Normal</v>
      </c>
    </row>
    <row r="1849" ht="18.75" customHeight="1">
      <c r="A1849" s="80" t="s">
        <v>558</v>
      </c>
      <c r="B1849" s="81" t="str">
        <f t="shared" si="1"/>
        <v>Kab Kapuas</v>
      </c>
      <c r="C1849" s="81" t="str">
        <f t="array" ref="C1849">XLOOKUP(B1849,Reference!$A$2:$A$152,Reference!$B$2:$B$152)</f>
        <v>Kalimantan Tengah</v>
      </c>
      <c r="D1849" s="82" t="s">
        <v>2288</v>
      </c>
      <c r="E1849" s="83">
        <v>45352.0</v>
      </c>
      <c r="F1849" s="84" t="str">
        <f t="array" ref="F1849">XLOOKUP(G1849,Reference!$F:$F,Reference!$D:$D,"null")</f>
        <v>Makanan dan Pakaian </v>
      </c>
      <c r="G1849" s="85" t="s">
        <v>56</v>
      </c>
      <c r="H1849" s="86">
        <v>112.37</v>
      </c>
      <c r="I1849" s="86">
        <v>112.34</v>
      </c>
      <c r="J1849" s="87">
        <f t="shared" si="2"/>
        <v>0.02670464661</v>
      </c>
      <c r="K1849" s="84" t="str">
        <f t="shared" si="3"/>
        <v>Inflasi Normal</v>
      </c>
      <c r="L1849" s="84">
        <f t="shared" si="4"/>
        <v>0.03</v>
      </c>
      <c r="M1849" s="88" t="str">
        <f t="shared" si="5"/>
        <v>Perubahan Normal</v>
      </c>
    </row>
    <row r="1850" ht="18.75" customHeight="1">
      <c r="A1850" s="80" t="s">
        <v>663</v>
      </c>
      <c r="B1850" s="81" t="str">
        <f t="shared" si="1"/>
        <v>Kota Serang</v>
      </c>
      <c r="C1850" s="81" t="str">
        <f t="array" ref="C1850">XLOOKUP(B1850,Reference!$A$2:$A$152,Reference!$B$2:$B$152)</f>
        <v>Banten</v>
      </c>
      <c r="D1850" s="82" t="s">
        <v>2289</v>
      </c>
      <c r="E1850" s="83">
        <v>45352.0</v>
      </c>
      <c r="F1850" s="84" t="str">
        <f t="array" ref="F1850">XLOOKUP(G1850,Reference!$F:$F,Reference!$D:$D,"null")</f>
        <v>Rekreasi dan Kendaraan</v>
      </c>
      <c r="G1850" s="85" t="s">
        <v>102</v>
      </c>
      <c r="H1850" s="86">
        <v>101.92</v>
      </c>
      <c r="I1850" s="86">
        <v>102.2</v>
      </c>
      <c r="J1850" s="87">
        <f t="shared" si="2"/>
        <v>-0.2739726027</v>
      </c>
      <c r="K1850" s="84" t="str">
        <f t="shared" si="3"/>
        <v>Deflasi</v>
      </c>
      <c r="L1850" s="84">
        <f t="shared" si="4"/>
        <v>-0.28</v>
      </c>
      <c r="M1850" s="88" t="str">
        <f t="shared" si="5"/>
        <v>Perubahan Normal</v>
      </c>
    </row>
    <row r="1851" ht="18.75" customHeight="1">
      <c r="A1851" s="80" t="s">
        <v>318</v>
      </c>
      <c r="B1851" s="81" t="str">
        <f t="shared" si="1"/>
        <v>Tanjung</v>
      </c>
      <c r="C1851" s="81" t="str">
        <f t="array" ref="C1851">XLOOKUP(B1851,Reference!$A$2:$A$152,Reference!$B$2:$B$152)</f>
        <v>Kalimantan Selatan</v>
      </c>
      <c r="D1851" s="82" t="s">
        <v>2290</v>
      </c>
      <c r="E1851" s="83">
        <v>45323.0</v>
      </c>
      <c r="F1851" s="84" t="str">
        <f t="array" ref="F1851">XLOOKUP(G1851,Reference!$F:$F,Reference!$D:$D,"null")</f>
        <v>Pendidikan dan Kesehatan</v>
      </c>
      <c r="G1851" s="89" t="s">
        <v>98</v>
      </c>
      <c r="H1851" s="90">
        <v>102.76</v>
      </c>
      <c r="I1851" s="90">
        <v>102.72</v>
      </c>
      <c r="J1851" s="87">
        <f t="shared" si="2"/>
        <v>0.03894080997</v>
      </c>
      <c r="K1851" s="84" t="str">
        <f t="shared" si="3"/>
        <v>Inflasi Normal</v>
      </c>
      <c r="L1851" s="91">
        <f t="shared" si="4"/>
        <v>0.04</v>
      </c>
      <c r="M1851" s="88" t="str">
        <f t="shared" si="5"/>
        <v>Perubahan Normal</v>
      </c>
    </row>
    <row r="1852" ht="18.75" customHeight="1">
      <c r="A1852" s="80" t="s">
        <v>419</v>
      </c>
      <c r="B1852" s="81" t="str">
        <f t="shared" si="1"/>
        <v>Kota Singkawang</v>
      </c>
      <c r="C1852" s="81" t="str">
        <f t="array" ref="C1852">XLOOKUP(B1852,Reference!$A$2:$A$152,Reference!$B$2:$B$152)</f>
        <v>Kalimantan Barat</v>
      </c>
      <c r="D1852" s="82" t="s">
        <v>2291</v>
      </c>
      <c r="E1852" s="83">
        <v>45323.0</v>
      </c>
      <c r="F1852" s="84" t="str">
        <f t="array" ref="F1852">XLOOKUP(G1852,Reference!$F:$F,Reference!$D:$D,"null")</f>
        <v>Rumah Tangga</v>
      </c>
      <c r="G1852" s="89" t="s">
        <v>80</v>
      </c>
      <c r="H1852" s="90">
        <v>101.73</v>
      </c>
      <c r="I1852" s="90">
        <v>101.73</v>
      </c>
      <c r="J1852" s="87">
        <f t="shared" si="2"/>
        <v>0</v>
      </c>
      <c r="K1852" s="84" t="str">
        <f t="shared" si="3"/>
        <v>Stabil</v>
      </c>
      <c r="L1852" s="91">
        <f t="shared" si="4"/>
        <v>0</v>
      </c>
      <c r="M1852" s="88" t="str">
        <f t="shared" si="5"/>
        <v>Perubahan Normal</v>
      </c>
    </row>
    <row r="1853" ht="18.75" customHeight="1">
      <c r="A1853" s="80" t="s">
        <v>618</v>
      </c>
      <c r="B1853" s="81" t="str">
        <f t="shared" si="1"/>
        <v>Kota Tangerang</v>
      </c>
      <c r="C1853" s="81" t="str">
        <f t="array" ref="C1853">XLOOKUP(B1853,Reference!$A$2:$A$152,Reference!$B$2:$B$152)</f>
        <v>Banten</v>
      </c>
      <c r="D1853" s="82" t="s">
        <v>2292</v>
      </c>
      <c r="E1853" s="83">
        <v>45323.0</v>
      </c>
      <c r="F1853" s="84" t="str">
        <f t="array" ref="F1853">XLOOKUP(G1853,Reference!$F:$F,Reference!$D:$D,"null")</f>
        <v>Rekreasi dan Kendaraan</v>
      </c>
      <c r="G1853" s="85" t="s">
        <v>102</v>
      </c>
      <c r="H1853" s="86">
        <v>101.48</v>
      </c>
      <c r="I1853" s="86">
        <v>101.48</v>
      </c>
      <c r="J1853" s="87">
        <f t="shared" si="2"/>
        <v>0</v>
      </c>
      <c r="K1853" s="84" t="str">
        <f t="shared" si="3"/>
        <v>Stabil</v>
      </c>
      <c r="L1853" s="84">
        <f t="shared" si="4"/>
        <v>0</v>
      </c>
      <c r="M1853" s="88" t="str">
        <f t="shared" si="5"/>
        <v>Perubahan Normal</v>
      </c>
    </row>
    <row r="1854" ht="18.75" customHeight="1">
      <c r="A1854" s="80" t="s">
        <v>740</v>
      </c>
      <c r="B1854" s="81" t="str">
        <f t="shared" si="1"/>
        <v>Kota Gunungsitoli</v>
      </c>
      <c r="C1854" s="81" t="str">
        <f t="array" ref="C1854">XLOOKUP(B1854,Reference!$A$2:$A$152,Reference!$B$2:$B$152)</f>
        <v>Sumatera Utara</v>
      </c>
      <c r="D1854" s="82" t="s">
        <v>2293</v>
      </c>
      <c r="E1854" s="83">
        <v>45323.0</v>
      </c>
      <c r="F1854" s="84" t="str">
        <f t="array" ref="F1854">XLOOKUP(G1854,Reference!$F:$F,Reference!$D:$D,"null")</f>
        <v>Makanan dan Pakaian </v>
      </c>
      <c r="G1854" s="85" t="s">
        <v>72</v>
      </c>
      <c r="H1854" s="86">
        <v>102.16</v>
      </c>
      <c r="I1854" s="86">
        <v>102.16</v>
      </c>
      <c r="J1854" s="87">
        <f t="shared" si="2"/>
        <v>0</v>
      </c>
      <c r="K1854" s="84" t="str">
        <f t="shared" si="3"/>
        <v>Stabil</v>
      </c>
      <c r="L1854" s="84">
        <f t="shared" si="4"/>
        <v>0</v>
      </c>
      <c r="M1854" s="88" t="str">
        <f t="shared" si="5"/>
        <v>Perubahan Normal</v>
      </c>
    </row>
    <row r="1855" ht="18.75" customHeight="1">
      <c r="A1855" s="80" t="s">
        <v>526</v>
      </c>
      <c r="B1855" s="81" t="str">
        <f t="shared" si="1"/>
        <v>Maumere</v>
      </c>
      <c r="C1855" s="81" t="str">
        <f t="array" ref="C1855">XLOOKUP(B1855,Reference!$A$2:$A$152,Reference!$B$2:$B$152)</f>
        <v>Nusa Tenggara Timur (NTT)</v>
      </c>
      <c r="D1855" s="82" t="s">
        <v>2294</v>
      </c>
      <c r="E1855" s="83">
        <v>45323.0</v>
      </c>
      <c r="F1855" s="84" t="str">
        <f t="array" ref="F1855">XLOOKUP(G1855,Reference!$F:$F,Reference!$D:$D,"null")</f>
        <v>Makanan dan Pakaian </v>
      </c>
      <c r="G1855" s="85" t="s">
        <v>64</v>
      </c>
      <c r="H1855" s="86">
        <v>101.6</v>
      </c>
      <c r="I1855" s="86">
        <v>101.53</v>
      </c>
      <c r="J1855" s="87">
        <f t="shared" si="2"/>
        <v>0.06894513937</v>
      </c>
      <c r="K1855" s="84" t="str">
        <f t="shared" si="3"/>
        <v>Inflasi Normal</v>
      </c>
      <c r="L1855" s="84">
        <f t="shared" si="4"/>
        <v>0.07</v>
      </c>
      <c r="M1855" s="88" t="str">
        <f t="shared" si="5"/>
        <v>Perubahan Normal</v>
      </c>
    </row>
    <row r="1856" ht="18.75" customHeight="1">
      <c r="A1856" s="80" t="s">
        <v>542</v>
      </c>
      <c r="B1856" s="81" t="str">
        <f t="shared" si="1"/>
        <v>Kab Karo</v>
      </c>
      <c r="C1856" s="81" t="str">
        <f t="array" ref="C1856">XLOOKUP(B1856,Reference!$A$2:$A$152,Reference!$B$2:$B$152)</f>
        <v>Sumatera Utara</v>
      </c>
      <c r="D1856" s="82" t="s">
        <v>2295</v>
      </c>
      <c r="E1856" s="83">
        <v>45323.0</v>
      </c>
      <c r="F1856" s="84" t="str">
        <f t="array" ref="F1856">XLOOKUP(G1856,Reference!$F:$F,Reference!$D:$D,"null")</f>
        <v>Rekreasi dan Kendaraan</v>
      </c>
      <c r="G1856" s="85" t="s">
        <v>105</v>
      </c>
      <c r="H1856" s="86">
        <v>99.84</v>
      </c>
      <c r="I1856" s="86">
        <v>101.47</v>
      </c>
      <c r="J1856" s="87">
        <f t="shared" si="2"/>
        <v>-1.606386124</v>
      </c>
      <c r="K1856" s="84" t="str">
        <f t="shared" si="3"/>
        <v>Deflasi</v>
      </c>
      <c r="L1856" s="84">
        <f t="shared" si="4"/>
        <v>-1.63</v>
      </c>
      <c r="M1856" s="88" t="str">
        <f t="shared" si="5"/>
        <v>Perubahan Normal</v>
      </c>
    </row>
    <row r="1857" ht="18.75" customHeight="1">
      <c r="A1857" s="80" t="s">
        <v>389</v>
      </c>
      <c r="B1857" s="81" t="str">
        <f t="shared" si="1"/>
        <v>Tembilahan</v>
      </c>
      <c r="C1857" s="81" t="str">
        <f t="array" ref="C1857">XLOOKUP(B1857,Reference!$A$2:$A$152,Reference!$B$2:$B$152)</f>
        <v>Riau</v>
      </c>
      <c r="D1857" s="82" t="s">
        <v>2296</v>
      </c>
      <c r="E1857" s="83">
        <v>45323.0</v>
      </c>
      <c r="F1857" s="84" t="str">
        <f t="array" ref="F1857">XLOOKUP(G1857,Reference!$F:$F,Reference!$D:$D,"null")</f>
        <v>Rekreasi dan Kendaraan</v>
      </c>
      <c r="G1857" s="89" t="s">
        <v>105</v>
      </c>
      <c r="H1857" s="90">
        <v>107.04</v>
      </c>
      <c r="I1857" s="90">
        <v>107.04</v>
      </c>
      <c r="J1857" s="87">
        <f t="shared" si="2"/>
        <v>0</v>
      </c>
      <c r="K1857" s="84" t="str">
        <f t="shared" si="3"/>
        <v>Stabil</v>
      </c>
      <c r="L1857" s="91">
        <f t="shared" si="4"/>
        <v>0</v>
      </c>
      <c r="M1857" s="88" t="str">
        <f t="shared" si="5"/>
        <v>Perubahan Normal</v>
      </c>
    </row>
    <row r="1858" ht="18.75" customHeight="1">
      <c r="A1858" s="80" t="s">
        <v>734</v>
      </c>
      <c r="B1858" s="81" t="str">
        <f t="shared" si="1"/>
        <v>Kota Tegal</v>
      </c>
      <c r="C1858" s="81" t="str">
        <f t="array" ref="C1858">XLOOKUP(B1858,Reference!$A$2:$A$152,Reference!$B$2:$B$152)</f>
        <v>Jawa Tengah</v>
      </c>
      <c r="D1858" s="82" t="s">
        <v>2297</v>
      </c>
      <c r="E1858" s="83">
        <v>45352.0</v>
      </c>
      <c r="F1858" s="84" t="str">
        <f t="array" ref="F1858">XLOOKUP(G1858,Reference!$F:$F,Reference!$D:$D,"null")</f>
        <v>Rumah Tangga</v>
      </c>
      <c r="G1858" s="85" t="s">
        <v>89</v>
      </c>
      <c r="H1858" s="86">
        <v>100.0</v>
      </c>
      <c r="I1858" s="86">
        <v>100.0</v>
      </c>
      <c r="J1858" s="87">
        <f t="shared" si="2"/>
        <v>0</v>
      </c>
      <c r="K1858" s="84" t="str">
        <f t="shared" si="3"/>
        <v>Stabil</v>
      </c>
      <c r="L1858" s="84">
        <f t="shared" si="4"/>
        <v>0</v>
      </c>
      <c r="M1858" s="88" t="str">
        <f t="shared" si="5"/>
        <v>Perubahan Normal</v>
      </c>
    </row>
    <row r="1859" ht="18.75" customHeight="1">
      <c r="A1859" s="80" t="s">
        <v>431</v>
      </c>
      <c r="B1859" s="81" t="str">
        <f t="shared" si="1"/>
        <v>Kota Ternate</v>
      </c>
      <c r="C1859" s="81" t="str">
        <f t="array" ref="C1859">XLOOKUP(B1859,Reference!$A$2:$A$152,Reference!$B$2:$B$152)</f>
        <v>Maluku Utara</v>
      </c>
      <c r="D1859" s="82" t="s">
        <v>2298</v>
      </c>
      <c r="E1859" s="83">
        <v>45323.0</v>
      </c>
      <c r="F1859" s="84" t="str">
        <f t="array" ref="F1859">XLOOKUP(G1859,Reference!$F:$F,Reference!$D:$D,"null")</f>
        <v>Makanan dan Pakaian </v>
      </c>
      <c r="G1859" s="85" t="s">
        <v>56</v>
      </c>
      <c r="H1859" s="86">
        <v>107.97</v>
      </c>
      <c r="I1859" s="86">
        <v>104.96</v>
      </c>
      <c r="J1859" s="87">
        <f t="shared" si="2"/>
        <v>2.867759146</v>
      </c>
      <c r="K1859" s="84" t="str">
        <f t="shared" si="3"/>
        <v>Inflasi Tinggi</v>
      </c>
      <c r="L1859" s="84">
        <f t="shared" si="4"/>
        <v>3.01</v>
      </c>
      <c r="M1859" s="88" t="str">
        <f t="shared" si="5"/>
        <v>Akselerasi Kuat</v>
      </c>
    </row>
    <row r="1860" ht="18.75" customHeight="1">
      <c r="A1860" s="80" t="s">
        <v>340</v>
      </c>
      <c r="B1860" s="81" t="str">
        <f t="shared" si="1"/>
        <v>Kab Rembang</v>
      </c>
      <c r="C1860" s="81" t="str">
        <f t="array" ref="C1860">XLOOKUP(B1860,Reference!$A$2:$A$152,Reference!$B$2:$B$152)</f>
        <v>Jawa Tengah</v>
      </c>
      <c r="D1860" s="82" t="s">
        <v>2299</v>
      </c>
      <c r="E1860" s="83">
        <v>45323.0</v>
      </c>
      <c r="F1860" s="84" t="str">
        <f t="array" ref="F1860">XLOOKUP(G1860,Reference!$F:$F,Reference!$D:$D,"null")</f>
        <v>Pendidikan dan Kesehatan</v>
      </c>
      <c r="G1860" s="85" t="s">
        <v>98</v>
      </c>
      <c r="H1860" s="86">
        <v>103.25</v>
      </c>
      <c r="I1860" s="86">
        <v>104.48</v>
      </c>
      <c r="J1860" s="87">
        <f t="shared" si="2"/>
        <v>-1.177258806</v>
      </c>
      <c r="K1860" s="84" t="str">
        <f t="shared" si="3"/>
        <v>Deflasi</v>
      </c>
      <c r="L1860" s="84">
        <f t="shared" si="4"/>
        <v>-1.23</v>
      </c>
      <c r="M1860" s="88" t="str">
        <f t="shared" si="5"/>
        <v>Perubahan Normal</v>
      </c>
    </row>
    <row r="1861" ht="18.75" customHeight="1">
      <c r="A1861" s="80" t="s">
        <v>324</v>
      </c>
      <c r="B1861" s="81" t="str">
        <f t="shared" si="1"/>
        <v>Kab Nunukan</v>
      </c>
      <c r="C1861" s="81" t="str">
        <f t="array" ref="C1861">XLOOKUP(B1861,Reference!$A$2:$A$152,Reference!$B$2:$B$152)</f>
        <v>Kalimantan Utara</v>
      </c>
      <c r="D1861" s="82" t="s">
        <v>2300</v>
      </c>
      <c r="E1861" s="83">
        <v>45323.0</v>
      </c>
      <c r="F1861" s="84" t="str">
        <f t="array" ref="F1861">XLOOKUP(G1861,Reference!$F:$F,Reference!$D:$D,"null")</f>
        <v>Makanan dan Pakaian </v>
      </c>
      <c r="G1861" s="85" t="s">
        <v>56</v>
      </c>
      <c r="H1861" s="86">
        <v>102.3</v>
      </c>
      <c r="I1861" s="86">
        <v>102.3</v>
      </c>
      <c r="J1861" s="87">
        <f t="shared" si="2"/>
        <v>0</v>
      </c>
      <c r="K1861" s="84" t="str">
        <f t="shared" si="3"/>
        <v>Stabil</v>
      </c>
      <c r="L1861" s="84">
        <f t="shared" si="4"/>
        <v>0</v>
      </c>
      <c r="M1861" s="88" t="str">
        <f t="shared" si="5"/>
        <v>Perubahan Normal</v>
      </c>
    </row>
    <row r="1862" ht="18.75" customHeight="1">
      <c r="A1862" s="80" t="s">
        <v>478</v>
      </c>
      <c r="B1862" s="81" t="str">
        <f t="shared" si="1"/>
        <v>Kab Maluku Tengah</v>
      </c>
      <c r="C1862" s="81" t="str">
        <f t="array" ref="C1862">XLOOKUP(B1862,Reference!$A$2:$A$152,Reference!$B$2:$B$152)</f>
        <v>Maluku</v>
      </c>
      <c r="D1862" s="82" t="s">
        <v>2301</v>
      </c>
      <c r="E1862" s="83">
        <v>45323.0</v>
      </c>
      <c r="F1862" s="84" t="str">
        <f t="array" ref="F1862">XLOOKUP(G1862,Reference!$F:$F,Reference!$D:$D,"null")</f>
        <v>Makanan dan Pakaian </v>
      </c>
      <c r="G1862" s="85" t="s">
        <v>72</v>
      </c>
      <c r="H1862" s="86">
        <v>94.82</v>
      </c>
      <c r="I1862" s="86">
        <v>94.82</v>
      </c>
      <c r="J1862" s="87">
        <f t="shared" si="2"/>
        <v>0</v>
      </c>
      <c r="K1862" s="84" t="str">
        <f t="shared" si="3"/>
        <v>Stabil</v>
      </c>
      <c r="L1862" s="84">
        <f t="shared" si="4"/>
        <v>0</v>
      </c>
      <c r="M1862" s="88" t="str">
        <f t="shared" si="5"/>
        <v>Perubahan Normal</v>
      </c>
    </row>
    <row r="1863" ht="18.75" customHeight="1">
      <c r="A1863" s="80" t="s">
        <v>304</v>
      </c>
      <c r="B1863" s="81" t="str">
        <f t="shared" si="1"/>
        <v>Kota Kediri</v>
      </c>
      <c r="C1863" s="81" t="str">
        <f t="array" ref="C1863">XLOOKUP(B1863,Reference!$A$2:$A$152,Reference!$B$2:$B$152)</f>
        <v>Jawa Timur</v>
      </c>
      <c r="D1863" s="82" t="s">
        <v>2302</v>
      </c>
      <c r="E1863" s="83">
        <v>45323.0</v>
      </c>
      <c r="F1863" s="84" t="str">
        <f t="array" ref="F1863">XLOOKUP(G1863,Reference!$F:$F,Reference!$D:$D,"null")</f>
        <v>Rumah Tangga</v>
      </c>
      <c r="G1863" s="85" t="s">
        <v>84</v>
      </c>
      <c r="H1863" s="86">
        <v>101.21</v>
      </c>
      <c r="I1863" s="86">
        <v>101.21</v>
      </c>
      <c r="J1863" s="87">
        <f t="shared" si="2"/>
        <v>0</v>
      </c>
      <c r="K1863" s="84" t="str">
        <f t="shared" si="3"/>
        <v>Stabil</v>
      </c>
      <c r="L1863" s="84">
        <f t="shared" si="4"/>
        <v>0</v>
      </c>
      <c r="M1863" s="88" t="str">
        <f t="shared" si="5"/>
        <v>Perubahan Normal</v>
      </c>
    </row>
    <row r="1864" ht="18.75" customHeight="1">
      <c r="A1864" s="80" t="s">
        <v>414</v>
      </c>
      <c r="B1864" s="81" t="str">
        <f t="shared" si="1"/>
        <v>Kota Bandung</v>
      </c>
      <c r="C1864" s="81" t="str">
        <f t="array" ref="C1864">XLOOKUP(B1864,Reference!$A$2:$A$152,Reference!$B$2:$B$152)</f>
        <v>Jawa Barat</v>
      </c>
      <c r="D1864" s="82" t="s">
        <v>2303</v>
      </c>
      <c r="E1864" s="83">
        <v>45323.0</v>
      </c>
      <c r="F1864" s="84" t="str">
        <f t="array" ref="F1864">XLOOKUP(G1864,Reference!$F:$F,Reference!$D:$D,"null")</f>
        <v>Rumah Tangga</v>
      </c>
      <c r="G1864" s="85" t="s">
        <v>84</v>
      </c>
      <c r="H1864" s="86">
        <v>100.25</v>
      </c>
      <c r="I1864" s="86">
        <v>100.32</v>
      </c>
      <c r="J1864" s="87">
        <f t="shared" si="2"/>
        <v>-0.06977671451</v>
      </c>
      <c r="K1864" s="84" t="str">
        <f t="shared" si="3"/>
        <v>Deflasi</v>
      </c>
      <c r="L1864" s="84">
        <f t="shared" si="4"/>
        <v>-0.07</v>
      </c>
      <c r="M1864" s="88" t="str">
        <f t="shared" si="5"/>
        <v>Perubahan Normal</v>
      </c>
    </row>
    <row r="1865" ht="18.75" customHeight="1">
      <c r="A1865" s="80" t="s">
        <v>578</v>
      </c>
      <c r="B1865" s="81" t="str">
        <f t="shared" si="1"/>
        <v>Kab Belitung Timur</v>
      </c>
      <c r="C1865" s="81" t="str">
        <f t="array" ref="C1865">XLOOKUP(B1865,Reference!$A$2:$A$152,Reference!$B$2:$B$152)</f>
        <v>Kepulauan Bangka Belitung</v>
      </c>
      <c r="D1865" s="82" t="s">
        <v>2304</v>
      </c>
      <c r="E1865" s="83">
        <v>45323.0</v>
      </c>
      <c r="F1865" s="84" t="str">
        <f t="array" ref="F1865">XLOOKUP(G1865,Reference!$F:$F,Reference!$D:$D,"null")</f>
        <v>Pendidikan dan Kesehatan</v>
      </c>
      <c r="G1865" s="85" t="s">
        <v>98</v>
      </c>
      <c r="H1865" s="86">
        <v>105.8</v>
      </c>
      <c r="I1865" s="86">
        <v>105.27</v>
      </c>
      <c r="J1865" s="87">
        <f t="shared" si="2"/>
        <v>0.5034672746</v>
      </c>
      <c r="K1865" s="84" t="str">
        <f t="shared" si="3"/>
        <v>Inflasi Normal</v>
      </c>
      <c r="L1865" s="84">
        <f t="shared" si="4"/>
        <v>0.53</v>
      </c>
      <c r="M1865" s="88" t="str">
        <f t="shared" si="5"/>
        <v>Akselerasi Persentase</v>
      </c>
    </row>
    <row r="1866" ht="18.75" customHeight="1">
      <c r="A1866" s="80" t="s">
        <v>314</v>
      </c>
      <c r="B1866" s="81" t="str">
        <f t="shared" si="1"/>
        <v>Kota Jayapura</v>
      </c>
      <c r="C1866" s="81" t="str">
        <f t="array" ref="C1866">XLOOKUP(B1866,Reference!$A$2:$A$152,Reference!$B$2:$B$152)</f>
        <v>Papua</v>
      </c>
      <c r="D1866" s="82" t="s">
        <v>2305</v>
      </c>
      <c r="E1866" s="83">
        <v>45323.0</v>
      </c>
      <c r="F1866" s="84" t="str">
        <f t="array" ref="F1866">XLOOKUP(G1866,Reference!$F:$F,Reference!$D:$D,"null")</f>
        <v>Rumah Tangga</v>
      </c>
      <c r="G1866" s="89" t="s">
        <v>84</v>
      </c>
      <c r="H1866" s="90">
        <v>97.61</v>
      </c>
      <c r="I1866" s="90">
        <v>97.7</v>
      </c>
      <c r="J1866" s="87">
        <f t="shared" si="2"/>
        <v>-0.09211873081</v>
      </c>
      <c r="K1866" s="84" t="str">
        <f t="shared" si="3"/>
        <v>Deflasi</v>
      </c>
      <c r="L1866" s="91">
        <f t="shared" si="4"/>
        <v>-0.09</v>
      </c>
      <c r="M1866" s="88" t="str">
        <f t="shared" si="5"/>
        <v>Perubahan Normal</v>
      </c>
    </row>
    <row r="1867" ht="18.75" customHeight="1">
      <c r="A1867" s="80" t="s">
        <v>584</v>
      </c>
      <c r="B1867" s="81" t="str">
        <f t="shared" si="1"/>
        <v>Kota Sibolga</v>
      </c>
      <c r="C1867" s="81" t="str">
        <f t="array" ref="C1867">XLOOKUP(B1867,Reference!$A$2:$A$152,Reference!$B$2:$B$152)</f>
        <v>Sumatera Utara</v>
      </c>
      <c r="D1867" s="82" t="s">
        <v>2306</v>
      </c>
      <c r="E1867" s="83">
        <v>45323.0</v>
      </c>
      <c r="F1867" s="84" t="str">
        <f t="array" ref="F1867">XLOOKUP(G1867,Reference!$F:$F,Reference!$D:$D,"null")</f>
        <v>Rekreasi dan Kendaraan</v>
      </c>
      <c r="G1867" s="85" t="s">
        <v>102</v>
      </c>
      <c r="H1867" s="86">
        <v>104.11</v>
      </c>
      <c r="I1867" s="86">
        <v>104.11</v>
      </c>
      <c r="J1867" s="87">
        <f t="shared" si="2"/>
        <v>0</v>
      </c>
      <c r="K1867" s="84" t="str">
        <f t="shared" si="3"/>
        <v>Stabil</v>
      </c>
      <c r="L1867" s="84">
        <f t="shared" si="4"/>
        <v>0</v>
      </c>
      <c r="M1867" s="88" t="str">
        <f t="shared" si="5"/>
        <v>Perubahan Normal</v>
      </c>
    </row>
    <row r="1868" ht="18.75" customHeight="1">
      <c r="A1868" s="80" t="s">
        <v>337</v>
      </c>
      <c r="B1868" s="81" t="str">
        <f t="shared" si="1"/>
        <v>Merauke</v>
      </c>
      <c r="C1868" s="81" t="str">
        <f t="array" ref="C1868">XLOOKUP(B1868,Reference!$A$2:$A$152,Reference!$B$2:$B$152)</f>
        <v>Papua</v>
      </c>
      <c r="D1868" s="82" t="s">
        <v>2307</v>
      </c>
      <c r="E1868" s="83">
        <v>45323.0</v>
      </c>
      <c r="F1868" s="84" t="str">
        <f t="array" ref="F1868">XLOOKUP(G1868,Reference!$F:$F,Reference!$D:$D,"null")</f>
        <v>Rekreasi dan Kendaraan</v>
      </c>
      <c r="G1868" s="89" t="s">
        <v>105</v>
      </c>
      <c r="H1868" s="90">
        <v>104.85</v>
      </c>
      <c r="I1868" s="90">
        <v>104.85</v>
      </c>
      <c r="J1868" s="87">
        <f t="shared" si="2"/>
        <v>0</v>
      </c>
      <c r="K1868" s="84" t="str">
        <f t="shared" si="3"/>
        <v>Stabil</v>
      </c>
      <c r="L1868" s="91">
        <f t="shared" si="4"/>
        <v>0</v>
      </c>
      <c r="M1868" s="88" t="str">
        <f t="shared" si="5"/>
        <v>Perubahan Normal</v>
      </c>
    </row>
    <row r="1869" ht="18.75" customHeight="1">
      <c r="A1869" s="80" t="s">
        <v>740</v>
      </c>
      <c r="B1869" s="81" t="str">
        <f t="shared" si="1"/>
        <v>Kota Gunungsitoli</v>
      </c>
      <c r="C1869" s="81" t="str">
        <f t="array" ref="C1869">XLOOKUP(B1869,Reference!$A$2:$A$152,Reference!$B$2:$B$152)</f>
        <v>Sumatera Utara</v>
      </c>
      <c r="D1869" s="82" t="s">
        <v>2308</v>
      </c>
      <c r="E1869" s="83">
        <v>45323.0</v>
      </c>
      <c r="F1869" s="84" t="str">
        <f t="array" ref="F1869">XLOOKUP(G1869,Reference!$F:$F,Reference!$D:$D,"null")</f>
        <v>Rumah Tangga</v>
      </c>
      <c r="G1869" s="89" t="s">
        <v>84</v>
      </c>
      <c r="H1869" s="90">
        <v>103.2</v>
      </c>
      <c r="I1869" s="90">
        <v>103.2</v>
      </c>
      <c r="J1869" s="87">
        <f t="shared" si="2"/>
        <v>0</v>
      </c>
      <c r="K1869" s="84" t="str">
        <f t="shared" si="3"/>
        <v>Stabil</v>
      </c>
      <c r="L1869" s="91">
        <f t="shared" si="4"/>
        <v>0</v>
      </c>
      <c r="M1869" s="88" t="str">
        <f t="shared" si="5"/>
        <v>Perubahan Normal</v>
      </c>
    </row>
    <row r="1870" ht="18.75" customHeight="1">
      <c r="A1870" s="80" t="s">
        <v>340</v>
      </c>
      <c r="B1870" s="81" t="str">
        <f t="shared" si="1"/>
        <v>Kab Rembang</v>
      </c>
      <c r="C1870" s="81" t="str">
        <f t="array" ref="C1870">XLOOKUP(B1870,Reference!$A$2:$A$152,Reference!$B$2:$B$152)</f>
        <v>Jawa Tengah</v>
      </c>
      <c r="D1870" s="82" t="s">
        <v>2309</v>
      </c>
      <c r="E1870" s="83">
        <v>45323.0</v>
      </c>
      <c r="F1870" s="84" t="str">
        <f t="array" ref="F1870">XLOOKUP(G1870,Reference!$F:$F,Reference!$D:$D,"null")</f>
        <v>Rumah Tangga</v>
      </c>
      <c r="G1870" s="85" t="s">
        <v>80</v>
      </c>
      <c r="H1870" s="86">
        <v>106.2</v>
      </c>
      <c r="I1870" s="86">
        <v>106.2</v>
      </c>
      <c r="J1870" s="87">
        <f t="shared" si="2"/>
        <v>0</v>
      </c>
      <c r="K1870" s="84" t="str">
        <f t="shared" si="3"/>
        <v>Stabil</v>
      </c>
      <c r="L1870" s="84">
        <f t="shared" si="4"/>
        <v>0</v>
      </c>
      <c r="M1870" s="88" t="str">
        <f t="shared" si="5"/>
        <v>Perubahan Normal</v>
      </c>
    </row>
    <row r="1871" ht="18.75" customHeight="1">
      <c r="A1871" s="80" t="s">
        <v>408</v>
      </c>
      <c r="B1871" s="81" t="str">
        <f t="shared" si="1"/>
        <v>Manokwari</v>
      </c>
      <c r="C1871" s="81" t="str">
        <f t="array" ref="C1871">XLOOKUP(B1871,Reference!$A$2:$A$152,Reference!$B$2:$B$152)</f>
        <v>Papua Barat Daya</v>
      </c>
      <c r="D1871" s="82" t="s">
        <v>2310</v>
      </c>
      <c r="E1871" s="83">
        <v>45323.0</v>
      </c>
      <c r="F1871" s="84" t="str">
        <f t="array" ref="F1871">XLOOKUP(G1871,Reference!$F:$F,Reference!$D:$D,"null")</f>
        <v>Makanan dan Pakaian </v>
      </c>
      <c r="G1871" s="85" t="s">
        <v>48</v>
      </c>
      <c r="H1871" s="86">
        <v>109.43</v>
      </c>
      <c r="I1871" s="86">
        <v>109.26</v>
      </c>
      <c r="J1871" s="87">
        <f t="shared" si="2"/>
        <v>0.1555921655</v>
      </c>
      <c r="K1871" s="84" t="str">
        <f t="shared" si="3"/>
        <v>Inflasi Normal</v>
      </c>
      <c r="L1871" s="84">
        <f t="shared" si="4"/>
        <v>0.17</v>
      </c>
      <c r="M1871" s="88" t="str">
        <f t="shared" si="5"/>
        <v>Perubahan Normal</v>
      </c>
    </row>
    <row r="1872" ht="18.75" customHeight="1">
      <c r="A1872" s="80" t="s">
        <v>367</v>
      </c>
      <c r="B1872" s="81" t="str">
        <f t="shared" si="1"/>
        <v>Kota Jambi</v>
      </c>
      <c r="C1872" s="81" t="str">
        <f t="array" ref="C1872">XLOOKUP(B1872,Reference!$A$2:$A$152,Reference!$B$2:$B$152)</f>
        <v>Jambi</v>
      </c>
      <c r="D1872" s="82" t="s">
        <v>2311</v>
      </c>
      <c r="E1872" s="83">
        <v>45352.0</v>
      </c>
      <c r="F1872" s="84" t="str">
        <f t="array" ref="F1872">XLOOKUP(G1872,Reference!$F:$F,Reference!$D:$D,"null")</f>
        <v>Pendidikan dan Kesehatan</v>
      </c>
      <c r="G1872" s="85" t="s">
        <v>95</v>
      </c>
      <c r="H1872" s="86">
        <v>102.19</v>
      </c>
      <c r="I1872" s="86">
        <v>102.19</v>
      </c>
      <c r="J1872" s="87">
        <f t="shared" si="2"/>
        <v>0</v>
      </c>
      <c r="K1872" s="84" t="str">
        <f t="shared" si="3"/>
        <v>Stabil</v>
      </c>
      <c r="L1872" s="84">
        <f t="shared" si="4"/>
        <v>0</v>
      </c>
      <c r="M1872" s="88" t="str">
        <f t="shared" si="5"/>
        <v>Perubahan Normal</v>
      </c>
    </row>
    <row r="1873" ht="18.75" customHeight="1">
      <c r="A1873" s="80" t="s">
        <v>663</v>
      </c>
      <c r="B1873" s="81" t="str">
        <f t="shared" si="1"/>
        <v>Kota Serang</v>
      </c>
      <c r="C1873" s="81" t="str">
        <f t="array" ref="C1873">XLOOKUP(B1873,Reference!$A$2:$A$152,Reference!$B$2:$B$152)</f>
        <v>Banten</v>
      </c>
      <c r="D1873" s="82" t="s">
        <v>2312</v>
      </c>
      <c r="E1873" s="83">
        <v>45323.0</v>
      </c>
      <c r="F1873" s="84" t="str">
        <f t="array" ref="F1873">XLOOKUP(G1873,Reference!$F:$F,Reference!$D:$D,"null")</f>
        <v>Rumah Tangga</v>
      </c>
      <c r="G1873" s="85" t="s">
        <v>84</v>
      </c>
      <c r="H1873" s="86">
        <v>101.55</v>
      </c>
      <c r="I1873" s="86">
        <v>101.55</v>
      </c>
      <c r="J1873" s="87">
        <f t="shared" si="2"/>
        <v>0</v>
      </c>
      <c r="K1873" s="84" t="str">
        <f t="shared" si="3"/>
        <v>Stabil</v>
      </c>
      <c r="L1873" s="84">
        <f t="shared" si="4"/>
        <v>0</v>
      </c>
      <c r="M1873" s="88" t="str">
        <f t="shared" si="5"/>
        <v>Perubahan Normal</v>
      </c>
    </row>
    <row r="1874" ht="18.75" customHeight="1">
      <c r="A1874" s="80" t="s">
        <v>837</v>
      </c>
      <c r="B1874" s="81" t="str">
        <f t="shared" si="1"/>
        <v>Kab Luwu Timur</v>
      </c>
      <c r="C1874" s="81" t="str">
        <f t="array" ref="C1874">XLOOKUP(B1874,Reference!$A$2:$A$152,Reference!$B$2:$B$152)</f>
        <v>Sulawesi Selatan</v>
      </c>
      <c r="D1874" s="82" t="s">
        <v>2313</v>
      </c>
      <c r="E1874" s="83">
        <v>45323.0</v>
      </c>
      <c r="F1874" s="84" t="str">
        <f t="array" ref="F1874">XLOOKUP(G1874,Reference!$F:$F,Reference!$D:$D,"null")</f>
        <v>Makanan dan Pakaian </v>
      </c>
      <c r="G1874" s="85" t="s">
        <v>64</v>
      </c>
      <c r="H1874" s="86">
        <v>102.78</v>
      </c>
      <c r="I1874" s="86">
        <v>102.74</v>
      </c>
      <c r="J1874" s="87">
        <f t="shared" si="2"/>
        <v>0.03893322951</v>
      </c>
      <c r="K1874" s="84" t="str">
        <f t="shared" si="3"/>
        <v>Inflasi Normal</v>
      </c>
      <c r="L1874" s="84">
        <f t="shared" si="4"/>
        <v>0.04</v>
      </c>
      <c r="M1874" s="88" t="str">
        <f t="shared" si="5"/>
        <v>Perubahan Normal</v>
      </c>
    </row>
    <row r="1875" ht="18.75" customHeight="1">
      <c r="A1875" s="80" t="s">
        <v>414</v>
      </c>
      <c r="B1875" s="81" t="str">
        <f t="shared" si="1"/>
        <v>Kota Bandung</v>
      </c>
      <c r="C1875" s="81" t="str">
        <f t="array" ref="C1875">XLOOKUP(B1875,Reference!$A$2:$A$152,Reference!$B$2:$B$152)</f>
        <v>Jawa Barat</v>
      </c>
      <c r="D1875" s="82" t="s">
        <v>2314</v>
      </c>
      <c r="E1875" s="83">
        <v>45352.0</v>
      </c>
      <c r="F1875" s="84" t="str">
        <f t="array" ref="F1875">XLOOKUP(G1875,Reference!$F:$F,Reference!$D:$D,"null")</f>
        <v>Rumah Tangga</v>
      </c>
      <c r="G1875" s="85" t="s">
        <v>84</v>
      </c>
      <c r="H1875" s="86">
        <v>100.21</v>
      </c>
      <c r="I1875" s="86">
        <v>100.25</v>
      </c>
      <c r="J1875" s="87">
        <f t="shared" si="2"/>
        <v>-0.03990024938</v>
      </c>
      <c r="K1875" s="84" t="str">
        <f t="shared" si="3"/>
        <v>Deflasi</v>
      </c>
      <c r="L1875" s="84">
        <f t="shared" si="4"/>
        <v>-0.04</v>
      </c>
      <c r="M1875" s="88" t="str">
        <f t="shared" si="5"/>
        <v>Perubahan Normal</v>
      </c>
    </row>
    <row r="1876" ht="18.75" customHeight="1">
      <c r="A1876" s="80" t="s">
        <v>335</v>
      </c>
      <c r="B1876" s="81" t="str">
        <f t="shared" si="1"/>
        <v>Kab Wonogiri</v>
      </c>
      <c r="C1876" s="81" t="str">
        <f t="array" ref="C1876">XLOOKUP(B1876,Reference!$A$2:$A$152,Reference!$B$2:$B$152)</f>
        <v>Jawa Tengah</v>
      </c>
      <c r="D1876" s="82" t="s">
        <v>2315</v>
      </c>
      <c r="E1876" s="83">
        <v>45323.0</v>
      </c>
      <c r="F1876" s="84" t="str">
        <f t="array" ref="F1876">XLOOKUP(G1876,Reference!$F:$F,Reference!$D:$D,"null")</f>
        <v>Makanan dan Pakaian </v>
      </c>
      <c r="G1876" s="85" t="s">
        <v>64</v>
      </c>
      <c r="H1876" s="86">
        <v>103.05</v>
      </c>
      <c r="I1876" s="86">
        <v>103.12</v>
      </c>
      <c r="J1876" s="87">
        <f t="shared" si="2"/>
        <v>-0.06788207913</v>
      </c>
      <c r="K1876" s="84" t="str">
        <f t="shared" si="3"/>
        <v>Deflasi</v>
      </c>
      <c r="L1876" s="84">
        <f t="shared" si="4"/>
        <v>-0.07</v>
      </c>
      <c r="M1876" s="88" t="str">
        <f t="shared" si="5"/>
        <v>Perubahan Normal</v>
      </c>
    </row>
    <row r="1877" ht="18.75" customHeight="1">
      <c r="A1877" s="80" t="s">
        <v>934</v>
      </c>
      <c r="B1877" s="81" t="str">
        <f t="shared" si="1"/>
        <v>Kab Kolaka</v>
      </c>
      <c r="C1877" s="81" t="str">
        <f t="array" ref="C1877">XLOOKUP(B1877,Reference!$A$2:$A$152,Reference!$B$2:$B$152)</f>
        <v>Sulawesi Tenggara</v>
      </c>
      <c r="D1877" s="82" t="s">
        <v>2316</v>
      </c>
      <c r="E1877" s="83">
        <v>45323.0</v>
      </c>
      <c r="F1877" s="84" t="str">
        <f t="array" ref="F1877">XLOOKUP(G1877,Reference!$F:$F,Reference!$D:$D,"null")</f>
        <v>Makanan dan Pakaian </v>
      </c>
      <c r="G1877" s="85" t="s">
        <v>72</v>
      </c>
      <c r="H1877" s="86">
        <v>100.0</v>
      </c>
      <c r="I1877" s="86">
        <v>100.0</v>
      </c>
      <c r="J1877" s="87">
        <f t="shared" si="2"/>
        <v>0</v>
      </c>
      <c r="K1877" s="84" t="str">
        <f t="shared" si="3"/>
        <v>Stabil</v>
      </c>
      <c r="L1877" s="84">
        <f t="shared" si="4"/>
        <v>0</v>
      </c>
      <c r="M1877" s="88" t="str">
        <f t="shared" si="5"/>
        <v>Perubahan Normal</v>
      </c>
    </row>
    <row r="1878" ht="18.75" customHeight="1">
      <c r="A1878" s="80" t="s">
        <v>349</v>
      </c>
      <c r="B1878" s="81" t="str">
        <f t="shared" si="1"/>
        <v>Kota Banjarmasin</v>
      </c>
      <c r="C1878" s="81" t="str">
        <f t="array" ref="C1878">XLOOKUP(B1878,Reference!$A$2:$A$152,Reference!$B$2:$B$152)</f>
        <v>Kalimantan Selatan</v>
      </c>
      <c r="D1878" s="82" t="s">
        <v>2317</v>
      </c>
      <c r="E1878" s="83">
        <v>45323.0</v>
      </c>
      <c r="F1878" s="84" t="str">
        <f t="array" ref="F1878">XLOOKUP(G1878,Reference!$F:$F,Reference!$D:$D,"null")</f>
        <v>Makanan dan Pakaian </v>
      </c>
      <c r="G1878" s="85" t="s">
        <v>56</v>
      </c>
      <c r="H1878" s="86">
        <v>104.13</v>
      </c>
      <c r="I1878" s="86">
        <v>104.25</v>
      </c>
      <c r="J1878" s="87">
        <f t="shared" si="2"/>
        <v>-0.1151079137</v>
      </c>
      <c r="K1878" s="84" t="str">
        <f t="shared" si="3"/>
        <v>Deflasi</v>
      </c>
      <c r="L1878" s="84">
        <f t="shared" si="4"/>
        <v>-0.12</v>
      </c>
      <c r="M1878" s="88" t="str">
        <f t="shared" si="5"/>
        <v>Perubahan Normal</v>
      </c>
    </row>
    <row r="1879" ht="18.75" customHeight="1">
      <c r="A1879" s="80" t="s">
        <v>412</v>
      </c>
      <c r="B1879" s="81" t="str">
        <f t="shared" si="1"/>
        <v>Cilacap</v>
      </c>
      <c r="C1879" s="81" t="str">
        <f t="array" ref="C1879">XLOOKUP(B1879,Reference!$A$2:$A$152,Reference!$B$2:$B$152)</f>
        <v>Jawa Tengah</v>
      </c>
      <c r="D1879" s="82" t="s">
        <v>2318</v>
      </c>
      <c r="E1879" s="83">
        <v>45323.0</v>
      </c>
      <c r="F1879" s="84" t="str">
        <f t="array" ref="F1879">XLOOKUP(G1879,Reference!$F:$F,Reference!$D:$D,"null")</f>
        <v>Makanan dan Pakaian </v>
      </c>
      <c r="G1879" s="85" t="s">
        <v>72</v>
      </c>
      <c r="H1879" s="86">
        <v>101.1</v>
      </c>
      <c r="I1879" s="86">
        <v>100.69</v>
      </c>
      <c r="J1879" s="87">
        <f t="shared" si="2"/>
        <v>0.4071903863</v>
      </c>
      <c r="K1879" s="84" t="str">
        <f t="shared" si="3"/>
        <v>Inflasi Normal</v>
      </c>
      <c r="L1879" s="84">
        <f t="shared" si="4"/>
        <v>0.41</v>
      </c>
      <c r="M1879" s="88" t="str">
        <f t="shared" si="5"/>
        <v>Perubahan Normal</v>
      </c>
    </row>
    <row r="1880" ht="18.75" customHeight="1">
      <c r="A1880" s="80" t="s">
        <v>362</v>
      </c>
      <c r="B1880" s="81" t="str">
        <f t="shared" si="1"/>
        <v>Sumenep</v>
      </c>
      <c r="C1880" s="81" t="str">
        <f t="array" ref="C1880">XLOOKUP(B1880,Reference!$A$2:$A$152,Reference!$B$2:$B$152)</f>
        <v>Jawa Timur</v>
      </c>
      <c r="D1880" s="82" t="s">
        <v>2319</v>
      </c>
      <c r="E1880" s="83">
        <v>45352.0</v>
      </c>
      <c r="F1880" s="84" t="str">
        <f t="array" ref="F1880">XLOOKUP(G1880,Reference!$F:$F,Reference!$D:$D,"null")</f>
        <v>Makanan dan Pakaian </v>
      </c>
      <c r="G1880" s="85" t="s">
        <v>48</v>
      </c>
      <c r="H1880" s="86">
        <v>117.37</v>
      </c>
      <c r="I1880" s="86">
        <v>115.42</v>
      </c>
      <c r="J1880" s="87">
        <f t="shared" si="2"/>
        <v>1.689481892</v>
      </c>
      <c r="K1880" s="84" t="str">
        <f t="shared" si="3"/>
        <v>Inflasi Tinggi</v>
      </c>
      <c r="L1880" s="84">
        <f t="shared" si="4"/>
        <v>1.95</v>
      </c>
      <c r="M1880" s="88" t="str">
        <f t="shared" si="5"/>
        <v>Akselerasi Persentase</v>
      </c>
    </row>
    <row r="1881" ht="18.75" customHeight="1">
      <c r="A1881" s="80" t="s">
        <v>431</v>
      </c>
      <c r="B1881" s="81" t="str">
        <f t="shared" si="1"/>
        <v>Kota Ternate</v>
      </c>
      <c r="C1881" s="81" t="str">
        <f t="array" ref="C1881">XLOOKUP(B1881,Reference!$A$2:$A$152,Reference!$B$2:$B$152)</f>
        <v>Maluku Utara</v>
      </c>
      <c r="D1881" s="82" t="s">
        <v>2320</v>
      </c>
      <c r="E1881" s="83">
        <v>45352.0</v>
      </c>
      <c r="F1881" s="84" t="str">
        <f t="array" ref="F1881">XLOOKUP(G1881,Reference!$F:$F,Reference!$D:$D,"null")</f>
        <v>Rekreasi dan Kendaraan</v>
      </c>
      <c r="G1881" s="85" t="s">
        <v>105</v>
      </c>
      <c r="H1881" s="86">
        <v>100.54</v>
      </c>
      <c r="I1881" s="86">
        <v>100.54</v>
      </c>
      <c r="J1881" s="87">
        <f t="shared" si="2"/>
        <v>0</v>
      </c>
      <c r="K1881" s="84" t="str">
        <f t="shared" si="3"/>
        <v>Stabil</v>
      </c>
      <c r="L1881" s="84">
        <f t="shared" si="4"/>
        <v>0</v>
      </c>
      <c r="M1881" s="88" t="str">
        <f t="shared" si="5"/>
        <v>Perubahan Normal</v>
      </c>
    </row>
    <row r="1882" ht="18.75" customHeight="1">
      <c r="A1882" s="80" t="s">
        <v>362</v>
      </c>
      <c r="B1882" s="81" t="str">
        <f t="shared" si="1"/>
        <v>Sumenep</v>
      </c>
      <c r="C1882" s="81" t="str">
        <f t="array" ref="C1882">XLOOKUP(B1882,Reference!$A$2:$A$152,Reference!$B$2:$B$152)</f>
        <v>Jawa Timur</v>
      </c>
      <c r="D1882" s="82" t="s">
        <v>2321</v>
      </c>
      <c r="E1882" s="83">
        <v>45352.0</v>
      </c>
      <c r="F1882" s="84" t="str">
        <f t="array" ref="F1882">XLOOKUP(G1882,Reference!$F:$F,Reference!$D:$D,"null")</f>
        <v>Rumah Tangga</v>
      </c>
      <c r="G1882" s="85" t="s">
        <v>80</v>
      </c>
      <c r="H1882" s="86">
        <v>103.84</v>
      </c>
      <c r="I1882" s="86">
        <v>103.84</v>
      </c>
      <c r="J1882" s="87">
        <f t="shared" si="2"/>
        <v>0</v>
      </c>
      <c r="K1882" s="84" t="str">
        <f t="shared" si="3"/>
        <v>Stabil</v>
      </c>
      <c r="L1882" s="84">
        <f t="shared" si="4"/>
        <v>0</v>
      </c>
      <c r="M1882" s="88" t="str">
        <f t="shared" si="5"/>
        <v>Perubahan Normal</v>
      </c>
    </row>
    <row r="1883" ht="18.75" customHeight="1">
      <c r="A1883" s="80" t="s">
        <v>372</v>
      </c>
      <c r="B1883" s="81" t="str">
        <f t="shared" si="1"/>
        <v>Kota Tanjung Pinang</v>
      </c>
      <c r="C1883" s="81" t="str">
        <f t="array" ref="C1883">XLOOKUP(B1883,Reference!$A$2:$A$152,Reference!$B$2:$B$152)</f>
        <v>Kepulauan Riau</v>
      </c>
      <c r="D1883" s="82" t="s">
        <v>2322</v>
      </c>
      <c r="E1883" s="83">
        <v>45323.0</v>
      </c>
      <c r="F1883" s="84" t="str">
        <f t="array" ref="F1883">XLOOKUP(G1883,Reference!$F:$F,Reference!$D:$D,"null")</f>
        <v>Rumah Tangga</v>
      </c>
      <c r="G1883" s="89" t="s">
        <v>80</v>
      </c>
      <c r="H1883" s="90">
        <v>101.76</v>
      </c>
      <c r="I1883" s="90">
        <v>101.75</v>
      </c>
      <c r="J1883" s="87">
        <f t="shared" si="2"/>
        <v>0.009828009828</v>
      </c>
      <c r="K1883" s="84" t="str">
        <f t="shared" si="3"/>
        <v>Inflasi Normal</v>
      </c>
      <c r="L1883" s="91">
        <f t="shared" si="4"/>
        <v>0.01</v>
      </c>
      <c r="M1883" s="88" t="str">
        <f t="shared" si="5"/>
        <v>Perubahan Normal</v>
      </c>
    </row>
    <row r="1884" ht="18.75" customHeight="1">
      <c r="A1884" s="80" t="s">
        <v>333</v>
      </c>
      <c r="B1884" s="81" t="str">
        <f t="shared" si="1"/>
        <v>Kab Pasaman Barat</v>
      </c>
      <c r="C1884" s="81" t="str">
        <f t="array" ref="C1884">XLOOKUP(B1884,Reference!$A$2:$A$152,Reference!$B$2:$B$152)</f>
        <v>Sumatera Barat</v>
      </c>
      <c r="D1884" s="82" t="s">
        <v>2323</v>
      </c>
      <c r="E1884" s="83">
        <v>45352.0</v>
      </c>
      <c r="F1884" s="84" t="str">
        <f t="array" ref="F1884">XLOOKUP(G1884,Reference!$F:$F,Reference!$D:$D,"null")</f>
        <v>Makanan dan Pakaian </v>
      </c>
      <c r="G1884" s="85" t="s">
        <v>64</v>
      </c>
      <c r="H1884" s="86">
        <v>106.42</v>
      </c>
      <c r="I1884" s="86">
        <v>105.99</v>
      </c>
      <c r="J1884" s="87">
        <f t="shared" si="2"/>
        <v>0.4056986508</v>
      </c>
      <c r="K1884" s="84" t="str">
        <f t="shared" si="3"/>
        <v>Inflasi Normal</v>
      </c>
      <c r="L1884" s="84">
        <f t="shared" si="4"/>
        <v>0.43</v>
      </c>
      <c r="M1884" s="88" t="str">
        <f t="shared" si="5"/>
        <v>Perubahan Normal</v>
      </c>
    </row>
    <row r="1885" ht="18.75" customHeight="1">
      <c r="A1885" s="80" t="s">
        <v>382</v>
      </c>
      <c r="B1885" s="81" t="str">
        <f t="shared" si="1"/>
        <v>Kab Ngada</v>
      </c>
      <c r="C1885" s="81" t="str">
        <f t="array" ref="C1885">XLOOKUP(B1885,Reference!$A$2:$A$152,Reference!$B$2:$B$152)</f>
        <v>Nusa Tenggara Timur (NTT)</v>
      </c>
      <c r="D1885" s="82" t="s">
        <v>2324</v>
      </c>
      <c r="E1885" s="83">
        <v>45323.0</v>
      </c>
      <c r="F1885" s="84" t="str">
        <f t="array" ref="F1885">XLOOKUP(G1885,Reference!$F:$F,Reference!$D:$D,"null")</f>
        <v>Makanan dan Pakaian </v>
      </c>
      <c r="G1885" s="85" t="s">
        <v>64</v>
      </c>
      <c r="H1885" s="86">
        <v>122.7</v>
      </c>
      <c r="I1885" s="86">
        <v>119.23</v>
      </c>
      <c r="J1885" s="87">
        <f t="shared" si="2"/>
        <v>2.910341357</v>
      </c>
      <c r="K1885" s="84" t="str">
        <f t="shared" si="3"/>
        <v>Inflasi Tinggi</v>
      </c>
      <c r="L1885" s="84">
        <f t="shared" si="4"/>
        <v>3.47</v>
      </c>
      <c r="M1885" s="88" t="str">
        <f t="shared" si="5"/>
        <v>Akselerasi Kuat</v>
      </c>
    </row>
    <row r="1886" ht="18.75" customHeight="1">
      <c r="A1886" s="80" t="s">
        <v>618</v>
      </c>
      <c r="B1886" s="81" t="str">
        <f t="shared" si="1"/>
        <v>Kota Tangerang</v>
      </c>
      <c r="C1886" s="81" t="str">
        <f t="array" ref="C1886">XLOOKUP(B1886,Reference!$A$2:$A$152,Reference!$B$2:$B$152)</f>
        <v>Banten</v>
      </c>
      <c r="D1886" s="82" t="s">
        <v>2325</v>
      </c>
      <c r="E1886" s="83">
        <v>45352.0</v>
      </c>
      <c r="F1886" s="84" t="str">
        <f t="array" ref="F1886">XLOOKUP(G1886,Reference!$F:$F,Reference!$D:$D,"null")</f>
        <v>Pendidikan dan Kesehatan</v>
      </c>
      <c r="G1886" s="89" t="s">
        <v>98</v>
      </c>
      <c r="H1886" s="90">
        <v>100.0</v>
      </c>
      <c r="I1886" s="90">
        <v>97.95</v>
      </c>
      <c r="J1886" s="87">
        <f t="shared" si="2"/>
        <v>2.092904543</v>
      </c>
      <c r="K1886" s="84" t="str">
        <f t="shared" si="3"/>
        <v>Inflasi Tinggi</v>
      </c>
      <c r="L1886" s="91">
        <f t="shared" si="4"/>
        <v>2.05</v>
      </c>
      <c r="M1886" s="88" t="str">
        <f t="shared" si="5"/>
        <v>Akselerasi Kuat</v>
      </c>
    </row>
    <row r="1887" ht="18.75" customHeight="1">
      <c r="A1887" s="80" t="s">
        <v>318</v>
      </c>
      <c r="B1887" s="81" t="str">
        <f t="shared" si="1"/>
        <v>Tanjung</v>
      </c>
      <c r="C1887" s="81" t="str">
        <f t="array" ref="C1887">XLOOKUP(B1887,Reference!$A$2:$A$152,Reference!$B$2:$B$152)</f>
        <v>Kalimantan Selatan</v>
      </c>
      <c r="D1887" s="82" t="s">
        <v>2326</v>
      </c>
      <c r="E1887" s="83">
        <v>45352.0</v>
      </c>
      <c r="F1887" s="84" t="str">
        <f t="array" ref="F1887">XLOOKUP(G1887,Reference!$F:$F,Reference!$D:$D,"null")</f>
        <v>Rumah Tangga</v>
      </c>
      <c r="G1887" s="85" t="s">
        <v>89</v>
      </c>
      <c r="H1887" s="86">
        <v>105.87</v>
      </c>
      <c r="I1887" s="86">
        <v>105.87</v>
      </c>
      <c r="J1887" s="87">
        <f t="shared" si="2"/>
        <v>0</v>
      </c>
      <c r="K1887" s="84" t="str">
        <f t="shared" si="3"/>
        <v>Stabil</v>
      </c>
      <c r="L1887" s="84">
        <f t="shared" si="4"/>
        <v>0</v>
      </c>
      <c r="M1887" s="88" t="str">
        <f t="shared" si="5"/>
        <v>Perubahan Normal</v>
      </c>
    </row>
    <row r="1888" ht="18.75" customHeight="1">
      <c r="A1888" s="80" t="s">
        <v>1031</v>
      </c>
      <c r="B1888" s="81" t="str">
        <f t="shared" si="1"/>
        <v>Kab Majene</v>
      </c>
      <c r="C1888" s="81" t="str">
        <f t="array" ref="C1888">XLOOKUP(B1888,Reference!$A$2:$A$152,Reference!$B$2:$B$152)</f>
        <v>Sulawesi Barat</v>
      </c>
      <c r="D1888" s="82" t="s">
        <v>2327</v>
      </c>
      <c r="E1888" s="83">
        <v>45323.0</v>
      </c>
      <c r="F1888" s="84" t="str">
        <f t="array" ref="F1888">XLOOKUP(G1888,Reference!$F:$F,Reference!$D:$D,"null")</f>
        <v>Pendidikan dan Kesehatan</v>
      </c>
      <c r="G1888" s="85" t="s">
        <v>95</v>
      </c>
      <c r="H1888" s="86">
        <v>100.12</v>
      </c>
      <c r="I1888" s="86">
        <v>100.12</v>
      </c>
      <c r="J1888" s="87">
        <f t="shared" si="2"/>
        <v>0</v>
      </c>
      <c r="K1888" s="84" t="str">
        <f t="shared" si="3"/>
        <v>Stabil</v>
      </c>
      <c r="L1888" s="84">
        <f t="shared" si="4"/>
        <v>0</v>
      </c>
      <c r="M1888" s="88" t="str">
        <f t="shared" si="5"/>
        <v>Perubahan Normal</v>
      </c>
    </row>
    <row r="1889" ht="18.75" customHeight="1">
      <c r="A1889" s="80" t="s">
        <v>535</v>
      </c>
      <c r="B1889" s="81" t="str">
        <f t="shared" si="1"/>
        <v>Kota Tarakan</v>
      </c>
      <c r="C1889" s="81" t="str">
        <f t="array" ref="C1889">XLOOKUP(B1889,Reference!$A$2:$A$152,Reference!$B$2:$B$152)</f>
        <v>Kalimantan Utara</v>
      </c>
      <c r="D1889" s="82" t="s">
        <v>2328</v>
      </c>
      <c r="E1889" s="83">
        <v>45352.0</v>
      </c>
      <c r="F1889" s="84" t="str">
        <f t="array" ref="F1889">XLOOKUP(G1889,Reference!$F:$F,Reference!$D:$D,"null")</f>
        <v>Rumah Tangga</v>
      </c>
      <c r="G1889" s="85" t="s">
        <v>84</v>
      </c>
      <c r="H1889" s="86">
        <v>100.65</v>
      </c>
      <c r="I1889" s="86">
        <v>100.66</v>
      </c>
      <c r="J1889" s="87">
        <f t="shared" si="2"/>
        <v>-0.009934432744</v>
      </c>
      <c r="K1889" s="84" t="str">
        <f t="shared" si="3"/>
        <v>Deflasi</v>
      </c>
      <c r="L1889" s="84">
        <f t="shared" si="4"/>
        <v>-0.01</v>
      </c>
      <c r="M1889" s="88" t="str">
        <f t="shared" si="5"/>
        <v>Perubahan Normal</v>
      </c>
    </row>
    <row r="1890" ht="18.75" customHeight="1">
      <c r="A1890" s="80" t="s">
        <v>393</v>
      </c>
      <c r="B1890" s="81" t="str">
        <f t="shared" si="1"/>
        <v>Kab Sumbawa</v>
      </c>
      <c r="C1890" s="81" t="str">
        <f t="array" ref="C1890">XLOOKUP(B1890,Reference!$A$2:$A$152,Reference!$B$2:$B$152)</f>
        <v>Nusa Tenggara Barat (NTB)</v>
      </c>
      <c r="D1890" s="82" t="s">
        <v>2329</v>
      </c>
      <c r="E1890" s="83">
        <v>45352.0</v>
      </c>
      <c r="F1890" s="84" t="str">
        <f t="array" ref="F1890">XLOOKUP(G1890,Reference!$F:$F,Reference!$D:$D,"null")</f>
        <v>Rekreasi dan Kendaraan</v>
      </c>
      <c r="G1890" s="85" t="s">
        <v>102</v>
      </c>
      <c r="H1890" s="86">
        <v>104.45</v>
      </c>
      <c r="I1890" s="86">
        <v>104.45</v>
      </c>
      <c r="J1890" s="87">
        <f t="shared" si="2"/>
        <v>0</v>
      </c>
      <c r="K1890" s="84" t="str">
        <f t="shared" si="3"/>
        <v>Stabil</v>
      </c>
      <c r="L1890" s="84">
        <f t="shared" si="4"/>
        <v>0</v>
      </c>
      <c r="M1890" s="88" t="str">
        <f t="shared" si="5"/>
        <v>Perubahan Normal</v>
      </c>
    </row>
    <row r="1891" ht="18.75" customHeight="1">
      <c r="A1891" s="80" t="s">
        <v>296</v>
      </c>
      <c r="B1891" s="81" t="str">
        <f t="shared" si="1"/>
        <v>Kota Bogor</v>
      </c>
      <c r="C1891" s="81" t="str">
        <f t="array" ref="C1891">XLOOKUP(B1891,Reference!$A$2:$A$152,Reference!$B$2:$B$152)</f>
        <v>Jawa Barat</v>
      </c>
      <c r="D1891" s="82" t="s">
        <v>2330</v>
      </c>
      <c r="E1891" s="83">
        <v>45323.0</v>
      </c>
      <c r="F1891" s="84" t="str">
        <f t="array" ref="F1891">XLOOKUP(G1891,Reference!$F:$F,Reference!$D:$D,"null")</f>
        <v>Makanan dan Pakaian </v>
      </c>
      <c r="G1891" s="85" t="s">
        <v>48</v>
      </c>
      <c r="H1891" s="86">
        <v>111.53</v>
      </c>
      <c r="I1891" s="86">
        <v>108.76</v>
      </c>
      <c r="J1891" s="87">
        <f t="shared" si="2"/>
        <v>2.54689224</v>
      </c>
      <c r="K1891" s="84" t="str">
        <f t="shared" si="3"/>
        <v>Inflasi Tinggi</v>
      </c>
      <c r="L1891" s="84">
        <f t="shared" si="4"/>
        <v>2.77</v>
      </c>
      <c r="M1891" s="88" t="str">
        <f t="shared" si="5"/>
        <v>Akselerasi Kuat</v>
      </c>
    </row>
    <row r="1892" ht="18.75" customHeight="1">
      <c r="A1892" s="80" t="s">
        <v>532</v>
      </c>
      <c r="B1892" s="81" t="str">
        <f t="shared" si="1"/>
        <v>Kota Palembang</v>
      </c>
      <c r="C1892" s="81" t="str">
        <f t="array" ref="C1892">XLOOKUP(B1892,Reference!$A$2:$A$152,Reference!$B$2:$B$152)</f>
        <v>Sumatera Selatan</v>
      </c>
      <c r="D1892" s="82" t="s">
        <v>2331</v>
      </c>
      <c r="E1892" s="83">
        <v>45323.0</v>
      </c>
      <c r="F1892" s="84" t="str">
        <f t="array" ref="F1892">XLOOKUP(G1892,Reference!$F:$F,Reference!$D:$D,"null")</f>
        <v>Makanan dan Pakaian </v>
      </c>
      <c r="G1892" s="85" t="s">
        <v>48</v>
      </c>
      <c r="H1892" s="86">
        <v>109.82</v>
      </c>
      <c r="I1892" s="86">
        <v>108.75</v>
      </c>
      <c r="J1892" s="87">
        <f t="shared" si="2"/>
        <v>0.983908046</v>
      </c>
      <c r="K1892" s="84" t="str">
        <f t="shared" si="3"/>
        <v>Inflasi Tinggi</v>
      </c>
      <c r="L1892" s="84">
        <f t="shared" si="4"/>
        <v>1.07</v>
      </c>
      <c r="M1892" s="88" t="str">
        <f t="shared" si="5"/>
        <v>Akselerasi Persentase</v>
      </c>
    </row>
    <row r="1893" ht="18.75" customHeight="1">
      <c r="A1893" s="80" t="s">
        <v>410</v>
      </c>
      <c r="B1893" s="81" t="str">
        <f t="shared" si="1"/>
        <v>Meulaboh</v>
      </c>
      <c r="C1893" s="81" t="str">
        <f t="array" ref="C1893">XLOOKUP(B1893,Reference!$A$2:$A$152,Reference!$B$2:$B$152)</f>
        <v>Aceh</v>
      </c>
      <c r="D1893" s="82" t="s">
        <v>2332</v>
      </c>
      <c r="E1893" s="83">
        <v>45323.0</v>
      </c>
      <c r="F1893" s="84" t="str">
        <f t="array" ref="F1893">XLOOKUP(G1893,Reference!$F:$F,Reference!$D:$D,"null")</f>
        <v>Makanan dan Pakaian </v>
      </c>
      <c r="G1893" s="85" t="s">
        <v>64</v>
      </c>
      <c r="H1893" s="86">
        <v>101.92</v>
      </c>
      <c r="I1893" s="86">
        <v>101.93</v>
      </c>
      <c r="J1893" s="87">
        <f t="shared" si="2"/>
        <v>-0.009810654371</v>
      </c>
      <c r="K1893" s="84" t="str">
        <f t="shared" si="3"/>
        <v>Deflasi</v>
      </c>
      <c r="L1893" s="84">
        <f t="shared" si="4"/>
        <v>-0.01</v>
      </c>
      <c r="M1893" s="88" t="str">
        <f t="shared" si="5"/>
        <v>Perubahan Normal</v>
      </c>
    </row>
    <row r="1894" ht="18.75" customHeight="1">
      <c r="A1894" s="80" t="s">
        <v>445</v>
      </c>
      <c r="B1894" s="81" t="str">
        <f t="shared" si="1"/>
        <v>Kab Bangka Barat</v>
      </c>
      <c r="C1894" s="81" t="str">
        <f t="array" ref="C1894">XLOOKUP(B1894,Reference!$A$2:$A$152,Reference!$B$2:$B$152)</f>
        <v>Kepulauan Bangka Belitung</v>
      </c>
      <c r="D1894" s="82" t="s">
        <v>2333</v>
      </c>
      <c r="E1894" s="83">
        <v>45352.0</v>
      </c>
      <c r="F1894" s="84" t="str">
        <f t="array" ref="F1894">XLOOKUP(G1894,Reference!$F:$F,Reference!$D:$D,"null")</f>
        <v>Rekreasi dan Kendaraan</v>
      </c>
      <c r="G1894" s="85" t="s">
        <v>102</v>
      </c>
      <c r="H1894" s="86">
        <v>102.61</v>
      </c>
      <c r="I1894" s="86">
        <v>101.56</v>
      </c>
      <c r="J1894" s="87">
        <f t="shared" si="2"/>
        <v>1.033871603</v>
      </c>
      <c r="K1894" s="84" t="str">
        <f t="shared" si="3"/>
        <v>Inflasi Tinggi</v>
      </c>
      <c r="L1894" s="84">
        <f t="shared" si="4"/>
        <v>1.05</v>
      </c>
      <c r="M1894" s="88" t="str">
        <f t="shared" si="5"/>
        <v>Akselerasi Persentase</v>
      </c>
    </row>
    <row r="1895" ht="18.75" customHeight="1">
      <c r="A1895" s="80" t="s">
        <v>550</v>
      </c>
      <c r="B1895" s="81" t="str">
        <f t="shared" si="1"/>
        <v>Kota Sukabumi</v>
      </c>
      <c r="C1895" s="81" t="str">
        <f t="array" ref="C1895">XLOOKUP(B1895,Reference!$A$2:$A$152,Reference!$B$2:$B$152)</f>
        <v>Jawa Barat</v>
      </c>
      <c r="D1895" s="82" t="s">
        <v>2334</v>
      </c>
      <c r="E1895" s="83">
        <v>45323.0</v>
      </c>
      <c r="F1895" s="84" t="str">
        <f t="array" ref="F1895">XLOOKUP(G1895,Reference!$F:$F,Reference!$D:$D,"null")</f>
        <v>Rumah Tangga</v>
      </c>
      <c r="G1895" s="85" t="s">
        <v>84</v>
      </c>
      <c r="H1895" s="86">
        <v>99.66</v>
      </c>
      <c r="I1895" s="86">
        <v>99.66</v>
      </c>
      <c r="J1895" s="87">
        <f t="shared" si="2"/>
        <v>0</v>
      </c>
      <c r="K1895" s="84" t="str">
        <f t="shared" si="3"/>
        <v>Stabil</v>
      </c>
      <c r="L1895" s="84">
        <f t="shared" si="4"/>
        <v>0</v>
      </c>
      <c r="M1895" s="88" t="str">
        <f t="shared" si="5"/>
        <v>Perubahan Normal</v>
      </c>
    </row>
    <row r="1896" ht="18.75" customHeight="1">
      <c r="A1896" s="80" t="s">
        <v>329</v>
      </c>
      <c r="B1896" s="81" t="str">
        <f t="shared" si="1"/>
        <v>Kab Penajam Paser Utara</v>
      </c>
      <c r="C1896" s="81" t="str">
        <f t="array" ref="C1896">XLOOKUP(B1896,Reference!$A$2:$A$152,Reference!$B$2:$B$152)</f>
        <v>Kalimantan Timur</v>
      </c>
      <c r="D1896" s="82" t="s">
        <v>2335</v>
      </c>
      <c r="E1896" s="83">
        <v>45323.0</v>
      </c>
      <c r="F1896" s="84" t="str">
        <f t="array" ref="F1896">XLOOKUP(G1896,Reference!$F:$F,Reference!$D:$D,"null")</f>
        <v>Pendidikan dan Kesehatan</v>
      </c>
      <c r="G1896" s="85" t="s">
        <v>95</v>
      </c>
      <c r="H1896" s="86">
        <v>100.0</v>
      </c>
      <c r="I1896" s="86">
        <v>100.0</v>
      </c>
      <c r="J1896" s="87">
        <f t="shared" si="2"/>
        <v>0</v>
      </c>
      <c r="K1896" s="84" t="str">
        <f t="shared" si="3"/>
        <v>Stabil</v>
      </c>
      <c r="L1896" s="84">
        <f t="shared" si="4"/>
        <v>0</v>
      </c>
      <c r="M1896" s="88" t="str">
        <f t="shared" si="5"/>
        <v>Perubahan Normal</v>
      </c>
    </row>
    <row r="1897" ht="18.75" customHeight="1">
      <c r="A1897" s="80" t="s">
        <v>429</v>
      </c>
      <c r="B1897" s="81" t="str">
        <f t="shared" si="1"/>
        <v>Kab Nabire</v>
      </c>
      <c r="C1897" s="81" t="str">
        <f t="array" ref="C1897">XLOOKUP(B1897,Reference!$A$2:$A$152,Reference!$B$2:$B$152)</f>
        <v>Papua</v>
      </c>
      <c r="D1897" s="82" t="s">
        <v>2336</v>
      </c>
      <c r="E1897" s="83">
        <v>45323.0</v>
      </c>
      <c r="F1897" s="84" t="str">
        <f t="array" ref="F1897">XLOOKUP(G1897,Reference!$F:$F,Reference!$D:$D,"null")</f>
        <v>Rekreasi dan Kendaraan</v>
      </c>
      <c r="G1897" s="85" t="s">
        <v>105</v>
      </c>
      <c r="H1897" s="86">
        <v>103.04</v>
      </c>
      <c r="I1897" s="86">
        <v>102.77</v>
      </c>
      <c r="J1897" s="87">
        <f t="shared" si="2"/>
        <v>0.2627225844</v>
      </c>
      <c r="K1897" s="84" t="str">
        <f t="shared" si="3"/>
        <v>Inflasi Normal</v>
      </c>
      <c r="L1897" s="84">
        <f t="shared" si="4"/>
        <v>0.27</v>
      </c>
      <c r="M1897" s="88" t="str">
        <f t="shared" si="5"/>
        <v>Perubahan Normal</v>
      </c>
    </row>
    <row r="1898" ht="18.75" customHeight="1">
      <c r="A1898" s="80" t="s">
        <v>490</v>
      </c>
      <c r="B1898" s="81" t="str">
        <f t="shared" si="1"/>
        <v>Kab Kerinci</v>
      </c>
      <c r="C1898" s="81" t="str">
        <f t="array" ref="C1898">XLOOKUP(B1898,Reference!$A$2:$A$152,Reference!$B$2:$B$152)</f>
        <v>Jambi</v>
      </c>
      <c r="D1898" s="82" t="s">
        <v>2337</v>
      </c>
      <c r="E1898" s="83">
        <v>45323.0</v>
      </c>
      <c r="F1898" s="84" t="str">
        <f t="array" ref="F1898">XLOOKUP(G1898,Reference!$F:$F,Reference!$D:$D,"null")</f>
        <v>Makanan dan Pakaian </v>
      </c>
      <c r="G1898" s="85" t="s">
        <v>72</v>
      </c>
      <c r="H1898" s="86">
        <v>103.57</v>
      </c>
      <c r="I1898" s="86">
        <v>103.57</v>
      </c>
      <c r="J1898" s="87">
        <f t="shared" si="2"/>
        <v>0</v>
      </c>
      <c r="K1898" s="84" t="str">
        <f t="shared" si="3"/>
        <v>Stabil</v>
      </c>
      <c r="L1898" s="84">
        <f t="shared" si="4"/>
        <v>0</v>
      </c>
      <c r="M1898" s="88" t="str">
        <f t="shared" si="5"/>
        <v>Perubahan Normal</v>
      </c>
    </row>
    <row r="1899" ht="18.75" customHeight="1">
      <c r="A1899" s="80" t="s">
        <v>492</v>
      </c>
      <c r="B1899" s="81" t="str">
        <f t="shared" si="1"/>
        <v>Kota Cilegon</v>
      </c>
      <c r="C1899" s="81" t="str">
        <f t="array" ref="C1899">XLOOKUP(B1899,Reference!$A$2:$A$152,Reference!$B$2:$B$152)</f>
        <v>Banten</v>
      </c>
      <c r="D1899" s="82" t="s">
        <v>2338</v>
      </c>
      <c r="E1899" s="83">
        <v>45323.0</v>
      </c>
      <c r="F1899" s="84" t="str">
        <f t="array" ref="F1899">XLOOKUP(G1899,Reference!$F:$F,Reference!$D:$D,"null")</f>
        <v>Pendidikan dan Kesehatan</v>
      </c>
      <c r="G1899" s="89" t="s">
        <v>95</v>
      </c>
      <c r="H1899" s="90">
        <v>103.75</v>
      </c>
      <c r="I1899" s="90">
        <v>103.75</v>
      </c>
      <c r="J1899" s="87">
        <f t="shared" si="2"/>
        <v>0</v>
      </c>
      <c r="K1899" s="84" t="str">
        <f t="shared" si="3"/>
        <v>Stabil</v>
      </c>
      <c r="L1899" s="91">
        <f t="shared" si="4"/>
        <v>0</v>
      </c>
      <c r="M1899" s="88" t="str">
        <f t="shared" si="5"/>
        <v>Perubahan Normal</v>
      </c>
    </row>
    <row r="1900" ht="18.75" customHeight="1">
      <c r="A1900" s="80" t="s">
        <v>456</v>
      </c>
      <c r="B1900" s="81" t="str">
        <f t="shared" si="1"/>
        <v>Kab Aceh Tamiang</v>
      </c>
      <c r="C1900" s="81" t="str">
        <f t="array" ref="C1900">XLOOKUP(B1900,Reference!$A$2:$A$152,Reference!$B$2:$B$152)</f>
        <v>Aceh</v>
      </c>
      <c r="D1900" s="82" t="s">
        <v>2339</v>
      </c>
      <c r="E1900" s="83">
        <v>45352.0</v>
      </c>
      <c r="F1900" s="84" t="str">
        <f t="array" ref="F1900">XLOOKUP(G1900,Reference!$F:$F,Reference!$D:$D,"null")</f>
        <v>Makanan dan Pakaian </v>
      </c>
      <c r="G1900" s="85" t="s">
        <v>56</v>
      </c>
      <c r="H1900" s="86">
        <v>106.09</v>
      </c>
      <c r="I1900" s="86">
        <v>106.5</v>
      </c>
      <c r="J1900" s="87">
        <f t="shared" si="2"/>
        <v>-0.3849765258</v>
      </c>
      <c r="K1900" s="84" t="str">
        <f t="shared" si="3"/>
        <v>Deflasi</v>
      </c>
      <c r="L1900" s="84">
        <f t="shared" si="4"/>
        <v>-0.41</v>
      </c>
      <c r="M1900" s="88" t="str">
        <f t="shared" si="5"/>
        <v>Perubahan Normal</v>
      </c>
    </row>
    <row r="1901" ht="18.75" customHeight="1">
      <c r="A1901" s="80" t="s">
        <v>740</v>
      </c>
      <c r="B1901" s="81" t="str">
        <f t="shared" si="1"/>
        <v>Kota Gunungsitoli</v>
      </c>
      <c r="C1901" s="81" t="str">
        <f t="array" ref="C1901">XLOOKUP(B1901,Reference!$A$2:$A$152,Reference!$B$2:$B$152)</f>
        <v>Sumatera Utara</v>
      </c>
      <c r="D1901" s="82" t="s">
        <v>2340</v>
      </c>
      <c r="E1901" s="83">
        <v>45352.0</v>
      </c>
      <c r="F1901" s="84" t="str">
        <f t="array" ref="F1901">XLOOKUP(G1901,Reference!$F:$F,Reference!$D:$D,"null")</f>
        <v>Rumah Tangga</v>
      </c>
      <c r="G1901" s="85" t="s">
        <v>89</v>
      </c>
      <c r="H1901" s="86">
        <v>99.89</v>
      </c>
      <c r="I1901" s="86">
        <v>100.27</v>
      </c>
      <c r="J1901" s="87">
        <f t="shared" si="2"/>
        <v>-0.3789767627</v>
      </c>
      <c r="K1901" s="84" t="str">
        <f t="shared" si="3"/>
        <v>Deflasi</v>
      </c>
      <c r="L1901" s="84">
        <f t="shared" si="4"/>
        <v>-0.38</v>
      </c>
      <c r="M1901" s="88" t="str">
        <f t="shared" si="5"/>
        <v>Perubahan Normal</v>
      </c>
    </row>
    <row r="1902" ht="18.75" customHeight="1">
      <c r="A1902" s="80" t="s">
        <v>672</v>
      </c>
      <c r="B1902" s="81" t="str">
        <f t="shared" si="1"/>
        <v>Kab Ogan Komering Ilir</v>
      </c>
      <c r="C1902" s="81" t="str">
        <f t="array" ref="C1902">XLOOKUP(B1902,Reference!$A$2:$A$152,Reference!$B$2:$B$152)</f>
        <v>Sumatera Selatan</v>
      </c>
      <c r="D1902" s="82" t="s">
        <v>2341</v>
      </c>
      <c r="E1902" s="83">
        <v>45352.0</v>
      </c>
      <c r="F1902" s="84" t="str">
        <f t="array" ref="F1902">XLOOKUP(G1902,Reference!$F:$F,Reference!$D:$D,"null")</f>
        <v>Rumah Tangga</v>
      </c>
      <c r="G1902" s="85" t="s">
        <v>80</v>
      </c>
      <c r="H1902" s="86">
        <v>100.05</v>
      </c>
      <c r="I1902" s="86">
        <v>100.05</v>
      </c>
      <c r="J1902" s="87">
        <f t="shared" si="2"/>
        <v>0</v>
      </c>
      <c r="K1902" s="84" t="str">
        <f t="shared" si="3"/>
        <v>Stabil</v>
      </c>
      <c r="L1902" s="84">
        <f t="shared" si="4"/>
        <v>0</v>
      </c>
      <c r="M1902" s="88" t="str">
        <f t="shared" si="5"/>
        <v>Perubahan Normal</v>
      </c>
    </row>
    <row r="1903" ht="18.75" customHeight="1">
      <c r="A1903" s="80" t="s">
        <v>680</v>
      </c>
      <c r="B1903" s="81" t="str">
        <f t="shared" si="1"/>
        <v>Kota Pekanbaru</v>
      </c>
      <c r="C1903" s="81" t="str">
        <f t="array" ref="C1903">XLOOKUP(B1903,Reference!$A$2:$A$152,Reference!$B$2:$B$152)</f>
        <v>Riau</v>
      </c>
      <c r="D1903" s="82" t="s">
        <v>2342</v>
      </c>
      <c r="E1903" s="83">
        <v>45352.0</v>
      </c>
      <c r="F1903" s="84" t="str">
        <f t="array" ref="F1903">XLOOKUP(G1903,Reference!$F:$F,Reference!$D:$D,"null")</f>
        <v>Rumah Tangga</v>
      </c>
      <c r="G1903" s="85" t="s">
        <v>80</v>
      </c>
      <c r="H1903" s="86">
        <v>103.11</v>
      </c>
      <c r="I1903" s="86">
        <v>103.11</v>
      </c>
      <c r="J1903" s="87">
        <f t="shared" si="2"/>
        <v>0</v>
      </c>
      <c r="K1903" s="84" t="str">
        <f t="shared" si="3"/>
        <v>Stabil</v>
      </c>
      <c r="L1903" s="84">
        <f t="shared" si="4"/>
        <v>0</v>
      </c>
      <c r="M1903" s="88" t="str">
        <f t="shared" si="5"/>
        <v>Perubahan Normal</v>
      </c>
    </row>
    <row r="1904" ht="18.75" customHeight="1">
      <c r="A1904" s="80" t="s">
        <v>490</v>
      </c>
      <c r="B1904" s="81" t="str">
        <f t="shared" si="1"/>
        <v>Kab Kerinci</v>
      </c>
      <c r="C1904" s="81" t="str">
        <f t="array" ref="C1904">XLOOKUP(B1904,Reference!$A$2:$A$152,Reference!$B$2:$B$152)</f>
        <v>Jambi</v>
      </c>
      <c r="D1904" s="82" t="s">
        <v>2343</v>
      </c>
      <c r="E1904" s="83">
        <v>45323.0</v>
      </c>
      <c r="F1904" s="84" t="str">
        <f t="array" ref="F1904">XLOOKUP(G1904,Reference!$F:$F,Reference!$D:$D,"null")</f>
        <v>Rumah Tangga</v>
      </c>
      <c r="G1904" s="89" t="s">
        <v>89</v>
      </c>
      <c r="H1904" s="90">
        <v>108.98</v>
      </c>
      <c r="I1904" s="90">
        <v>108.98</v>
      </c>
      <c r="J1904" s="87">
        <f t="shared" si="2"/>
        <v>0</v>
      </c>
      <c r="K1904" s="84" t="str">
        <f t="shared" si="3"/>
        <v>Stabil</v>
      </c>
      <c r="L1904" s="91">
        <f t="shared" si="4"/>
        <v>0</v>
      </c>
      <c r="M1904" s="88" t="str">
        <f t="shared" si="5"/>
        <v>Perubahan Normal</v>
      </c>
    </row>
    <row r="1905" ht="18.75" customHeight="1">
      <c r="A1905" s="80" t="s">
        <v>384</v>
      </c>
      <c r="B1905" s="81" t="str">
        <f t="shared" si="1"/>
        <v>Kab Lebak</v>
      </c>
      <c r="C1905" s="81" t="str">
        <f t="array" ref="C1905">XLOOKUP(B1905,Reference!$A$2:$A$152,Reference!$B$2:$B$152)</f>
        <v>Banten</v>
      </c>
      <c r="D1905" s="82" t="s">
        <v>2344</v>
      </c>
      <c r="E1905" s="83">
        <v>45323.0</v>
      </c>
      <c r="F1905" s="84" t="str">
        <f t="array" ref="F1905">XLOOKUP(G1905,Reference!$F:$F,Reference!$D:$D,"null")</f>
        <v>Rekreasi dan Kendaraan</v>
      </c>
      <c r="G1905" s="85" t="s">
        <v>102</v>
      </c>
      <c r="H1905" s="86">
        <v>101.93</v>
      </c>
      <c r="I1905" s="86">
        <v>101.93</v>
      </c>
      <c r="J1905" s="87">
        <f t="shared" si="2"/>
        <v>0</v>
      </c>
      <c r="K1905" s="84" t="str">
        <f t="shared" si="3"/>
        <v>Stabil</v>
      </c>
      <c r="L1905" s="84">
        <f t="shared" si="4"/>
        <v>0</v>
      </c>
      <c r="M1905" s="88" t="str">
        <f t="shared" si="5"/>
        <v>Perubahan Normal</v>
      </c>
    </row>
    <row r="1906" ht="18.75" customHeight="1">
      <c r="A1906" s="80" t="s">
        <v>450</v>
      </c>
      <c r="B1906" s="81" t="str">
        <f t="shared" si="1"/>
        <v>Waingapu</v>
      </c>
      <c r="C1906" s="81" t="str">
        <f t="array" ref="C1906">XLOOKUP(B1906,Reference!$A$2:$A$152,Reference!$B$2:$B$152)</f>
        <v>Nusa Tenggara Timur (NTT)</v>
      </c>
      <c r="D1906" s="82" t="s">
        <v>2345</v>
      </c>
      <c r="E1906" s="83">
        <v>45352.0</v>
      </c>
      <c r="F1906" s="84" t="str">
        <f t="array" ref="F1906">XLOOKUP(G1906,Reference!$F:$F,Reference!$D:$D,"null")</f>
        <v>Makanan dan Pakaian </v>
      </c>
      <c r="G1906" s="85" t="s">
        <v>72</v>
      </c>
      <c r="H1906" s="86">
        <v>100.23</v>
      </c>
      <c r="I1906" s="86">
        <v>100.21</v>
      </c>
      <c r="J1906" s="87">
        <f t="shared" si="2"/>
        <v>0.01995808802</v>
      </c>
      <c r="K1906" s="84" t="str">
        <f t="shared" si="3"/>
        <v>Inflasi Normal</v>
      </c>
      <c r="L1906" s="84">
        <f t="shared" si="4"/>
        <v>0.02</v>
      </c>
      <c r="M1906" s="88" t="str">
        <f t="shared" si="5"/>
        <v>Perubahan Normal</v>
      </c>
    </row>
    <row r="1907" ht="18.75" customHeight="1">
      <c r="A1907" s="80" t="s">
        <v>306</v>
      </c>
      <c r="B1907" s="81" t="str">
        <f t="shared" si="1"/>
        <v>Kota Padang</v>
      </c>
      <c r="C1907" s="81" t="str">
        <f t="array" ref="C1907">XLOOKUP(B1907,Reference!$A$2:$A$152,Reference!$B$2:$B$152)</f>
        <v>Sumatera Barat</v>
      </c>
      <c r="D1907" s="82" t="s">
        <v>2346</v>
      </c>
      <c r="E1907" s="83">
        <v>45352.0</v>
      </c>
      <c r="F1907" s="84" t="str">
        <f t="array" ref="F1907">XLOOKUP(G1907,Reference!$F:$F,Reference!$D:$D,"null")</f>
        <v>Rumah Tangga</v>
      </c>
      <c r="G1907" s="85" t="s">
        <v>89</v>
      </c>
      <c r="H1907" s="86">
        <v>105.77</v>
      </c>
      <c r="I1907" s="86">
        <v>105.77</v>
      </c>
      <c r="J1907" s="87">
        <f t="shared" si="2"/>
        <v>0</v>
      </c>
      <c r="K1907" s="84" t="str">
        <f t="shared" si="3"/>
        <v>Stabil</v>
      </c>
      <c r="L1907" s="84">
        <f t="shared" si="4"/>
        <v>0</v>
      </c>
      <c r="M1907" s="88" t="str">
        <f t="shared" si="5"/>
        <v>Perubahan Normal</v>
      </c>
    </row>
    <row r="1908" ht="18.75" customHeight="1">
      <c r="A1908" s="80" t="s">
        <v>492</v>
      </c>
      <c r="B1908" s="81" t="str">
        <f t="shared" si="1"/>
        <v>Kota Cilegon</v>
      </c>
      <c r="C1908" s="81" t="str">
        <f t="array" ref="C1908">XLOOKUP(B1908,Reference!$A$2:$A$152,Reference!$B$2:$B$152)</f>
        <v>Banten</v>
      </c>
      <c r="D1908" s="82" t="s">
        <v>2347</v>
      </c>
      <c r="E1908" s="83">
        <v>45352.0</v>
      </c>
      <c r="F1908" s="84" t="str">
        <f t="array" ref="F1908">XLOOKUP(G1908,Reference!$F:$F,Reference!$D:$D,"null")</f>
        <v>Rumah Tangga</v>
      </c>
      <c r="G1908" s="85" t="s">
        <v>84</v>
      </c>
      <c r="H1908" s="86">
        <v>100.34</v>
      </c>
      <c r="I1908" s="86">
        <v>100.34</v>
      </c>
      <c r="J1908" s="87">
        <f t="shared" si="2"/>
        <v>0</v>
      </c>
      <c r="K1908" s="84" t="str">
        <f t="shared" si="3"/>
        <v>Stabil</v>
      </c>
      <c r="L1908" s="84">
        <f t="shared" si="4"/>
        <v>0</v>
      </c>
      <c r="M1908" s="88" t="str">
        <f t="shared" si="5"/>
        <v>Perubahan Normal</v>
      </c>
    </row>
    <row r="1909" ht="18.75" customHeight="1">
      <c r="A1909" s="80" t="s">
        <v>822</v>
      </c>
      <c r="B1909" s="81" t="str">
        <f t="shared" si="1"/>
        <v>Kota Pontianak</v>
      </c>
      <c r="C1909" s="81" t="str">
        <f t="array" ref="C1909">XLOOKUP(B1909,Reference!$A$2:$A$152,Reference!$B$2:$B$152)</f>
        <v>Kalimantan Barat</v>
      </c>
      <c r="D1909" s="82" t="s">
        <v>2348</v>
      </c>
      <c r="E1909" s="83">
        <v>45352.0</v>
      </c>
      <c r="F1909" s="84" t="str">
        <f t="array" ref="F1909">XLOOKUP(G1909,Reference!$F:$F,Reference!$D:$D,"null")</f>
        <v>Rumah Tangga</v>
      </c>
      <c r="G1909" s="85" t="s">
        <v>80</v>
      </c>
      <c r="H1909" s="86">
        <v>101.55</v>
      </c>
      <c r="I1909" s="86">
        <v>101.55</v>
      </c>
      <c r="J1909" s="87">
        <f t="shared" si="2"/>
        <v>0</v>
      </c>
      <c r="K1909" s="84" t="str">
        <f t="shared" si="3"/>
        <v>Stabil</v>
      </c>
      <c r="L1909" s="84">
        <f t="shared" si="4"/>
        <v>0</v>
      </c>
      <c r="M1909" s="88" t="str">
        <f t="shared" si="5"/>
        <v>Perubahan Normal</v>
      </c>
    </row>
    <row r="1910" ht="18.75" customHeight="1">
      <c r="A1910" s="80" t="s">
        <v>431</v>
      </c>
      <c r="B1910" s="81" t="str">
        <f t="shared" si="1"/>
        <v>Kota Ternate</v>
      </c>
      <c r="C1910" s="81" t="str">
        <f t="array" ref="C1910">XLOOKUP(B1910,Reference!$A$2:$A$152,Reference!$B$2:$B$152)</f>
        <v>Maluku Utara</v>
      </c>
      <c r="D1910" s="82" t="s">
        <v>2349</v>
      </c>
      <c r="E1910" s="83">
        <v>45352.0</v>
      </c>
      <c r="F1910" s="84" t="str">
        <f t="array" ref="F1910">XLOOKUP(G1910,Reference!$F:$F,Reference!$D:$D,"null")</f>
        <v>Rumah Tangga</v>
      </c>
      <c r="G1910" s="89" t="s">
        <v>80</v>
      </c>
      <c r="H1910" s="90">
        <v>100.49</v>
      </c>
      <c r="I1910" s="90">
        <v>100.49</v>
      </c>
      <c r="J1910" s="87">
        <f t="shared" si="2"/>
        <v>0</v>
      </c>
      <c r="K1910" s="84" t="str">
        <f t="shared" si="3"/>
        <v>Stabil</v>
      </c>
      <c r="L1910" s="91">
        <f t="shared" si="4"/>
        <v>0</v>
      </c>
      <c r="M1910" s="88" t="str">
        <f t="shared" si="5"/>
        <v>Perubahan Normal</v>
      </c>
    </row>
    <row r="1911" ht="18.75" customHeight="1">
      <c r="A1911" s="80" t="s">
        <v>762</v>
      </c>
      <c r="B1911" s="81" t="str">
        <f t="shared" si="1"/>
        <v>Kota Pangkal Pinang</v>
      </c>
      <c r="C1911" s="81" t="str">
        <f t="array" ref="C1911">XLOOKUP(B1911,Reference!$A$2:$A$152,Reference!$B$2:$B$152)</f>
        <v>Kepulauan Bangka Belitung</v>
      </c>
      <c r="D1911" s="82" t="s">
        <v>2350</v>
      </c>
      <c r="E1911" s="83">
        <v>45352.0</v>
      </c>
      <c r="F1911" s="84" t="str">
        <f t="array" ref="F1911">XLOOKUP(G1911,Reference!$F:$F,Reference!$D:$D,"null")</f>
        <v>Makanan dan Pakaian </v>
      </c>
      <c r="G1911" s="85" t="s">
        <v>48</v>
      </c>
      <c r="H1911" s="86">
        <v>107.37</v>
      </c>
      <c r="I1911" s="86">
        <v>106.46</v>
      </c>
      <c r="J1911" s="87">
        <f t="shared" si="2"/>
        <v>0.8547811385</v>
      </c>
      <c r="K1911" s="84" t="str">
        <f t="shared" si="3"/>
        <v>Inflasi Tinggi</v>
      </c>
      <c r="L1911" s="84">
        <f t="shared" si="4"/>
        <v>0.91</v>
      </c>
      <c r="M1911" s="88" t="str">
        <f t="shared" si="5"/>
        <v>Akselerasi Persentase</v>
      </c>
    </row>
    <row r="1912" ht="18.75" customHeight="1">
      <c r="A1912" s="80" t="s">
        <v>606</v>
      </c>
      <c r="B1912" s="81" t="str">
        <f t="shared" si="1"/>
        <v>Kota Pare Pare</v>
      </c>
      <c r="C1912" s="81" t="str">
        <f t="array" ref="C1912">XLOOKUP(B1912,Reference!$A$2:$A$152,Reference!$B$2:$B$152)</f>
        <v>Sulawesi Selatan</v>
      </c>
      <c r="D1912" s="82" t="s">
        <v>2351</v>
      </c>
      <c r="E1912" s="83">
        <v>45352.0</v>
      </c>
      <c r="F1912" s="84" t="str">
        <f t="array" ref="F1912">XLOOKUP(G1912,Reference!$F:$F,Reference!$D:$D,"null")</f>
        <v>Rekreasi dan Kendaraan</v>
      </c>
      <c r="G1912" s="85" t="s">
        <v>102</v>
      </c>
      <c r="H1912" s="86">
        <v>102.89</v>
      </c>
      <c r="I1912" s="86">
        <v>102.89</v>
      </c>
      <c r="J1912" s="87">
        <f t="shared" si="2"/>
        <v>0</v>
      </c>
      <c r="K1912" s="84" t="str">
        <f t="shared" si="3"/>
        <v>Stabil</v>
      </c>
      <c r="L1912" s="84">
        <f t="shared" si="4"/>
        <v>0</v>
      </c>
      <c r="M1912" s="88" t="str">
        <f t="shared" si="5"/>
        <v>Perubahan Normal</v>
      </c>
    </row>
    <row r="1913" ht="18.75" customHeight="1">
      <c r="A1913" s="80" t="s">
        <v>488</v>
      </c>
      <c r="B1913" s="81" t="str">
        <f t="shared" si="1"/>
        <v>Kab Muko Muko</v>
      </c>
      <c r="C1913" s="81" t="str">
        <f t="array" ref="C1913">XLOOKUP(B1913,Reference!$A$2:$A$152,Reference!$B$2:$B$152)</f>
        <v>Bengkulu</v>
      </c>
      <c r="D1913" s="82" t="s">
        <v>2352</v>
      </c>
      <c r="E1913" s="83">
        <v>45323.0</v>
      </c>
      <c r="F1913" s="84" t="str">
        <f t="array" ref="F1913">XLOOKUP(G1913,Reference!$F:$F,Reference!$D:$D,"null")</f>
        <v>Pendidikan dan Kesehatan</v>
      </c>
      <c r="G1913" s="85" t="s">
        <v>95</v>
      </c>
      <c r="H1913" s="86">
        <v>103.87</v>
      </c>
      <c r="I1913" s="86">
        <v>103.87</v>
      </c>
      <c r="J1913" s="87">
        <f t="shared" si="2"/>
        <v>0</v>
      </c>
      <c r="K1913" s="84" t="str">
        <f t="shared" si="3"/>
        <v>Stabil</v>
      </c>
      <c r="L1913" s="84">
        <f t="shared" si="4"/>
        <v>0</v>
      </c>
      <c r="M1913" s="88" t="str">
        <f t="shared" si="5"/>
        <v>Perubahan Normal</v>
      </c>
    </row>
    <row r="1914" ht="18.75" customHeight="1">
      <c r="A1914" s="80" t="s">
        <v>488</v>
      </c>
      <c r="B1914" s="81" t="str">
        <f t="shared" si="1"/>
        <v>Kab Muko Muko</v>
      </c>
      <c r="C1914" s="81" t="str">
        <f t="array" ref="C1914">XLOOKUP(B1914,Reference!$A$2:$A$152,Reference!$B$2:$B$152)</f>
        <v>Bengkulu</v>
      </c>
      <c r="D1914" s="82" t="s">
        <v>2353</v>
      </c>
      <c r="E1914" s="83">
        <v>45352.0</v>
      </c>
      <c r="F1914" s="84" t="str">
        <f t="array" ref="F1914">XLOOKUP(G1914,Reference!$F:$F,Reference!$D:$D,"null")</f>
        <v>Rumah Tangga</v>
      </c>
      <c r="G1914" s="85" t="s">
        <v>89</v>
      </c>
      <c r="H1914" s="86">
        <v>124.19</v>
      </c>
      <c r="I1914" s="86">
        <v>122.67</v>
      </c>
      <c r="J1914" s="87">
        <f t="shared" si="2"/>
        <v>1.239096764</v>
      </c>
      <c r="K1914" s="84" t="str">
        <f t="shared" si="3"/>
        <v>Inflasi Tinggi</v>
      </c>
      <c r="L1914" s="84">
        <f t="shared" si="4"/>
        <v>1.52</v>
      </c>
      <c r="M1914" s="88" t="str">
        <f t="shared" si="5"/>
        <v>Akselerasi Persentase</v>
      </c>
    </row>
    <row r="1915" ht="18.75" customHeight="1">
      <c r="A1915" s="80" t="s">
        <v>320</v>
      </c>
      <c r="B1915" s="81" t="str">
        <f t="shared" si="1"/>
        <v>Kota Manado</v>
      </c>
      <c r="C1915" s="81" t="str">
        <f t="array" ref="C1915">XLOOKUP(B1915,Reference!$A$2:$A$152,Reference!$B$2:$B$152)</f>
        <v>Sulawesi Utara</v>
      </c>
      <c r="D1915" s="82" t="s">
        <v>2354</v>
      </c>
      <c r="E1915" s="83">
        <v>45323.0</v>
      </c>
      <c r="F1915" s="84" t="str">
        <f t="array" ref="F1915">XLOOKUP(G1915,Reference!$F:$F,Reference!$D:$D,"null")</f>
        <v>Makanan dan Pakaian </v>
      </c>
      <c r="G1915" s="85" t="s">
        <v>56</v>
      </c>
      <c r="H1915" s="86">
        <v>101.85</v>
      </c>
      <c r="I1915" s="86">
        <v>101.79</v>
      </c>
      <c r="J1915" s="87">
        <f t="shared" si="2"/>
        <v>0.05894488653</v>
      </c>
      <c r="K1915" s="84" t="str">
        <f t="shared" si="3"/>
        <v>Inflasi Normal</v>
      </c>
      <c r="L1915" s="84">
        <f t="shared" si="4"/>
        <v>0.06</v>
      </c>
      <c r="M1915" s="88" t="str">
        <f t="shared" si="5"/>
        <v>Perubahan Normal</v>
      </c>
    </row>
    <row r="1916" ht="18.75" customHeight="1">
      <c r="A1916" s="80" t="s">
        <v>806</v>
      </c>
      <c r="B1916" s="81" t="str">
        <f t="shared" si="1"/>
        <v>Kab Subang</v>
      </c>
      <c r="C1916" s="81" t="str">
        <f t="array" ref="C1916">XLOOKUP(B1916,Reference!$A$2:$A$152,Reference!$B$2:$B$152)</f>
        <v>Jawa Barat</v>
      </c>
      <c r="D1916" s="82" t="s">
        <v>2355</v>
      </c>
      <c r="E1916" s="83">
        <v>45352.0</v>
      </c>
      <c r="F1916" s="84" t="str">
        <f t="array" ref="F1916">XLOOKUP(G1916,Reference!$F:$F,Reference!$D:$D,"null")</f>
        <v>Rekreasi dan Kendaraan</v>
      </c>
      <c r="G1916" s="85" t="s">
        <v>102</v>
      </c>
      <c r="H1916" s="86">
        <v>110.78</v>
      </c>
      <c r="I1916" s="86">
        <v>110.78</v>
      </c>
      <c r="J1916" s="87">
        <f t="shared" si="2"/>
        <v>0</v>
      </c>
      <c r="K1916" s="84" t="str">
        <f t="shared" si="3"/>
        <v>Stabil</v>
      </c>
      <c r="L1916" s="84">
        <f t="shared" si="4"/>
        <v>0</v>
      </c>
      <c r="M1916" s="88" t="str">
        <f t="shared" si="5"/>
        <v>Perubahan Normal</v>
      </c>
    </row>
    <row r="1917" ht="18.75" customHeight="1">
      <c r="A1917" s="80" t="s">
        <v>658</v>
      </c>
      <c r="B1917" s="81" t="str">
        <f t="shared" si="1"/>
        <v>Kota Mataram</v>
      </c>
      <c r="C1917" s="81" t="str">
        <f t="array" ref="C1917">XLOOKUP(B1917,Reference!$A$2:$A$152,Reference!$B$2:$B$152)</f>
        <v>Nusa Tenggara Barat (NTB)</v>
      </c>
      <c r="D1917" s="82" t="s">
        <v>2356</v>
      </c>
      <c r="E1917" s="83">
        <v>45323.0</v>
      </c>
      <c r="F1917" s="84" t="str">
        <f t="array" ref="F1917">XLOOKUP(G1917,Reference!$F:$F,Reference!$D:$D,"null")</f>
        <v>Pendidikan dan Kesehatan</v>
      </c>
      <c r="G1917" s="85" t="s">
        <v>95</v>
      </c>
      <c r="H1917" s="86">
        <v>102.75</v>
      </c>
      <c r="I1917" s="86">
        <v>102.75</v>
      </c>
      <c r="J1917" s="87">
        <f t="shared" si="2"/>
        <v>0</v>
      </c>
      <c r="K1917" s="84" t="str">
        <f t="shared" si="3"/>
        <v>Stabil</v>
      </c>
      <c r="L1917" s="84">
        <f t="shared" si="4"/>
        <v>0</v>
      </c>
      <c r="M1917" s="88" t="str">
        <f t="shared" si="5"/>
        <v>Perubahan Normal</v>
      </c>
    </row>
    <row r="1918" ht="18.75" customHeight="1">
      <c r="A1918" s="80" t="s">
        <v>512</v>
      </c>
      <c r="B1918" s="81" t="str">
        <f t="shared" si="1"/>
        <v>Kota Palu</v>
      </c>
      <c r="C1918" s="81" t="str">
        <f t="array" ref="C1918">XLOOKUP(B1918,Reference!$A$2:$A$152,Reference!$B$2:$B$152)</f>
        <v>Sulawesi Tengah</v>
      </c>
      <c r="D1918" s="82" t="s">
        <v>2357</v>
      </c>
      <c r="E1918" s="83">
        <v>45323.0</v>
      </c>
      <c r="F1918" s="84" t="str">
        <f t="array" ref="F1918">XLOOKUP(G1918,Reference!$F:$F,Reference!$D:$D,"null")</f>
        <v>Rumah Tangga</v>
      </c>
      <c r="G1918" s="85" t="s">
        <v>84</v>
      </c>
      <c r="H1918" s="86">
        <v>100.24</v>
      </c>
      <c r="I1918" s="86">
        <v>100.24</v>
      </c>
      <c r="J1918" s="87">
        <f t="shared" si="2"/>
        <v>0</v>
      </c>
      <c r="K1918" s="84" t="str">
        <f t="shared" si="3"/>
        <v>Stabil</v>
      </c>
      <c r="L1918" s="84">
        <f t="shared" si="4"/>
        <v>0</v>
      </c>
      <c r="M1918" s="88" t="str">
        <f t="shared" si="5"/>
        <v>Perubahan Normal</v>
      </c>
    </row>
    <row r="1919" ht="18.75" customHeight="1">
      <c r="A1919" s="80" t="s">
        <v>1282</v>
      </c>
      <c r="B1919" s="81" t="str">
        <f t="shared" si="1"/>
        <v>Kota Bima</v>
      </c>
      <c r="C1919" s="81" t="str">
        <f t="array" ref="C1919">XLOOKUP(B1919,Reference!$A$2:$A$152,Reference!$B$2:$B$152)</f>
        <v>Nusa Tenggara Barat (NTB)</v>
      </c>
      <c r="D1919" s="82" t="s">
        <v>2358</v>
      </c>
      <c r="E1919" s="83">
        <v>45323.0</v>
      </c>
      <c r="F1919" s="84" t="str">
        <f t="array" ref="F1919">XLOOKUP(G1919,Reference!$F:$F,Reference!$D:$D,"null")</f>
        <v>Makanan dan Pakaian </v>
      </c>
      <c r="G1919" s="89" t="s">
        <v>72</v>
      </c>
      <c r="H1919" s="90">
        <v>102.38</v>
      </c>
      <c r="I1919" s="90">
        <v>102.38</v>
      </c>
      <c r="J1919" s="87">
        <f t="shared" si="2"/>
        <v>0</v>
      </c>
      <c r="K1919" s="84" t="str">
        <f t="shared" si="3"/>
        <v>Stabil</v>
      </c>
      <c r="L1919" s="91">
        <f t="shared" si="4"/>
        <v>0</v>
      </c>
      <c r="M1919" s="88" t="str">
        <f t="shared" si="5"/>
        <v>Perubahan Normal</v>
      </c>
    </row>
    <row r="1920" ht="18.75" customHeight="1">
      <c r="A1920" s="80" t="s">
        <v>573</v>
      </c>
      <c r="B1920" s="81" t="str">
        <f t="shared" si="1"/>
        <v>Kota Palangkaraya</v>
      </c>
      <c r="C1920" s="81" t="str">
        <f t="array" ref="C1920">XLOOKUP(B1920,Reference!$A$2:$A$152,Reference!$B$2:$B$152)</f>
        <v>Kalimantan Tengah</v>
      </c>
      <c r="D1920" s="82" t="s">
        <v>2359</v>
      </c>
      <c r="E1920" s="83">
        <v>45323.0</v>
      </c>
      <c r="F1920" s="84" t="str">
        <f t="array" ref="F1920">XLOOKUP(G1920,Reference!$F:$F,Reference!$D:$D,"null")</f>
        <v>Rumah Tangga</v>
      </c>
      <c r="G1920" s="85" t="s">
        <v>80</v>
      </c>
      <c r="H1920" s="86">
        <v>101.05</v>
      </c>
      <c r="I1920" s="86">
        <v>101.05</v>
      </c>
      <c r="J1920" s="87">
        <f t="shared" si="2"/>
        <v>0</v>
      </c>
      <c r="K1920" s="84" t="str">
        <f t="shared" si="3"/>
        <v>Stabil</v>
      </c>
      <c r="L1920" s="84">
        <f t="shared" si="4"/>
        <v>0</v>
      </c>
      <c r="M1920" s="88" t="str">
        <f t="shared" si="5"/>
        <v>Perubahan Normal</v>
      </c>
    </row>
    <row r="1921" ht="18.75" customHeight="1">
      <c r="A1921" s="80" t="s">
        <v>598</v>
      </c>
      <c r="B1921" s="81" t="str">
        <f t="shared" si="1"/>
        <v>Kota Surakarta</v>
      </c>
      <c r="C1921" s="81" t="str">
        <f t="array" ref="C1921">XLOOKUP(B1921,Reference!$A$2:$A$152,Reference!$B$2:$B$152)</f>
        <v>Jawa Tengah</v>
      </c>
      <c r="D1921" s="82" t="s">
        <v>2360</v>
      </c>
      <c r="E1921" s="83">
        <v>45323.0</v>
      </c>
      <c r="F1921" s="84" t="str">
        <f t="array" ref="F1921">XLOOKUP(G1921,Reference!$F:$F,Reference!$D:$D,"null")</f>
        <v>Makanan dan Pakaian </v>
      </c>
      <c r="G1921" s="89" t="s">
        <v>56</v>
      </c>
      <c r="H1921" s="90">
        <v>108.93</v>
      </c>
      <c r="I1921" s="90">
        <v>108.65</v>
      </c>
      <c r="J1921" s="87">
        <f t="shared" si="2"/>
        <v>0.2577082375</v>
      </c>
      <c r="K1921" s="84" t="str">
        <f t="shared" si="3"/>
        <v>Inflasi Normal</v>
      </c>
      <c r="L1921" s="91">
        <f t="shared" si="4"/>
        <v>0.28</v>
      </c>
      <c r="M1921" s="88" t="str">
        <f t="shared" si="5"/>
        <v>Perubahan Normal</v>
      </c>
    </row>
    <row r="1922" ht="18.75" customHeight="1">
      <c r="A1922" s="80" t="s">
        <v>393</v>
      </c>
      <c r="B1922" s="81" t="str">
        <f t="shared" si="1"/>
        <v>Kab Sumbawa</v>
      </c>
      <c r="C1922" s="81" t="str">
        <f t="array" ref="C1922">XLOOKUP(B1922,Reference!$A$2:$A$152,Reference!$B$2:$B$152)</f>
        <v>Nusa Tenggara Barat (NTB)</v>
      </c>
      <c r="D1922" s="82" t="s">
        <v>2361</v>
      </c>
      <c r="E1922" s="83">
        <v>45352.0</v>
      </c>
      <c r="F1922" s="84" t="str">
        <f t="array" ref="F1922">XLOOKUP(G1922,Reference!$F:$F,Reference!$D:$D,"null")</f>
        <v>Makanan dan Pakaian </v>
      </c>
      <c r="G1922" s="89" t="s">
        <v>64</v>
      </c>
      <c r="H1922" s="90">
        <v>106.64</v>
      </c>
      <c r="I1922" s="90">
        <v>106.64</v>
      </c>
      <c r="J1922" s="87">
        <f t="shared" si="2"/>
        <v>0</v>
      </c>
      <c r="K1922" s="84" t="str">
        <f t="shared" si="3"/>
        <v>Stabil</v>
      </c>
      <c r="L1922" s="91">
        <f t="shared" si="4"/>
        <v>0</v>
      </c>
      <c r="M1922" s="88" t="str">
        <f t="shared" si="5"/>
        <v>Perubahan Normal</v>
      </c>
    </row>
    <row r="1923" ht="18.75" customHeight="1">
      <c r="A1923" s="80" t="s">
        <v>312</v>
      </c>
      <c r="B1923" s="81" t="str">
        <f t="shared" si="1"/>
        <v>Kab Jayawijaya</v>
      </c>
      <c r="C1923" s="81" t="str">
        <f t="array" ref="C1923">XLOOKUP(B1923,Reference!$A$2:$A$152,Reference!$B$2:$B$152)</f>
        <v>Papua</v>
      </c>
      <c r="D1923" s="82" t="s">
        <v>2362</v>
      </c>
      <c r="E1923" s="83">
        <v>45352.0</v>
      </c>
      <c r="F1923" s="84" t="str">
        <f t="array" ref="F1923">XLOOKUP(G1923,Reference!$F:$F,Reference!$D:$D,"null")</f>
        <v>Makanan dan Pakaian </v>
      </c>
      <c r="G1923" s="85" t="s">
        <v>48</v>
      </c>
      <c r="H1923" s="86">
        <v>111.85</v>
      </c>
      <c r="I1923" s="86">
        <v>111.74</v>
      </c>
      <c r="J1923" s="87">
        <f t="shared" si="2"/>
        <v>0.09844281367</v>
      </c>
      <c r="K1923" s="84" t="str">
        <f t="shared" si="3"/>
        <v>Inflasi Normal</v>
      </c>
      <c r="L1923" s="84">
        <f t="shared" si="4"/>
        <v>0.11</v>
      </c>
      <c r="M1923" s="88" t="str">
        <f t="shared" si="5"/>
        <v>Perubahan Normal</v>
      </c>
    </row>
    <row r="1924" ht="18.75" customHeight="1">
      <c r="A1924" s="80" t="s">
        <v>460</v>
      </c>
      <c r="B1924" s="81" t="str">
        <f t="shared" si="1"/>
        <v>Kab Kayong Utara</v>
      </c>
      <c r="C1924" s="81" t="str">
        <f t="array" ref="C1924">XLOOKUP(B1924,Reference!$A$2:$A$152,Reference!$B$2:$B$152)</f>
        <v>Kalimantan Barat</v>
      </c>
      <c r="D1924" s="82" t="s">
        <v>2363</v>
      </c>
      <c r="E1924" s="83">
        <v>45323.0</v>
      </c>
      <c r="F1924" s="84" t="str">
        <f t="array" ref="F1924">XLOOKUP(G1924,Reference!$F:$F,Reference!$D:$D,"null")</f>
        <v>Rekreasi dan Kendaraan</v>
      </c>
      <c r="G1924" s="85" t="s">
        <v>102</v>
      </c>
      <c r="H1924" s="86">
        <v>107.7</v>
      </c>
      <c r="I1924" s="86">
        <v>107.7</v>
      </c>
      <c r="J1924" s="87">
        <f t="shared" si="2"/>
        <v>0</v>
      </c>
      <c r="K1924" s="84" t="str">
        <f t="shared" si="3"/>
        <v>Stabil</v>
      </c>
      <c r="L1924" s="84">
        <f t="shared" si="4"/>
        <v>0</v>
      </c>
      <c r="M1924" s="88" t="str">
        <f t="shared" si="5"/>
        <v>Perubahan Normal</v>
      </c>
    </row>
    <row r="1925" ht="18.75" customHeight="1">
      <c r="A1925" s="80" t="s">
        <v>656</v>
      </c>
      <c r="B1925" s="81" t="str">
        <f t="shared" si="1"/>
        <v>Kota Palopo</v>
      </c>
      <c r="C1925" s="81" t="str">
        <f t="array" ref="C1925">XLOOKUP(B1925,Reference!$A$2:$A$152,Reference!$B$2:$B$152)</f>
        <v>Sulawesi Selatan</v>
      </c>
      <c r="D1925" s="82" t="s">
        <v>2364</v>
      </c>
      <c r="E1925" s="83">
        <v>45352.0</v>
      </c>
      <c r="F1925" s="84" t="str">
        <f t="array" ref="F1925">XLOOKUP(G1925,Reference!$F:$F,Reference!$D:$D,"null")</f>
        <v>Rumah Tangga</v>
      </c>
      <c r="G1925" s="85" t="s">
        <v>84</v>
      </c>
      <c r="H1925" s="86">
        <v>100.05</v>
      </c>
      <c r="I1925" s="86">
        <v>100.05</v>
      </c>
      <c r="J1925" s="87">
        <f t="shared" si="2"/>
        <v>0</v>
      </c>
      <c r="K1925" s="84" t="str">
        <f t="shared" si="3"/>
        <v>Stabil</v>
      </c>
      <c r="L1925" s="84">
        <f t="shared" si="4"/>
        <v>0</v>
      </c>
      <c r="M1925" s="88" t="str">
        <f t="shared" si="5"/>
        <v>Perubahan Normal</v>
      </c>
    </row>
    <row r="1926" ht="18.75" customHeight="1">
      <c r="A1926" s="80" t="s">
        <v>419</v>
      </c>
      <c r="B1926" s="81" t="str">
        <f t="shared" si="1"/>
        <v>Kota Singkawang</v>
      </c>
      <c r="C1926" s="81" t="str">
        <f t="array" ref="C1926">XLOOKUP(B1926,Reference!$A$2:$A$152,Reference!$B$2:$B$152)</f>
        <v>Kalimantan Barat</v>
      </c>
      <c r="D1926" s="82" t="s">
        <v>2365</v>
      </c>
      <c r="E1926" s="83">
        <v>45323.0</v>
      </c>
      <c r="F1926" s="84" t="str">
        <f t="array" ref="F1926">XLOOKUP(G1926,Reference!$F:$F,Reference!$D:$D,"null")</f>
        <v>Makanan dan Pakaian </v>
      </c>
      <c r="G1926" s="85" t="s">
        <v>48</v>
      </c>
      <c r="H1926" s="86">
        <v>105.82</v>
      </c>
      <c r="I1926" s="86">
        <v>105.25</v>
      </c>
      <c r="J1926" s="87">
        <f t="shared" si="2"/>
        <v>0.541567696</v>
      </c>
      <c r="K1926" s="84" t="str">
        <f t="shared" si="3"/>
        <v>Inflasi Tinggi</v>
      </c>
      <c r="L1926" s="84">
        <f t="shared" si="4"/>
        <v>0.57</v>
      </c>
      <c r="M1926" s="88" t="str">
        <f t="shared" si="5"/>
        <v>Akselerasi Persentase</v>
      </c>
    </row>
    <row r="1927" ht="18.75" customHeight="1">
      <c r="A1927" s="80" t="s">
        <v>734</v>
      </c>
      <c r="B1927" s="81" t="str">
        <f t="shared" si="1"/>
        <v>Kota Tegal</v>
      </c>
      <c r="C1927" s="81" t="str">
        <f t="array" ref="C1927">XLOOKUP(B1927,Reference!$A$2:$A$152,Reference!$B$2:$B$152)</f>
        <v>Jawa Tengah</v>
      </c>
      <c r="D1927" s="82" t="s">
        <v>2366</v>
      </c>
      <c r="E1927" s="83">
        <v>45352.0</v>
      </c>
      <c r="F1927" s="84" t="str">
        <f t="array" ref="F1927">XLOOKUP(G1927,Reference!$F:$F,Reference!$D:$D,"null")</f>
        <v>Makanan dan Pakaian </v>
      </c>
      <c r="G1927" s="85" t="s">
        <v>48</v>
      </c>
      <c r="H1927" s="86">
        <v>114.36</v>
      </c>
      <c r="I1927" s="86">
        <v>112.34</v>
      </c>
      <c r="J1927" s="87">
        <f t="shared" si="2"/>
        <v>1.798112872</v>
      </c>
      <c r="K1927" s="84" t="str">
        <f t="shared" si="3"/>
        <v>Inflasi Tinggi</v>
      </c>
      <c r="L1927" s="84">
        <f t="shared" si="4"/>
        <v>2.02</v>
      </c>
      <c r="M1927" s="88" t="str">
        <f t="shared" si="5"/>
        <v>Akselerasi Kuat</v>
      </c>
    </row>
    <row r="1928" ht="18.75" customHeight="1">
      <c r="A1928" s="80" t="s">
        <v>314</v>
      </c>
      <c r="B1928" s="81" t="str">
        <f t="shared" si="1"/>
        <v>Kota Jayapura</v>
      </c>
      <c r="C1928" s="81" t="str">
        <f t="array" ref="C1928">XLOOKUP(B1928,Reference!$A$2:$A$152,Reference!$B$2:$B$152)</f>
        <v>Papua</v>
      </c>
      <c r="D1928" s="82" t="s">
        <v>2367</v>
      </c>
      <c r="E1928" s="83">
        <v>45323.0</v>
      </c>
      <c r="F1928" s="84" t="str">
        <f t="array" ref="F1928">XLOOKUP(G1928,Reference!$F:$F,Reference!$D:$D,"null")</f>
        <v>Pendidikan dan Kesehatan</v>
      </c>
      <c r="G1928" s="85" t="s">
        <v>95</v>
      </c>
      <c r="H1928" s="86">
        <v>114.38</v>
      </c>
      <c r="I1928" s="86">
        <v>114.38</v>
      </c>
      <c r="J1928" s="87">
        <f t="shared" si="2"/>
        <v>0</v>
      </c>
      <c r="K1928" s="84" t="str">
        <f t="shared" si="3"/>
        <v>Stabil</v>
      </c>
      <c r="L1928" s="84">
        <f t="shared" si="4"/>
        <v>0</v>
      </c>
      <c r="M1928" s="88" t="str">
        <f t="shared" si="5"/>
        <v>Perubahan Normal</v>
      </c>
    </row>
    <row r="1929" ht="18.75" customHeight="1">
      <c r="A1929" s="80" t="s">
        <v>450</v>
      </c>
      <c r="B1929" s="81" t="str">
        <f t="shared" si="1"/>
        <v>Waingapu</v>
      </c>
      <c r="C1929" s="81" t="str">
        <f t="array" ref="C1929">XLOOKUP(B1929,Reference!$A$2:$A$152,Reference!$B$2:$B$152)</f>
        <v>Nusa Tenggara Timur (NTT)</v>
      </c>
      <c r="D1929" s="82" t="s">
        <v>2368</v>
      </c>
      <c r="E1929" s="83">
        <v>45323.0</v>
      </c>
      <c r="F1929" s="84" t="str">
        <f t="array" ref="F1929">XLOOKUP(G1929,Reference!$F:$F,Reference!$D:$D,"null")</f>
        <v>Makanan dan Pakaian </v>
      </c>
      <c r="G1929" s="85" t="s">
        <v>64</v>
      </c>
      <c r="H1929" s="86">
        <v>103.22</v>
      </c>
      <c r="I1929" s="86">
        <v>103.28</v>
      </c>
      <c r="J1929" s="87">
        <f t="shared" si="2"/>
        <v>-0.05809450039</v>
      </c>
      <c r="K1929" s="84" t="str">
        <f t="shared" si="3"/>
        <v>Deflasi</v>
      </c>
      <c r="L1929" s="84">
        <f t="shared" si="4"/>
        <v>-0.06</v>
      </c>
      <c r="M1929" s="88" t="str">
        <f t="shared" si="5"/>
        <v>Perubahan Normal</v>
      </c>
    </row>
    <row r="1930" ht="18.75" customHeight="1">
      <c r="A1930" s="80" t="s">
        <v>616</v>
      </c>
      <c r="B1930" s="81" t="str">
        <f t="shared" si="1"/>
        <v>Kab Sorong</v>
      </c>
      <c r="C1930" s="81" t="str">
        <f t="array" ref="C1930">XLOOKUP(B1930,Reference!$A$2:$A$152,Reference!$B$2:$B$152)</f>
        <v>Papua Barat Daya</v>
      </c>
      <c r="D1930" s="82" t="s">
        <v>2369</v>
      </c>
      <c r="E1930" s="83">
        <v>45323.0</v>
      </c>
      <c r="F1930" s="84" t="str">
        <f t="array" ref="F1930">XLOOKUP(G1930,Reference!$F:$F,Reference!$D:$D,"null")</f>
        <v>Rumah Tangga</v>
      </c>
      <c r="G1930" s="85" t="s">
        <v>89</v>
      </c>
      <c r="H1930" s="86">
        <v>103.33</v>
      </c>
      <c r="I1930" s="86">
        <v>103.33</v>
      </c>
      <c r="J1930" s="87">
        <f t="shared" si="2"/>
        <v>0</v>
      </c>
      <c r="K1930" s="84" t="str">
        <f t="shared" si="3"/>
        <v>Stabil</v>
      </c>
      <c r="L1930" s="84">
        <f t="shared" si="4"/>
        <v>0</v>
      </c>
      <c r="M1930" s="88" t="str">
        <f t="shared" si="5"/>
        <v>Perubahan Normal</v>
      </c>
    </row>
    <row r="1931" ht="18.75" customHeight="1">
      <c r="A1931" s="80" t="s">
        <v>508</v>
      </c>
      <c r="B1931" s="81" t="str">
        <f t="shared" si="1"/>
        <v>Kab Minahasa Selatan</v>
      </c>
      <c r="C1931" s="81" t="str">
        <f t="array" ref="C1931">XLOOKUP(B1931,Reference!$A$2:$A$152,Reference!$B$2:$B$152)</f>
        <v>Sulawesi Utara</v>
      </c>
      <c r="D1931" s="82" t="s">
        <v>2370</v>
      </c>
      <c r="E1931" s="83">
        <v>45352.0</v>
      </c>
      <c r="F1931" s="84" t="str">
        <f t="array" ref="F1931">XLOOKUP(G1931,Reference!$F:$F,Reference!$D:$D,"null")</f>
        <v>Rumah Tangga</v>
      </c>
      <c r="G1931" s="85" t="s">
        <v>89</v>
      </c>
      <c r="H1931" s="86">
        <v>100.83</v>
      </c>
      <c r="I1931" s="86">
        <v>100.83</v>
      </c>
      <c r="J1931" s="87">
        <f t="shared" si="2"/>
        <v>0</v>
      </c>
      <c r="K1931" s="84" t="str">
        <f t="shared" si="3"/>
        <v>Stabil</v>
      </c>
      <c r="L1931" s="84">
        <f t="shared" si="4"/>
        <v>0</v>
      </c>
      <c r="M1931" s="88" t="str">
        <f t="shared" si="5"/>
        <v>Perubahan Normal</v>
      </c>
    </row>
    <row r="1932" ht="18.75" customHeight="1">
      <c r="A1932" s="80" t="s">
        <v>524</v>
      </c>
      <c r="B1932" s="81" t="str">
        <f t="shared" si="1"/>
        <v>Kudus</v>
      </c>
      <c r="C1932" s="81" t="str">
        <f t="array" ref="C1932">XLOOKUP(B1932,Reference!$A$2:$A$152,Reference!$B$2:$B$152)</f>
        <v>Jawa Tengah</v>
      </c>
      <c r="D1932" s="82" t="s">
        <v>2371</v>
      </c>
      <c r="E1932" s="83">
        <v>45323.0</v>
      </c>
      <c r="F1932" s="84" t="str">
        <f t="array" ref="F1932">XLOOKUP(G1932,Reference!$F:$F,Reference!$D:$D,"null")</f>
        <v>Pendidikan dan Kesehatan</v>
      </c>
      <c r="G1932" s="89" t="s">
        <v>98</v>
      </c>
      <c r="H1932" s="90">
        <v>105.06</v>
      </c>
      <c r="I1932" s="90">
        <v>105.04</v>
      </c>
      <c r="J1932" s="87">
        <f t="shared" si="2"/>
        <v>0.01904036558</v>
      </c>
      <c r="K1932" s="84" t="str">
        <f t="shared" si="3"/>
        <v>Inflasi Normal</v>
      </c>
      <c r="L1932" s="91">
        <f t="shared" si="4"/>
        <v>0.02</v>
      </c>
      <c r="M1932" s="88" t="str">
        <f t="shared" si="5"/>
        <v>Perubahan Normal</v>
      </c>
    </row>
    <row r="1933" ht="18.75" customHeight="1">
      <c r="A1933" s="80" t="s">
        <v>408</v>
      </c>
      <c r="B1933" s="81" t="str">
        <f t="shared" si="1"/>
        <v>Manokwari</v>
      </c>
      <c r="C1933" s="81" t="str">
        <f t="array" ref="C1933">XLOOKUP(B1933,Reference!$A$2:$A$152,Reference!$B$2:$B$152)</f>
        <v>Papua Barat Daya</v>
      </c>
      <c r="D1933" s="82" t="s">
        <v>2372</v>
      </c>
      <c r="E1933" s="83">
        <v>45352.0</v>
      </c>
      <c r="F1933" s="84" t="str">
        <f t="array" ref="F1933">XLOOKUP(G1933,Reference!$F:$F,Reference!$D:$D,"null")</f>
        <v>Makanan dan Pakaian </v>
      </c>
      <c r="G1933" s="85" t="s">
        <v>64</v>
      </c>
      <c r="H1933" s="86">
        <v>100.78</v>
      </c>
      <c r="I1933" s="86">
        <v>100.78</v>
      </c>
      <c r="J1933" s="87">
        <f t="shared" si="2"/>
        <v>0</v>
      </c>
      <c r="K1933" s="84" t="str">
        <f t="shared" si="3"/>
        <v>Stabil</v>
      </c>
      <c r="L1933" s="84">
        <f t="shared" si="4"/>
        <v>0</v>
      </c>
      <c r="M1933" s="88" t="str">
        <f t="shared" si="5"/>
        <v>Perubahan Normal</v>
      </c>
    </row>
    <row r="1934" ht="18.75" customHeight="1">
      <c r="A1934" s="80" t="s">
        <v>490</v>
      </c>
      <c r="B1934" s="81" t="str">
        <f t="shared" si="1"/>
        <v>Kab Kerinci</v>
      </c>
      <c r="C1934" s="81" t="str">
        <f t="array" ref="C1934">XLOOKUP(B1934,Reference!$A$2:$A$152,Reference!$B$2:$B$152)</f>
        <v>Jambi</v>
      </c>
      <c r="D1934" s="82" t="s">
        <v>2373</v>
      </c>
      <c r="E1934" s="83">
        <v>45323.0</v>
      </c>
      <c r="F1934" s="84" t="str">
        <f t="array" ref="F1934">XLOOKUP(G1934,Reference!$F:$F,Reference!$D:$D,"null")</f>
        <v>Pendidikan dan Kesehatan</v>
      </c>
      <c r="G1934" s="85" t="s">
        <v>95</v>
      </c>
      <c r="H1934" s="86">
        <v>101.96</v>
      </c>
      <c r="I1934" s="86">
        <v>101.96</v>
      </c>
      <c r="J1934" s="87">
        <f t="shared" si="2"/>
        <v>0</v>
      </c>
      <c r="K1934" s="84" t="str">
        <f t="shared" si="3"/>
        <v>Stabil</v>
      </c>
      <c r="L1934" s="84">
        <f t="shared" si="4"/>
        <v>0</v>
      </c>
      <c r="M1934" s="88" t="str">
        <f t="shared" si="5"/>
        <v>Perubahan Normal</v>
      </c>
    </row>
    <row r="1935" ht="18.75" customHeight="1">
      <c r="A1935" s="80" t="s">
        <v>920</v>
      </c>
      <c r="B1935" s="81" t="str">
        <f t="shared" si="1"/>
        <v>Kab Deli Serdang</v>
      </c>
      <c r="C1935" s="81" t="str">
        <f t="array" ref="C1935">XLOOKUP(B1935,Reference!$A$2:$A$152,Reference!$B$2:$B$152)</f>
        <v>Sumatera Utara</v>
      </c>
      <c r="D1935" s="82" t="s">
        <v>2374</v>
      </c>
      <c r="E1935" s="83">
        <v>45352.0</v>
      </c>
      <c r="F1935" s="84" t="str">
        <f t="array" ref="F1935">XLOOKUP(G1935,Reference!$F:$F,Reference!$D:$D,"null")</f>
        <v>Rumah Tangga</v>
      </c>
      <c r="G1935" s="85" t="s">
        <v>84</v>
      </c>
      <c r="H1935" s="86">
        <v>100.16</v>
      </c>
      <c r="I1935" s="86">
        <v>100.48</v>
      </c>
      <c r="J1935" s="87">
        <f t="shared" si="2"/>
        <v>-0.3184713376</v>
      </c>
      <c r="K1935" s="84" t="str">
        <f t="shared" si="3"/>
        <v>Deflasi</v>
      </c>
      <c r="L1935" s="84">
        <f t="shared" si="4"/>
        <v>-0.32</v>
      </c>
      <c r="M1935" s="88" t="str">
        <f t="shared" si="5"/>
        <v>Perubahan Normal</v>
      </c>
    </row>
    <row r="1936" ht="18.75" customHeight="1">
      <c r="A1936" s="80" t="s">
        <v>337</v>
      </c>
      <c r="B1936" s="81" t="str">
        <f t="shared" si="1"/>
        <v>Merauke</v>
      </c>
      <c r="C1936" s="81" t="str">
        <f t="array" ref="C1936">XLOOKUP(B1936,Reference!$A$2:$A$152,Reference!$B$2:$B$152)</f>
        <v>Papua</v>
      </c>
      <c r="D1936" s="82" t="s">
        <v>2375</v>
      </c>
      <c r="E1936" s="83">
        <v>45352.0</v>
      </c>
      <c r="F1936" s="84" t="str">
        <f t="array" ref="F1936">XLOOKUP(G1936,Reference!$F:$F,Reference!$D:$D,"null")</f>
        <v>Makanan dan Pakaian </v>
      </c>
      <c r="G1936" s="85" t="s">
        <v>64</v>
      </c>
      <c r="H1936" s="86">
        <v>102.8</v>
      </c>
      <c r="I1936" s="86">
        <v>102.8</v>
      </c>
      <c r="J1936" s="87">
        <f t="shared" si="2"/>
        <v>0</v>
      </c>
      <c r="K1936" s="84" t="str">
        <f t="shared" si="3"/>
        <v>Stabil</v>
      </c>
      <c r="L1936" s="84">
        <f t="shared" si="4"/>
        <v>0</v>
      </c>
      <c r="M1936" s="88" t="str">
        <f t="shared" si="5"/>
        <v>Perubahan Normal</v>
      </c>
    </row>
    <row r="1937" ht="18.75" customHeight="1">
      <c r="A1937" s="80" t="s">
        <v>458</v>
      </c>
      <c r="B1937" s="81" t="str">
        <f t="shared" si="1"/>
        <v>Kota Dumai</v>
      </c>
      <c r="C1937" s="81" t="str">
        <f t="array" ref="C1937">XLOOKUP(B1937,Reference!$A$2:$A$152,Reference!$B$2:$B$152)</f>
        <v>Riau</v>
      </c>
      <c r="D1937" s="82" t="s">
        <v>2376</v>
      </c>
      <c r="E1937" s="83">
        <v>45323.0</v>
      </c>
      <c r="F1937" s="84" t="str">
        <f t="array" ref="F1937">XLOOKUP(G1937,Reference!$F:$F,Reference!$D:$D,"null")</f>
        <v>Pendidikan dan Kesehatan</v>
      </c>
      <c r="G1937" s="85" t="s">
        <v>95</v>
      </c>
      <c r="H1937" s="86">
        <v>103.22</v>
      </c>
      <c r="I1937" s="86">
        <v>103.22</v>
      </c>
      <c r="J1937" s="87">
        <f t="shared" si="2"/>
        <v>0</v>
      </c>
      <c r="K1937" s="84" t="str">
        <f t="shared" si="3"/>
        <v>Stabil</v>
      </c>
      <c r="L1937" s="84">
        <f t="shared" si="4"/>
        <v>0</v>
      </c>
      <c r="M1937" s="88" t="str">
        <f t="shared" si="5"/>
        <v>Perubahan Normal</v>
      </c>
    </row>
    <row r="1938" ht="18.75" customHeight="1">
      <c r="A1938" s="80" t="s">
        <v>699</v>
      </c>
      <c r="B1938" s="81" t="str">
        <f t="shared" si="1"/>
        <v>Mamuju</v>
      </c>
      <c r="C1938" s="81" t="str">
        <f t="array" ref="C1938">XLOOKUP(B1938,Reference!$A$2:$A$152,Reference!$B$2:$B$152)</f>
        <v>Sulawesi Barat</v>
      </c>
      <c r="D1938" s="82" t="s">
        <v>2377</v>
      </c>
      <c r="E1938" s="83">
        <v>45352.0</v>
      </c>
      <c r="F1938" s="84" t="str">
        <f t="array" ref="F1938">XLOOKUP(G1938,Reference!$F:$F,Reference!$D:$D,"null")</f>
        <v>Makanan dan Pakaian </v>
      </c>
      <c r="G1938" s="89" t="s">
        <v>64</v>
      </c>
      <c r="H1938" s="90">
        <v>106.51</v>
      </c>
      <c r="I1938" s="90">
        <v>104.86</v>
      </c>
      <c r="J1938" s="87">
        <f t="shared" si="2"/>
        <v>1.573526607</v>
      </c>
      <c r="K1938" s="84" t="str">
        <f t="shared" si="3"/>
        <v>Inflasi Tinggi</v>
      </c>
      <c r="L1938" s="91">
        <f t="shared" si="4"/>
        <v>1.65</v>
      </c>
      <c r="M1938" s="88" t="str">
        <f t="shared" si="5"/>
        <v>Akselerasi Persentase</v>
      </c>
    </row>
    <row r="1939" ht="18.75" customHeight="1">
      <c r="A1939" s="80" t="s">
        <v>438</v>
      </c>
      <c r="B1939" s="81" t="str">
        <f t="shared" si="1"/>
        <v>Kab Muara Enim</v>
      </c>
      <c r="C1939" s="81" t="str">
        <f t="array" ref="C1939">XLOOKUP(B1939,Reference!$A$2:$A$152,Reference!$B$2:$B$152)</f>
        <v>Sumatera Selatan</v>
      </c>
      <c r="D1939" s="82" t="s">
        <v>2378</v>
      </c>
      <c r="E1939" s="83">
        <v>45352.0</v>
      </c>
      <c r="F1939" s="84" t="str">
        <f t="array" ref="F1939">XLOOKUP(G1939,Reference!$F:$F,Reference!$D:$D,"null")</f>
        <v>Makanan dan Pakaian </v>
      </c>
      <c r="G1939" s="85" t="s">
        <v>64</v>
      </c>
      <c r="H1939" s="86">
        <v>106.39</v>
      </c>
      <c r="I1939" s="86">
        <v>106.39</v>
      </c>
      <c r="J1939" s="87">
        <f t="shared" si="2"/>
        <v>0</v>
      </c>
      <c r="K1939" s="84" t="str">
        <f t="shared" si="3"/>
        <v>Stabil</v>
      </c>
      <c r="L1939" s="84">
        <f t="shared" si="4"/>
        <v>0</v>
      </c>
      <c r="M1939" s="88" t="str">
        <f t="shared" si="5"/>
        <v>Perubahan Normal</v>
      </c>
    </row>
    <row r="1940" ht="18.75" customHeight="1">
      <c r="A1940" s="80" t="s">
        <v>586</v>
      </c>
      <c r="B1940" s="81" t="str">
        <f t="shared" si="1"/>
        <v>Kab Karimun</v>
      </c>
      <c r="C1940" s="81" t="str">
        <f t="array" ref="C1940">XLOOKUP(B1940,Reference!$A$2:$A$152,Reference!$B$2:$B$152)</f>
        <v>Kepulauan Riau</v>
      </c>
      <c r="D1940" s="82" t="s">
        <v>2379</v>
      </c>
      <c r="E1940" s="83">
        <v>45352.0</v>
      </c>
      <c r="F1940" s="84" t="str">
        <f t="array" ref="F1940">XLOOKUP(G1940,Reference!$F:$F,Reference!$D:$D,"null")</f>
        <v>Pendidikan dan Kesehatan</v>
      </c>
      <c r="G1940" s="85" t="s">
        <v>95</v>
      </c>
      <c r="H1940" s="86">
        <v>100.0</v>
      </c>
      <c r="I1940" s="86">
        <v>100.0</v>
      </c>
      <c r="J1940" s="87">
        <f t="shared" si="2"/>
        <v>0</v>
      </c>
      <c r="K1940" s="84" t="str">
        <f t="shared" si="3"/>
        <v>Stabil</v>
      </c>
      <c r="L1940" s="84">
        <f t="shared" si="4"/>
        <v>0</v>
      </c>
      <c r="M1940" s="88" t="str">
        <f t="shared" si="5"/>
        <v>Perubahan Normal</v>
      </c>
    </row>
    <row r="1941" ht="18.75" customHeight="1">
      <c r="A1941" s="80" t="s">
        <v>517</v>
      </c>
      <c r="B1941" s="81" t="str">
        <f t="shared" si="1"/>
        <v>Kota Kupang</v>
      </c>
      <c r="C1941" s="81" t="str">
        <f t="array" ref="C1941">XLOOKUP(B1941,Reference!$A$2:$A$152,Reference!$B$2:$B$152)</f>
        <v>Nusa Tenggara Timur (NTT)</v>
      </c>
      <c r="D1941" s="82" t="s">
        <v>2380</v>
      </c>
      <c r="E1941" s="83">
        <v>45323.0</v>
      </c>
      <c r="F1941" s="84" t="str">
        <f t="array" ref="F1941">XLOOKUP(G1941,Reference!$F:$F,Reference!$D:$D,"null")</f>
        <v>Makanan dan Pakaian </v>
      </c>
      <c r="G1941" s="85" t="s">
        <v>72</v>
      </c>
      <c r="H1941" s="86">
        <v>100.33</v>
      </c>
      <c r="I1941" s="86">
        <v>100.2</v>
      </c>
      <c r="J1941" s="87">
        <f t="shared" si="2"/>
        <v>0.129740519</v>
      </c>
      <c r="K1941" s="84" t="str">
        <f t="shared" si="3"/>
        <v>Inflasi Normal</v>
      </c>
      <c r="L1941" s="84">
        <f t="shared" si="4"/>
        <v>0.13</v>
      </c>
      <c r="M1941" s="88" t="str">
        <f t="shared" si="5"/>
        <v>Perubahan Normal</v>
      </c>
    </row>
    <row r="1942" ht="18.75" customHeight="1">
      <c r="A1942" s="80" t="s">
        <v>764</v>
      </c>
      <c r="B1942" s="81" t="str">
        <f t="shared" si="1"/>
        <v>Kota Madiun</v>
      </c>
      <c r="C1942" s="81" t="str">
        <f t="array" ref="C1942">XLOOKUP(B1942,Reference!$A$2:$A$152,Reference!$B$2:$B$152)</f>
        <v>Jawa Timur</v>
      </c>
      <c r="D1942" s="82" t="s">
        <v>2381</v>
      </c>
      <c r="E1942" s="83">
        <v>45352.0</v>
      </c>
      <c r="F1942" s="84" t="str">
        <f t="array" ref="F1942">XLOOKUP(G1942,Reference!$F:$F,Reference!$D:$D,"null")</f>
        <v>Rekreasi dan Kendaraan</v>
      </c>
      <c r="G1942" s="85" t="s">
        <v>102</v>
      </c>
      <c r="H1942" s="86">
        <v>100.76</v>
      </c>
      <c r="I1942" s="86">
        <v>100.89</v>
      </c>
      <c r="J1942" s="87">
        <f t="shared" si="2"/>
        <v>-0.1288532065</v>
      </c>
      <c r="K1942" s="84" t="str">
        <f t="shared" si="3"/>
        <v>Deflasi</v>
      </c>
      <c r="L1942" s="84">
        <f t="shared" si="4"/>
        <v>-0.13</v>
      </c>
      <c r="M1942" s="88" t="str">
        <f t="shared" si="5"/>
        <v>Perubahan Normal</v>
      </c>
    </row>
    <row r="1943" ht="18.75" customHeight="1">
      <c r="A1943" s="80" t="s">
        <v>680</v>
      </c>
      <c r="B1943" s="81" t="str">
        <f t="shared" si="1"/>
        <v>Kota Pekanbaru</v>
      </c>
      <c r="C1943" s="81" t="str">
        <f t="array" ref="C1943">XLOOKUP(B1943,Reference!$A$2:$A$152,Reference!$B$2:$B$152)</f>
        <v>Riau</v>
      </c>
      <c r="D1943" s="82" t="s">
        <v>2382</v>
      </c>
      <c r="E1943" s="83">
        <v>45323.0</v>
      </c>
      <c r="F1943" s="84" t="str">
        <f t="array" ref="F1943">XLOOKUP(G1943,Reference!$F:$F,Reference!$D:$D,"null")</f>
        <v>Rumah Tangga</v>
      </c>
      <c r="G1943" s="85" t="s">
        <v>89</v>
      </c>
      <c r="H1943" s="86">
        <v>104.39</v>
      </c>
      <c r="I1943" s="86">
        <v>104.39</v>
      </c>
      <c r="J1943" s="87">
        <f t="shared" si="2"/>
        <v>0</v>
      </c>
      <c r="K1943" s="84" t="str">
        <f t="shared" si="3"/>
        <v>Stabil</v>
      </c>
      <c r="L1943" s="84">
        <f t="shared" si="4"/>
        <v>0</v>
      </c>
      <c r="M1943" s="88" t="str">
        <f t="shared" si="5"/>
        <v>Perubahan Normal</v>
      </c>
    </row>
    <row r="1944" ht="18.75" customHeight="1">
      <c r="A1944" s="80" t="s">
        <v>346</v>
      </c>
      <c r="B1944" s="81" t="str">
        <f t="shared" si="1"/>
        <v>Kab Timor Tengah Selatan</v>
      </c>
      <c r="C1944" s="81" t="str">
        <f t="array" ref="C1944">XLOOKUP(B1944,Reference!$A$2:$A$152,Reference!$B$2:$B$152)</f>
        <v>Nusa Tenggara Timur (NTT)</v>
      </c>
      <c r="D1944" s="82" t="s">
        <v>2383</v>
      </c>
      <c r="E1944" s="83">
        <v>45352.0</v>
      </c>
      <c r="F1944" s="84" t="str">
        <f t="array" ref="F1944">XLOOKUP(G1944,Reference!$F:$F,Reference!$D:$D,"null")</f>
        <v>Rekreasi dan Kendaraan</v>
      </c>
      <c r="G1944" s="85" t="s">
        <v>105</v>
      </c>
      <c r="H1944" s="86">
        <v>103.3</v>
      </c>
      <c r="I1944" s="86">
        <v>102.24</v>
      </c>
      <c r="J1944" s="87">
        <f t="shared" si="2"/>
        <v>1.036776213</v>
      </c>
      <c r="K1944" s="84" t="str">
        <f t="shared" si="3"/>
        <v>Inflasi Tinggi</v>
      </c>
      <c r="L1944" s="84">
        <f t="shared" si="4"/>
        <v>1.06</v>
      </c>
      <c r="M1944" s="88" t="str">
        <f t="shared" si="5"/>
        <v>Akselerasi Persentase</v>
      </c>
    </row>
    <row r="1945" ht="18.75" customHeight="1">
      <c r="A1945" s="80" t="s">
        <v>471</v>
      </c>
      <c r="B1945" s="81" t="str">
        <f t="shared" si="1"/>
        <v>Kab Gunungkidul</v>
      </c>
      <c r="C1945" s="81" t="str">
        <f t="array" ref="C1945">XLOOKUP(B1945,Reference!$A$2:$A$152,Reference!$B$2:$B$152)</f>
        <v>D.I. Yogyakarta</v>
      </c>
      <c r="D1945" s="82" t="s">
        <v>2384</v>
      </c>
      <c r="E1945" s="83">
        <v>45323.0</v>
      </c>
      <c r="F1945" s="84" t="str">
        <f t="array" ref="F1945">XLOOKUP(G1945,Reference!$F:$F,Reference!$D:$D,"null")</f>
        <v>Rumah Tangga</v>
      </c>
      <c r="G1945" s="85" t="s">
        <v>80</v>
      </c>
      <c r="H1945" s="86">
        <v>100.0</v>
      </c>
      <c r="I1945" s="86">
        <v>100.0</v>
      </c>
      <c r="J1945" s="87">
        <f t="shared" si="2"/>
        <v>0</v>
      </c>
      <c r="K1945" s="84" t="str">
        <f t="shared" si="3"/>
        <v>Stabil</v>
      </c>
      <c r="L1945" s="84">
        <f t="shared" si="4"/>
        <v>0</v>
      </c>
      <c r="M1945" s="88" t="str">
        <f t="shared" si="5"/>
        <v>Perubahan Normal</v>
      </c>
    </row>
    <row r="1946" ht="18.75" customHeight="1">
      <c r="A1946" s="80" t="s">
        <v>558</v>
      </c>
      <c r="B1946" s="81" t="str">
        <f t="shared" si="1"/>
        <v>Kab Kapuas</v>
      </c>
      <c r="C1946" s="81" t="str">
        <f t="array" ref="C1946">XLOOKUP(B1946,Reference!$A$2:$A$152,Reference!$B$2:$B$152)</f>
        <v>Kalimantan Tengah</v>
      </c>
      <c r="D1946" s="82" t="s">
        <v>2385</v>
      </c>
      <c r="E1946" s="83">
        <v>45352.0</v>
      </c>
      <c r="F1946" s="84" t="str">
        <f t="array" ref="F1946">XLOOKUP(G1946,Reference!$F:$F,Reference!$D:$D,"null")</f>
        <v>Rumah Tangga</v>
      </c>
      <c r="G1946" s="85" t="s">
        <v>80</v>
      </c>
      <c r="H1946" s="86">
        <v>100.0</v>
      </c>
      <c r="I1946" s="86">
        <v>100.0</v>
      </c>
      <c r="J1946" s="87">
        <f t="shared" si="2"/>
        <v>0</v>
      </c>
      <c r="K1946" s="84" t="str">
        <f t="shared" si="3"/>
        <v>Stabil</v>
      </c>
      <c r="L1946" s="84">
        <f t="shared" si="4"/>
        <v>0</v>
      </c>
      <c r="M1946" s="88" t="str">
        <f t="shared" si="5"/>
        <v>Perubahan Normal</v>
      </c>
    </row>
    <row r="1947" ht="18.75" customHeight="1">
      <c r="A1947" s="80" t="s">
        <v>990</v>
      </c>
      <c r="B1947" s="81" t="str">
        <f t="shared" si="1"/>
        <v>Kab Pandeglang</v>
      </c>
      <c r="C1947" s="81" t="str">
        <f t="array" ref="C1947">XLOOKUP(B1947,Reference!$A$2:$A$152,Reference!$B$2:$B$152)</f>
        <v>Banten</v>
      </c>
      <c r="D1947" s="82" t="s">
        <v>2386</v>
      </c>
      <c r="E1947" s="83">
        <v>45323.0</v>
      </c>
      <c r="F1947" s="84" t="str">
        <f t="array" ref="F1947">XLOOKUP(G1947,Reference!$F:$F,Reference!$D:$D,"null")</f>
        <v>Makanan dan Pakaian </v>
      </c>
      <c r="G1947" s="89" t="s">
        <v>48</v>
      </c>
      <c r="H1947" s="90">
        <v>104.43</v>
      </c>
      <c r="I1947" s="90">
        <v>102.38</v>
      </c>
      <c r="J1947" s="87">
        <f t="shared" si="2"/>
        <v>2.002344208</v>
      </c>
      <c r="K1947" s="84" t="str">
        <f t="shared" si="3"/>
        <v>Inflasi Tinggi</v>
      </c>
      <c r="L1947" s="91">
        <f t="shared" si="4"/>
        <v>2.05</v>
      </c>
      <c r="M1947" s="88" t="str">
        <f t="shared" si="5"/>
        <v>Akselerasi Kuat</v>
      </c>
    </row>
    <row r="1948" ht="18.75" customHeight="1">
      <c r="A1948" s="80" t="s">
        <v>342</v>
      </c>
      <c r="B1948" s="81" t="str">
        <f t="shared" si="1"/>
        <v>Kab Bandung</v>
      </c>
      <c r="C1948" s="81" t="str">
        <f t="array" ref="C1948">XLOOKUP(B1948,Reference!$A$2:$A$152,Reference!$B$2:$B$152)</f>
        <v>Jawa Barat</v>
      </c>
      <c r="D1948" s="82" t="s">
        <v>2387</v>
      </c>
      <c r="E1948" s="83">
        <v>45352.0</v>
      </c>
      <c r="F1948" s="84" t="str">
        <f t="array" ref="F1948">XLOOKUP(G1948,Reference!$F:$F,Reference!$D:$D,"null")</f>
        <v>Rumah Tangga</v>
      </c>
      <c r="G1948" s="85" t="s">
        <v>80</v>
      </c>
      <c r="H1948" s="86">
        <v>100.0</v>
      </c>
      <c r="I1948" s="86">
        <v>100.0</v>
      </c>
      <c r="J1948" s="87">
        <f t="shared" si="2"/>
        <v>0</v>
      </c>
      <c r="K1948" s="84" t="str">
        <f t="shared" si="3"/>
        <v>Stabil</v>
      </c>
      <c r="L1948" s="84">
        <f t="shared" si="4"/>
        <v>0</v>
      </c>
      <c r="M1948" s="88" t="str">
        <f t="shared" si="5"/>
        <v>Perubahan Normal</v>
      </c>
    </row>
    <row r="1949" ht="18.75" customHeight="1">
      <c r="A1949" s="80" t="s">
        <v>584</v>
      </c>
      <c r="B1949" s="81" t="str">
        <f t="shared" si="1"/>
        <v>Kota Sibolga</v>
      </c>
      <c r="C1949" s="81" t="str">
        <f t="array" ref="C1949">XLOOKUP(B1949,Reference!$A$2:$A$152,Reference!$B$2:$B$152)</f>
        <v>Sumatera Utara</v>
      </c>
      <c r="D1949" s="82" t="s">
        <v>2388</v>
      </c>
      <c r="E1949" s="83">
        <v>45323.0</v>
      </c>
      <c r="F1949" s="84" t="str">
        <f t="array" ref="F1949">XLOOKUP(G1949,Reference!$F:$F,Reference!$D:$D,"null")</f>
        <v>Rumah Tangga</v>
      </c>
      <c r="G1949" s="85" t="s">
        <v>80</v>
      </c>
      <c r="H1949" s="86">
        <v>102.11</v>
      </c>
      <c r="I1949" s="86">
        <v>102.11</v>
      </c>
      <c r="J1949" s="87">
        <f t="shared" si="2"/>
        <v>0</v>
      </c>
      <c r="K1949" s="84" t="str">
        <f t="shared" si="3"/>
        <v>Stabil</v>
      </c>
      <c r="L1949" s="84">
        <f t="shared" si="4"/>
        <v>0</v>
      </c>
      <c r="M1949" s="88" t="str">
        <f t="shared" si="5"/>
        <v>Perubahan Normal</v>
      </c>
    </row>
    <row r="1950" ht="18.75" customHeight="1">
      <c r="A1950" s="80" t="s">
        <v>706</v>
      </c>
      <c r="B1950" s="81" t="str">
        <f t="shared" si="1"/>
        <v>Kota Makassar</v>
      </c>
      <c r="C1950" s="81" t="str">
        <f t="array" ref="C1950">XLOOKUP(B1950,Reference!$A$2:$A$152,Reference!$B$2:$B$152)</f>
        <v>Sulawesi Selatan</v>
      </c>
      <c r="D1950" s="82" t="s">
        <v>2389</v>
      </c>
      <c r="E1950" s="83">
        <v>45352.0</v>
      </c>
      <c r="F1950" s="84" t="str">
        <f t="array" ref="F1950">XLOOKUP(G1950,Reference!$F:$F,Reference!$D:$D,"null")</f>
        <v>Rekreasi dan Kendaraan</v>
      </c>
      <c r="G1950" s="85" t="s">
        <v>105</v>
      </c>
      <c r="H1950" s="86">
        <v>101.25</v>
      </c>
      <c r="I1950" s="86">
        <v>101.17</v>
      </c>
      <c r="J1950" s="87">
        <f t="shared" si="2"/>
        <v>0.07907482455</v>
      </c>
      <c r="K1950" s="84" t="str">
        <f t="shared" si="3"/>
        <v>Inflasi Normal</v>
      </c>
      <c r="L1950" s="84">
        <f t="shared" si="4"/>
        <v>0.08</v>
      </c>
      <c r="M1950" s="88" t="str">
        <f t="shared" si="5"/>
        <v>Perubahan Normal</v>
      </c>
    </row>
    <row r="1951" ht="18.75" customHeight="1">
      <c r="A1951" s="80" t="s">
        <v>822</v>
      </c>
      <c r="B1951" s="81" t="str">
        <f t="shared" si="1"/>
        <v>Kota Pontianak</v>
      </c>
      <c r="C1951" s="81" t="str">
        <f t="array" ref="C1951">XLOOKUP(B1951,Reference!$A$2:$A$152,Reference!$B$2:$B$152)</f>
        <v>Kalimantan Barat</v>
      </c>
      <c r="D1951" s="82" t="s">
        <v>2390</v>
      </c>
      <c r="E1951" s="83">
        <v>45323.0</v>
      </c>
      <c r="F1951" s="84" t="str">
        <f t="array" ref="F1951">XLOOKUP(G1951,Reference!$F:$F,Reference!$D:$D,"null")</f>
        <v>Pendidikan dan Kesehatan</v>
      </c>
      <c r="G1951" s="85" t="s">
        <v>95</v>
      </c>
      <c r="H1951" s="86">
        <v>102.0</v>
      </c>
      <c r="I1951" s="86">
        <v>101.33</v>
      </c>
      <c r="J1951" s="87">
        <f t="shared" si="2"/>
        <v>0.6612059607</v>
      </c>
      <c r="K1951" s="84" t="str">
        <f t="shared" si="3"/>
        <v>Inflasi Tinggi</v>
      </c>
      <c r="L1951" s="84">
        <f t="shared" si="4"/>
        <v>0.67</v>
      </c>
      <c r="M1951" s="88" t="str">
        <f t="shared" si="5"/>
        <v>Akselerasi Persentase</v>
      </c>
    </row>
    <row r="1952" ht="18.75" customHeight="1">
      <c r="A1952" s="80" t="s">
        <v>306</v>
      </c>
      <c r="B1952" s="81" t="str">
        <f t="shared" si="1"/>
        <v>Kota Padang</v>
      </c>
      <c r="C1952" s="81" t="str">
        <f t="array" ref="C1952">XLOOKUP(B1952,Reference!$A$2:$A$152,Reference!$B$2:$B$152)</f>
        <v>Sumatera Barat</v>
      </c>
      <c r="D1952" s="82" t="s">
        <v>2391</v>
      </c>
      <c r="E1952" s="83">
        <v>45323.0</v>
      </c>
      <c r="F1952" s="84" t="str">
        <f t="array" ref="F1952">XLOOKUP(G1952,Reference!$F:$F,Reference!$D:$D,"null")</f>
        <v>Makanan dan Pakaian </v>
      </c>
      <c r="G1952" s="85" t="s">
        <v>56</v>
      </c>
      <c r="H1952" s="86">
        <v>103.28</v>
      </c>
      <c r="I1952" s="86">
        <v>103.27</v>
      </c>
      <c r="J1952" s="87">
        <f t="shared" si="2"/>
        <v>0.009683354314</v>
      </c>
      <c r="K1952" s="84" t="str">
        <f t="shared" si="3"/>
        <v>Inflasi Normal</v>
      </c>
      <c r="L1952" s="84">
        <f t="shared" si="4"/>
        <v>0.01</v>
      </c>
      <c r="M1952" s="88" t="str">
        <f t="shared" si="5"/>
        <v>Perubahan Normal</v>
      </c>
    </row>
    <row r="1953" ht="18.75" customHeight="1">
      <c r="A1953" s="80" t="s">
        <v>727</v>
      </c>
      <c r="B1953" s="81" t="str">
        <f t="shared" si="1"/>
        <v>Kab Badung</v>
      </c>
      <c r="C1953" s="81" t="str">
        <f t="array" ref="C1953">XLOOKUP(B1953,Reference!$A$2:$A$152,Reference!$B$2:$B$152)</f>
        <v>Bali</v>
      </c>
      <c r="D1953" s="82" t="s">
        <v>2392</v>
      </c>
      <c r="E1953" s="83">
        <v>45323.0</v>
      </c>
      <c r="F1953" s="84" t="str">
        <f t="array" ref="F1953">XLOOKUP(G1953,Reference!$F:$F,Reference!$D:$D,"null")</f>
        <v>Rekreasi dan Kendaraan</v>
      </c>
      <c r="G1953" s="85" t="s">
        <v>102</v>
      </c>
      <c r="H1953" s="86">
        <v>105.54</v>
      </c>
      <c r="I1953" s="86">
        <v>105.69</v>
      </c>
      <c r="J1953" s="87">
        <f t="shared" si="2"/>
        <v>-0.1419244962</v>
      </c>
      <c r="K1953" s="84" t="str">
        <f t="shared" si="3"/>
        <v>Deflasi</v>
      </c>
      <c r="L1953" s="84">
        <f t="shared" si="4"/>
        <v>-0.15</v>
      </c>
      <c r="M1953" s="88" t="str">
        <f t="shared" si="5"/>
        <v>Perubahan Normal</v>
      </c>
    </row>
    <row r="1954" ht="18.75" customHeight="1">
      <c r="A1954" s="80" t="s">
        <v>421</v>
      </c>
      <c r="B1954" s="81" t="str">
        <f t="shared" si="1"/>
        <v>Kab Halmahera Tengah</v>
      </c>
      <c r="C1954" s="81" t="str">
        <f t="array" ref="C1954">XLOOKUP(B1954,Reference!$A$2:$A$152,Reference!$B$2:$B$152)</f>
        <v>Maluku Utara</v>
      </c>
      <c r="D1954" s="82" t="s">
        <v>2393</v>
      </c>
      <c r="E1954" s="83">
        <v>45323.0</v>
      </c>
      <c r="F1954" s="84" t="str">
        <f t="array" ref="F1954">XLOOKUP(G1954,Reference!$F:$F,Reference!$D:$D,"null")</f>
        <v>Rekreasi dan Kendaraan</v>
      </c>
      <c r="G1954" s="85" t="s">
        <v>105</v>
      </c>
      <c r="H1954" s="86">
        <v>93.27</v>
      </c>
      <c r="I1954" s="86">
        <v>93.27</v>
      </c>
      <c r="J1954" s="87">
        <f t="shared" si="2"/>
        <v>0</v>
      </c>
      <c r="K1954" s="84" t="str">
        <f t="shared" si="3"/>
        <v>Stabil</v>
      </c>
      <c r="L1954" s="84">
        <f t="shared" si="4"/>
        <v>0</v>
      </c>
      <c r="M1954" s="88" t="str">
        <f t="shared" si="5"/>
        <v>Perubahan Normal</v>
      </c>
    </row>
    <row r="1955" ht="18.75" customHeight="1">
      <c r="A1955" s="80" t="s">
        <v>669</v>
      </c>
      <c r="B1955" s="81" t="str">
        <f t="shared" si="1"/>
        <v>Kab Sidenreng Rappang</v>
      </c>
      <c r="C1955" s="81" t="str">
        <f t="array" ref="C1955">XLOOKUP(B1955,Reference!$A$2:$A$152,Reference!$B$2:$B$152)</f>
        <v>Sulawesi Selatan</v>
      </c>
      <c r="D1955" s="82" t="s">
        <v>2394</v>
      </c>
      <c r="E1955" s="83">
        <v>45352.0</v>
      </c>
      <c r="F1955" s="84" t="str">
        <f t="array" ref="F1955">XLOOKUP(G1955,Reference!$F:$F,Reference!$D:$D,"null")</f>
        <v>Makanan dan Pakaian </v>
      </c>
      <c r="G1955" s="85" t="s">
        <v>48</v>
      </c>
      <c r="H1955" s="86">
        <v>104.2</v>
      </c>
      <c r="I1955" s="86">
        <v>103.13</v>
      </c>
      <c r="J1955" s="87">
        <f t="shared" si="2"/>
        <v>1.037525453</v>
      </c>
      <c r="K1955" s="84" t="str">
        <f t="shared" si="3"/>
        <v>Inflasi Tinggi</v>
      </c>
      <c r="L1955" s="84">
        <f t="shared" si="4"/>
        <v>1.07</v>
      </c>
      <c r="M1955" s="88" t="str">
        <f t="shared" si="5"/>
        <v>Akselerasi Persentase</v>
      </c>
    </row>
    <row r="1956" ht="18.75" customHeight="1">
      <c r="A1956" s="80" t="s">
        <v>592</v>
      </c>
      <c r="B1956" s="81" t="str">
        <f t="shared" si="1"/>
        <v>Kab Lampung Timur</v>
      </c>
      <c r="C1956" s="81" t="str">
        <f t="array" ref="C1956">XLOOKUP(B1956,Reference!$A$2:$A$152,Reference!$B$2:$B$152)</f>
        <v>Lampung</v>
      </c>
      <c r="D1956" s="82" t="s">
        <v>2395</v>
      </c>
      <c r="E1956" s="83">
        <v>45352.0</v>
      </c>
      <c r="F1956" s="84" t="str">
        <f t="array" ref="F1956">XLOOKUP(G1956,Reference!$F:$F,Reference!$D:$D,"null")</f>
        <v>Rekreasi dan Kendaraan</v>
      </c>
      <c r="G1956" s="85" t="s">
        <v>102</v>
      </c>
      <c r="H1956" s="86">
        <v>105.08</v>
      </c>
      <c r="I1956" s="86">
        <v>104.82</v>
      </c>
      <c r="J1956" s="87">
        <f t="shared" si="2"/>
        <v>0.2480442664</v>
      </c>
      <c r="K1956" s="84" t="str">
        <f t="shared" si="3"/>
        <v>Inflasi Normal</v>
      </c>
      <c r="L1956" s="84">
        <f t="shared" si="4"/>
        <v>0.26</v>
      </c>
      <c r="M1956" s="88" t="str">
        <f t="shared" si="5"/>
        <v>Perubahan Normal</v>
      </c>
    </row>
    <row r="1957" ht="18.75" customHeight="1">
      <c r="A1957" s="80" t="s">
        <v>1282</v>
      </c>
      <c r="B1957" s="81" t="str">
        <f t="shared" si="1"/>
        <v>Kota Bima</v>
      </c>
      <c r="C1957" s="81" t="str">
        <f t="array" ref="C1957">XLOOKUP(B1957,Reference!$A$2:$A$152,Reference!$B$2:$B$152)</f>
        <v>Nusa Tenggara Barat (NTB)</v>
      </c>
      <c r="D1957" s="82" t="s">
        <v>2396</v>
      </c>
      <c r="E1957" s="83">
        <v>45323.0</v>
      </c>
      <c r="F1957" s="84" t="str">
        <f t="array" ref="F1957">XLOOKUP(G1957,Reference!$F:$F,Reference!$D:$D,"null")</f>
        <v>Rekreasi dan Kendaraan</v>
      </c>
      <c r="G1957" s="85" t="s">
        <v>102</v>
      </c>
      <c r="H1957" s="86">
        <v>105.23</v>
      </c>
      <c r="I1957" s="86">
        <v>104.66</v>
      </c>
      <c r="J1957" s="87">
        <f t="shared" si="2"/>
        <v>0.5446206765</v>
      </c>
      <c r="K1957" s="84" t="str">
        <f t="shared" si="3"/>
        <v>Inflasi Tinggi</v>
      </c>
      <c r="L1957" s="84">
        <f t="shared" si="4"/>
        <v>0.57</v>
      </c>
      <c r="M1957" s="88" t="str">
        <f t="shared" si="5"/>
        <v>Akselerasi Persentase</v>
      </c>
    </row>
    <row r="1958" ht="18.75" customHeight="1">
      <c r="A1958" s="80" t="s">
        <v>376</v>
      </c>
      <c r="B1958" s="81" t="str">
        <f t="shared" si="1"/>
        <v>Bulukumba</v>
      </c>
      <c r="C1958" s="81" t="str">
        <f t="array" ref="C1958">XLOOKUP(B1958,Reference!$A$2:$A$152,Reference!$B$2:$B$152)</f>
        <v>Sulawesi Selatan</v>
      </c>
      <c r="D1958" s="82" t="s">
        <v>2397</v>
      </c>
      <c r="E1958" s="83">
        <v>45352.0</v>
      </c>
      <c r="F1958" s="84" t="str">
        <f t="array" ref="F1958">XLOOKUP(G1958,Reference!$F:$F,Reference!$D:$D,"null")</f>
        <v>Makanan dan Pakaian </v>
      </c>
      <c r="G1958" s="85" t="s">
        <v>48</v>
      </c>
      <c r="H1958" s="86">
        <v>108.21</v>
      </c>
      <c r="I1958" s="86">
        <v>107.8</v>
      </c>
      <c r="J1958" s="87">
        <f t="shared" si="2"/>
        <v>0.3803339518</v>
      </c>
      <c r="K1958" s="84" t="str">
        <f t="shared" si="3"/>
        <v>Inflasi Normal</v>
      </c>
      <c r="L1958" s="84">
        <f t="shared" si="4"/>
        <v>0.41</v>
      </c>
      <c r="M1958" s="88" t="str">
        <f t="shared" si="5"/>
        <v>Perubahan Normal</v>
      </c>
    </row>
    <row r="1959" ht="18.75" customHeight="1">
      <c r="A1959" s="80" t="s">
        <v>399</v>
      </c>
      <c r="B1959" s="81" t="str">
        <f t="shared" si="1"/>
        <v>Sampit</v>
      </c>
      <c r="C1959" s="81" t="str">
        <f t="array" ref="C1959">XLOOKUP(B1959,Reference!$A$2:$A$152,Reference!$B$2:$B$152)</f>
        <v>Kalimantan Tengah</v>
      </c>
      <c r="D1959" s="82" t="s">
        <v>2398</v>
      </c>
      <c r="E1959" s="83">
        <v>45323.0</v>
      </c>
      <c r="F1959" s="84" t="str">
        <f t="array" ref="F1959">XLOOKUP(G1959,Reference!$F:$F,Reference!$D:$D,"null")</f>
        <v>Pendidikan dan Kesehatan</v>
      </c>
      <c r="G1959" s="85" t="s">
        <v>98</v>
      </c>
      <c r="H1959" s="86">
        <v>103.27</v>
      </c>
      <c r="I1959" s="86">
        <v>103.14</v>
      </c>
      <c r="J1959" s="87">
        <f t="shared" si="2"/>
        <v>0.1260422726</v>
      </c>
      <c r="K1959" s="84" t="str">
        <f t="shared" si="3"/>
        <v>Inflasi Normal</v>
      </c>
      <c r="L1959" s="84">
        <f t="shared" si="4"/>
        <v>0.13</v>
      </c>
      <c r="M1959" s="88" t="str">
        <f t="shared" si="5"/>
        <v>Perubahan Normal</v>
      </c>
    </row>
    <row r="1960" ht="18.75" customHeight="1">
      <c r="A1960" s="80" t="s">
        <v>342</v>
      </c>
      <c r="B1960" s="81" t="str">
        <f t="shared" si="1"/>
        <v>Kab Bandung</v>
      </c>
      <c r="C1960" s="81" t="str">
        <f t="array" ref="C1960">XLOOKUP(B1960,Reference!$A$2:$A$152,Reference!$B$2:$B$152)</f>
        <v>Jawa Barat</v>
      </c>
      <c r="D1960" s="82" t="s">
        <v>2399</v>
      </c>
      <c r="E1960" s="83">
        <v>45352.0</v>
      </c>
      <c r="F1960" s="84" t="str">
        <f t="array" ref="F1960">XLOOKUP(G1960,Reference!$F:$F,Reference!$D:$D,"null")</f>
        <v>Pendidikan dan Kesehatan</v>
      </c>
      <c r="G1960" s="85" t="s">
        <v>98</v>
      </c>
      <c r="H1960" s="86">
        <v>102.99</v>
      </c>
      <c r="I1960" s="86">
        <v>102.99</v>
      </c>
      <c r="J1960" s="87">
        <f t="shared" si="2"/>
        <v>0</v>
      </c>
      <c r="K1960" s="84" t="str">
        <f t="shared" si="3"/>
        <v>Stabil</v>
      </c>
      <c r="L1960" s="84">
        <f t="shared" si="4"/>
        <v>0</v>
      </c>
      <c r="M1960" s="88" t="str">
        <f t="shared" si="5"/>
        <v>Perubahan Normal</v>
      </c>
    </row>
    <row r="1961" ht="18.75" customHeight="1">
      <c r="A1961" s="80" t="s">
        <v>318</v>
      </c>
      <c r="B1961" s="81" t="str">
        <f t="shared" si="1"/>
        <v>Tanjung</v>
      </c>
      <c r="C1961" s="81" t="str">
        <f t="array" ref="C1961">XLOOKUP(B1961,Reference!$A$2:$A$152,Reference!$B$2:$B$152)</f>
        <v>Kalimantan Selatan</v>
      </c>
      <c r="D1961" s="82" t="s">
        <v>2400</v>
      </c>
      <c r="E1961" s="83">
        <v>45352.0</v>
      </c>
      <c r="F1961" s="84" t="str">
        <f t="array" ref="F1961">XLOOKUP(G1961,Reference!$F:$F,Reference!$D:$D,"null")</f>
        <v>Rumah Tangga</v>
      </c>
      <c r="G1961" s="89" t="s">
        <v>80</v>
      </c>
      <c r="H1961" s="90">
        <v>102.76</v>
      </c>
      <c r="I1961" s="90">
        <v>102.76</v>
      </c>
      <c r="J1961" s="87">
        <f t="shared" si="2"/>
        <v>0</v>
      </c>
      <c r="K1961" s="84" t="str">
        <f t="shared" si="3"/>
        <v>Stabil</v>
      </c>
      <c r="L1961" s="91">
        <f t="shared" si="4"/>
        <v>0</v>
      </c>
      <c r="M1961" s="88" t="str">
        <f t="shared" si="5"/>
        <v>Perubahan Normal</v>
      </c>
    </row>
    <row r="1962" ht="18.75" customHeight="1">
      <c r="A1962" s="80" t="s">
        <v>450</v>
      </c>
      <c r="B1962" s="81" t="str">
        <f t="shared" si="1"/>
        <v>Waingapu</v>
      </c>
      <c r="C1962" s="81" t="str">
        <f t="array" ref="C1962">XLOOKUP(B1962,Reference!$A$2:$A$152,Reference!$B$2:$B$152)</f>
        <v>Nusa Tenggara Timur (NTT)</v>
      </c>
      <c r="D1962" s="82" t="s">
        <v>2401</v>
      </c>
      <c r="E1962" s="83">
        <v>45352.0</v>
      </c>
      <c r="F1962" s="84" t="str">
        <f t="array" ref="F1962">XLOOKUP(G1962,Reference!$F:$F,Reference!$D:$D,"null")</f>
        <v>Rumah Tangga</v>
      </c>
      <c r="G1962" s="85" t="s">
        <v>89</v>
      </c>
      <c r="H1962" s="86">
        <v>98.77</v>
      </c>
      <c r="I1962" s="86">
        <v>98.77</v>
      </c>
      <c r="J1962" s="87">
        <f t="shared" si="2"/>
        <v>0</v>
      </c>
      <c r="K1962" s="84" t="str">
        <f t="shared" si="3"/>
        <v>Stabil</v>
      </c>
      <c r="L1962" s="84">
        <f t="shared" si="4"/>
        <v>0</v>
      </c>
      <c r="M1962" s="88" t="str">
        <f t="shared" si="5"/>
        <v>Perubahan Normal</v>
      </c>
    </row>
    <row r="1963" ht="18.75" customHeight="1">
      <c r="A1963" s="80" t="s">
        <v>391</v>
      </c>
      <c r="B1963" s="81" t="str">
        <f t="shared" si="1"/>
        <v>Kota Batam</v>
      </c>
      <c r="C1963" s="81" t="str">
        <f t="array" ref="C1963">XLOOKUP(B1963,Reference!$A$2:$A$152,Reference!$B$2:$B$152)</f>
        <v>Kepulauan Riau</v>
      </c>
      <c r="D1963" s="82" t="s">
        <v>2402</v>
      </c>
      <c r="E1963" s="83">
        <v>45323.0</v>
      </c>
      <c r="F1963" s="84" t="str">
        <f t="array" ref="F1963">XLOOKUP(G1963,Reference!$F:$F,Reference!$D:$D,"null")</f>
        <v>Makanan dan Pakaian </v>
      </c>
      <c r="G1963" s="85" t="s">
        <v>64</v>
      </c>
      <c r="H1963" s="86">
        <v>105.38</v>
      </c>
      <c r="I1963" s="86">
        <v>105.36</v>
      </c>
      <c r="J1963" s="87">
        <f t="shared" si="2"/>
        <v>0.01898253607</v>
      </c>
      <c r="K1963" s="84" t="str">
        <f t="shared" si="3"/>
        <v>Inflasi Normal</v>
      </c>
      <c r="L1963" s="84">
        <f t="shared" si="4"/>
        <v>0.02</v>
      </c>
      <c r="M1963" s="88" t="str">
        <f t="shared" si="5"/>
        <v>Perubahan Normal</v>
      </c>
    </row>
    <row r="1964" ht="18.75" customHeight="1">
      <c r="A1964" s="80" t="s">
        <v>353</v>
      </c>
      <c r="B1964" s="81" t="str">
        <f t="shared" si="1"/>
        <v>Kota Bau Bau</v>
      </c>
      <c r="C1964" s="81" t="str">
        <f t="array" ref="C1964">XLOOKUP(B1964,Reference!$A$2:$A$152,Reference!$B$2:$B$152)</f>
        <v>Sulawesi Tenggara</v>
      </c>
      <c r="D1964" s="82" t="s">
        <v>2403</v>
      </c>
      <c r="E1964" s="83">
        <v>45352.0</v>
      </c>
      <c r="F1964" s="84" t="str">
        <f t="array" ref="F1964">XLOOKUP(G1964,Reference!$F:$F,Reference!$D:$D,"null")</f>
        <v>Makanan dan Pakaian </v>
      </c>
      <c r="G1964" s="85" t="s">
        <v>64</v>
      </c>
      <c r="H1964" s="86">
        <v>102.09</v>
      </c>
      <c r="I1964" s="86">
        <v>101.64</v>
      </c>
      <c r="J1964" s="87">
        <f t="shared" si="2"/>
        <v>0.4427390791</v>
      </c>
      <c r="K1964" s="84" t="str">
        <f t="shared" si="3"/>
        <v>Inflasi Normal</v>
      </c>
      <c r="L1964" s="84">
        <f t="shared" si="4"/>
        <v>0.45</v>
      </c>
      <c r="M1964" s="88" t="str">
        <f t="shared" si="5"/>
        <v>Perubahan Normal</v>
      </c>
    </row>
    <row r="1965" ht="18.75" customHeight="1">
      <c r="A1965" s="80" t="s">
        <v>539</v>
      </c>
      <c r="B1965" s="81" t="str">
        <f t="shared" si="1"/>
        <v>Kab Sorong Selatan</v>
      </c>
      <c r="C1965" s="81" t="str">
        <f t="array" ref="C1965">XLOOKUP(B1965,Reference!$A$2:$A$152,Reference!$B$2:$B$152)</f>
        <v>Papua Barat Daya</v>
      </c>
      <c r="D1965" s="82" t="s">
        <v>2404</v>
      </c>
      <c r="E1965" s="83">
        <v>45323.0</v>
      </c>
      <c r="F1965" s="84" t="str">
        <f t="array" ref="F1965">XLOOKUP(G1965,Reference!$F:$F,Reference!$D:$D,"null")</f>
        <v>Pendidikan dan Kesehatan</v>
      </c>
      <c r="G1965" s="85" t="s">
        <v>98</v>
      </c>
      <c r="H1965" s="86">
        <v>107.3</v>
      </c>
      <c r="I1965" s="86">
        <v>107.3</v>
      </c>
      <c r="J1965" s="87">
        <f t="shared" si="2"/>
        <v>0</v>
      </c>
      <c r="K1965" s="84" t="str">
        <f t="shared" si="3"/>
        <v>Stabil</v>
      </c>
      <c r="L1965" s="84">
        <f t="shared" si="4"/>
        <v>0</v>
      </c>
      <c r="M1965" s="88" t="str">
        <f t="shared" si="5"/>
        <v>Perubahan Normal</v>
      </c>
    </row>
    <row r="1966" ht="18.75" customHeight="1">
      <c r="A1966" s="80" t="s">
        <v>393</v>
      </c>
      <c r="B1966" s="81" t="str">
        <f t="shared" si="1"/>
        <v>Kab Sumbawa</v>
      </c>
      <c r="C1966" s="81" t="str">
        <f t="array" ref="C1966">XLOOKUP(B1966,Reference!$A$2:$A$152,Reference!$B$2:$B$152)</f>
        <v>Nusa Tenggara Barat (NTB)</v>
      </c>
      <c r="D1966" s="82" t="s">
        <v>2405</v>
      </c>
      <c r="E1966" s="83">
        <v>45352.0</v>
      </c>
      <c r="F1966" s="84" t="str">
        <f t="array" ref="F1966">XLOOKUP(G1966,Reference!$F:$F,Reference!$D:$D,"null")</f>
        <v>Rumah Tangga</v>
      </c>
      <c r="G1966" s="89" t="s">
        <v>89</v>
      </c>
      <c r="H1966" s="90">
        <v>101.51</v>
      </c>
      <c r="I1966" s="90">
        <v>101.51</v>
      </c>
      <c r="J1966" s="87">
        <f t="shared" si="2"/>
        <v>0</v>
      </c>
      <c r="K1966" s="84" t="str">
        <f t="shared" si="3"/>
        <v>Stabil</v>
      </c>
      <c r="L1966" s="91">
        <f t="shared" si="4"/>
        <v>0</v>
      </c>
      <c r="M1966" s="88" t="str">
        <f t="shared" si="5"/>
        <v>Perubahan Normal</v>
      </c>
    </row>
    <row r="1967" ht="18.75" customHeight="1">
      <c r="A1967" s="80" t="s">
        <v>508</v>
      </c>
      <c r="B1967" s="81" t="str">
        <f t="shared" si="1"/>
        <v>Kab Minahasa Selatan</v>
      </c>
      <c r="C1967" s="81" t="str">
        <f t="array" ref="C1967">XLOOKUP(B1967,Reference!$A$2:$A$152,Reference!$B$2:$B$152)</f>
        <v>Sulawesi Utara</v>
      </c>
      <c r="D1967" s="82" t="s">
        <v>2406</v>
      </c>
      <c r="E1967" s="83">
        <v>45352.0</v>
      </c>
      <c r="F1967" s="84" t="str">
        <f t="array" ref="F1967">XLOOKUP(G1967,Reference!$F:$F,Reference!$D:$D,"null")</f>
        <v>Rumah Tangga</v>
      </c>
      <c r="G1967" s="85" t="s">
        <v>84</v>
      </c>
      <c r="H1967" s="86">
        <v>103.79</v>
      </c>
      <c r="I1967" s="86">
        <v>103.79</v>
      </c>
      <c r="J1967" s="87">
        <f t="shared" si="2"/>
        <v>0</v>
      </c>
      <c r="K1967" s="84" t="str">
        <f t="shared" si="3"/>
        <v>Stabil</v>
      </c>
      <c r="L1967" s="84">
        <f t="shared" si="4"/>
        <v>0</v>
      </c>
      <c r="M1967" s="88" t="str">
        <f t="shared" si="5"/>
        <v>Perubahan Normal</v>
      </c>
    </row>
    <row r="1968" ht="18.75" customHeight="1">
      <c r="A1968" s="80" t="s">
        <v>731</v>
      </c>
      <c r="B1968" s="81" t="str">
        <f t="shared" si="1"/>
        <v>Kab Hulu Sungai Tengah</v>
      </c>
      <c r="C1968" s="81" t="str">
        <f t="array" ref="C1968">XLOOKUP(B1968,Reference!$A$2:$A$152,Reference!$B$2:$B$152)</f>
        <v>Kalimantan Selatan</v>
      </c>
      <c r="D1968" s="82" t="s">
        <v>2407</v>
      </c>
      <c r="E1968" s="83">
        <v>45323.0</v>
      </c>
      <c r="F1968" s="84" t="str">
        <f t="array" ref="F1968">XLOOKUP(G1968,Reference!$F:$F,Reference!$D:$D,"null")</f>
        <v>Rumah Tangga</v>
      </c>
      <c r="G1968" s="85" t="s">
        <v>84</v>
      </c>
      <c r="H1968" s="86">
        <v>99.68</v>
      </c>
      <c r="I1968" s="86">
        <v>99.96</v>
      </c>
      <c r="J1968" s="87">
        <f t="shared" si="2"/>
        <v>-0.2801120448</v>
      </c>
      <c r="K1968" s="84" t="str">
        <f t="shared" si="3"/>
        <v>Deflasi</v>
      </c>
      <c r="L1968" s="84">
        <f t="shared" si="4"/>
        <v>-0.28</v>
      </c>
      <c r="M1968" s="88" t="str">
        <f t="shared" si="5"/>
        <v>Perubahan Normal</v>
      </c>
    </row>
    <row r="1969" ht="18.75" customHeight="1">
      <c r="A1969" s="80" t="s">
        <v>925</v>
      </c>
      <c r="B1969" s="81" t="str">
        <f t="shared" si="1"/>
        <v>Kota Jakarta</v>
      </c>
      <c r="C1969" s="81" t="str">
        <f t="array" ref="C1969">XLOOKUP(B1969,Reference!$A$2:$A$152,Reference!$B$2:$B$152)</f>
        <v>DKI Jakarta</v>
      </c>
      <c r="D1969" s="82" t="s">
        <v>2408</v>
      </c>
      <c r="E1969" s="83">
        <v>45323.0</v>
      </c>
      <c r="F1969" s="84" t="str">
        <f t="array" ref="F1969">XLOOKUP(G1969,Reference!$F:$F,Reference!$D:$D,"null")</f>
        <v>Makanan dan Pakaian </v>
      </c>
      <c r="G1969" s="85" t="s">
        <v>64</v>
      </c>
      <c r="H1969" s="86">
        <v>97.56</v>
      </c>
      <c r="I1969" s="86">
        <v>97.59</v>
      </c>
      <c r="J1969" s="87">
        <f t="shared" si="2"/>
        <v>-0.0307408546</v>
      </c>
      <c r="K1969" s="84" t="str">
        <f t="shared" si="3"/>
        <v>Deflasi</v>
      </c>
      <c r="L1969" s="84">
        <f t="shared" si="4"/>
        <v>-0.03</v>
      </c>
      <c r="M1969" s="88" t="str">
        <f t="shared" si="5"/>
        <v>Perubahan Normal</v>
      </c>
    </row>
    <row r="1970" ht="18.75" customHeight="1">
      <c r="A1970" s="80" t="s">
        <v>672</v>
      </c>
      <c r="B1970" s="81" t="str">
        <f t="shared" si="1"/>
        <v>Kab Ogan Komering Ilir</v>
      </c>
      <c r="C1970" s="81" t="str">
        <f t="array" ref="C1970">XLOOKUP(B1970,Reference!$A$2:$A$152,Reference!$B$2:$B$152)</f>
        <v>Sumatera Selatan</v>
      </c>
      <c r="D1970" s="82" t="s">
        <v>2409</v>
      </c>
      <c r="E1970" s="83">
        <v>45352.0</v>
      </c>
      <c r="F1970" s="84" t="str">
        <f t="array" ref="F1970">XLOOKUP(G1970,Reference!$F:$F,Reference!$D:$D,"null")</f>
        <v>Pendidikan dan Kesehatan</v>
      </c>
      <c r="G1970" s="85" t="s">
        <v>98</v>
      </c>
      <c r="H1970" s="86">
        <v>106.71</v>
      </c>
      <c r="I1970" s="86">
        <v>105.65</v>
      </c>
      <c r="J1970" s="87">
        <f t="shared" si="2"/>
        <v>1.003312825</v>
      </c>
      <c r="K1970" s="84" t="str">
        <f t="shared" si="3"/>
        <v>Inflasi Tinggi</v>
      </c>
      <c r="L1970" s="84">
        <f t="shared" si="4"/>
        <v>1.06</v>
      </c>
      <c r="M1970" s="88" t="str">
        <f t="shared" si="5"/>
        <v>Akselerasi Persentase</v>
      </c>
    </row>
    <row r="1971" ht="18.75" customHeight="1">
      <c r="A1971" s="80" t="s">
        <v>727</v>
      </c>
      <c r="B1971" s="81" t="str">
        <f t="shared" si="1"/>
        <v>Kab Badung</v>
      </c>
      <c r="C1971" s="81" t="str">
        <f t="array" ref="C1971">XLOOKUP(B1971,Reference!$A$2:$A$152,Reference!$B$2:$B$152)</f>
        <v>Bali</v>
      </c>
      <c r="D1971" s="82" t="s">
        <v>2410</v>
      </c>
      <c r="E1971" s="83">
        <v>45352.0</v>
      </c>
      <c r="F1971" s="84" t="str">
        <f t="array" ref="F1971">XLOOKUP(G1971,Reference!$F:$F,Reference!$D:$D,"null")</f>
        <v>Makanan dan Pakaian </v>
      </c>
      <c r="G1971" s="85" t="s">
        <v>56</v>
      </c>
      <c r="H1971" s="86">
        <v>103.92</v>
      </c>
      <c r="I1971" s="86">
        <v>103.92</v>
      </c>
      <c r="J1971" s="87">
        <f t="shared" si="2"/>
        <v>0</v>
      </c>
      <c r="K1971" s="84" t="str">
        <f t="shared" si="3"/>
        <v>Stabil</v>
      </c>
      <c r="L1971" s="84">
        <f t="shared" si="4"/>
        <v>0</v>
      </c>
      <c r="M1971" s="88" t="str">
        <f t="shared" si="5"/>
        <v>Perubahan Normal</v>
      </c>
    </row>
    <row r="1972" ht="18.75" customHeight="1">
      <c r="A1972" s="80" t="s">
        <v>462</v>
      </c>
      <c r="B1972" s="81" t="str">
        <f t="shared" si="1"/>
        <v>Kota Probolinggo</v>
      </c>
      <c r="C1972" s="81" t="str">
        <f t="array" ref="C1972">XLOOKUP(B1972,Reference!$A$2:$A$152,Reference!$B$2:$B$152)</f>
        <v>Jawa Timur</v>
      </c>
      <c r="D1972" s="82" t="s">
        <v>2411</v>
      </c>
      <c r="E1972" s="83">
        <v>45352.0</v>
      </c>
      <c r="F1972" s="84" t="str">
        <f t="array" ref="F1972">XLOOKUP(G1972,Reference!$F:$F,Reference!$D:$D,"null")</f>
        <v>Rumah Tangga</v>
      </c>
      <c r="G1972" s="85" t="s">
        <v>84</v>
      </c>
      <c r="H1972" s="86">
        <v>100.09</v>
      </c>
      <c r="I1972" s="86">
        <v>100.09</v>
      </c>
      <c r="J1972" s="87">
        <f t="shared" si="2"/>
        <v>0</v>
      </c>
      <c r="K1972" s="84" t="str">
        <f t="shared" si="3"/>
        <v>Stabil</v>
      </c>
      <c r="L1972" s="84">
        <f t="shared" si="4"/>
        <v>0</v>
      </c>
      <c r="M1972" s="88" t="str">
        <f t="shared" si="5"/>
        <v>Perubahan Normal</v>
      </c>
    </row>
    <row r="1973" ht="18.75" customHeight="1">
      <c r="A1973" s="80" t="s">
        <v>387</v>
      </c>
      <c r="B1973" s="81" t="str">
        <f t="shared" si="1"/>
        <v>Kota Semarang</v>
      </c>
      <c r="C1973" s="81" t="str">
        <f t="array" ref="C1973">XLOOKUP(B1973,Reference!$A$2:$A$152,Reference!$B$2:$B$152)</f>
        <v>Jawa Tengah</v>
      </c>
      <c r="D1973" s="82" t="s">
        <v>2412</v>
      </c>
      <c r="E1973" s="83">
        <v>45323.0</v>
      </c>
      <c r="F1973" s="84" t="str">
        <f t="array" ref="F1973">XLOOKUP(G1973,Reference!$F:$F,Reference!$D:$D,"null")</f>
        <v>Rekreasi dan Kendaraan</v>
      </c>
      <c r="G1973" s="85" t="s">
        <v>102</v>
      </c>
      <c r="H1973" s="86">
        <v>101.78</v>
      </c>
      <c r="I1973" s="86">
        <v>101.65</v>
      </c>
      <c r="J1973" s="87">
        <f t="shared" si="2"/>
        <v>0.127889818</v>
      </c>
      <c r="K1973" s="84" t="str">
        <f t="shared" si="3"/>
        <v>Inflasi Normal</v>
      </c>
      <c r="L1973" s="84">
        <f t="shared" si="4"/>
        <v>0.13</v>
      </c>
      <c r="M1973" s="88" t="str">
        <f t="shared" si="5"/>
        <v>Perubahan Normal</v>
      </c>
    </row>
    <row r="1974" ht="18.75" customHeight="1">
      <c r="A1974" s="80" t="s">
        <v>1282</v>
      </c>
      <c r="B1974" s="81" t="str">
        <f t="shared" si="1"/>
        <v>Kota Bima</v>
      </c>
      <c r="C1974" s="81" t="str">
        <f t="array" ref="C1974">XLOOKUP(B1974,Reference!$A$2:$A$152,Reference!$B$2:$B$152)</f>
        <v>Nusa Tenggara Barat (NTB)</v>
      </c>
      <c r="D1974" s="82" t="s">
        <v>2413</v>
      </c>
      <c r="E1974" s="83">
        <v>45352.0</v>
      </c>
      <c r="F1974" s="84" t="str">
        <f t="array" ref="F1974">XLOOKUP(G1974,Reference!$F:$F,Reference!$D:$D,"null")</f>
        <v>Pendidikan dan Kesehatan</v>
      </c>
      <c r="G1974" s="85" t="s">
        <v>95</v>
      </c>
      <c r="H1974" s="86">
        <v>101.79</v>
      </c>
      <c r="I1974" s="86">
        <v>101.79</v>
      </c>
      <c r="J1974" s="87">
        <f t="shared" si="2"/>
        <v>0</v>
      </c>
      <c r="K1974" s="84" t="str">
        <f t="shared" si="3"/>
        <v>Stabil</v>
      </c>
      <c r="L1974" s="84">
        <f t="shared" si="4"/>
        <v>0</v>
      </c>
      <c r="M1974" s="88" t="str">
        <f t="shared" si="5"/>
        <v>Perubahan Normal</v>
      </c>
    </row>
    <row r="1975" ht="18.75" customHeight="1">
      <c r="A1975" s="80" t="s">
        <v>296</v>
      </c>
      <c r="B1975" s="81" t="str">
        <f t="shared" si="1"/>
        <v>Kota Bogor</v>
      </c>
      <c r="C1975" s="81" t="str">
        <f t="array" ref="C1975">XLOOKUP(B1975,Reference!$A$2:$A$152,Reference!$B$2:$B$152)</f>
        <v>Jawa Barat</v>
      </c>
      <c r="D1975" s="82" t="s">
        <v>2414</v>
      </c>
      <c r="E1975" s="83">
        <v>45352.0</v>
      </c>
      <c r="F1975" s="84" t="str">
        <f t="array" ref="F1975">XLOOKUP(G1975,Reference!$F:$F,Reference!$D:$D,"null")</f>
        <v>Pendidikan dan Kesehatan</v>
      </c>
      <c r="G1975" s="85" t="s">
        <v>95</v>
      </c>
      <c r="H1975" s="86">
        <v>102.38</v>
      </c>
      <c r="I1975" s="86">
        <v>102.38</v>
      </c>
      <c r="J1975" s="87">
        <f t="shared" si="2"/>
        <v>0</v>
      </c>
      <c r="K1975" s="84" t="str">
        <f t="shared" si="3"/>
        <v>Stabil</v>
      </c>
      <c r="L1975" s="84">
        <f t="shared" si="4"/>
        <v>0</v>
      </c>
      <c r="M1975" s="88" t="str">
        <f t="shared" si="5"/>
        <v>Perubahan Normal</v>
      </c>
    </row>
    <row r="1976" ht="18.75" customHeight="1">
      <c r="A1976" s="80" t="s">
        <v>965</v>
      </c>
      <c r="B1976" s="81" t="str">
        <f t="shared" si="1"/>
        <v>Kab Konawe</v>
      </c>
      <c r="C1976" s="81" t="str">
        <f t="array" ref="C1976">XLOOKUP(B1976,Reference!$A$2:$A$152,Reference!$B$2:$B$152)</f>
        <v>Sulawesi Tenggara</v>
      </c>
      <c r="D1976" s="82" t="s">
        <v>2415</v>
      </c>
      <c r="E1976" s="83">
        <v>45323.0</v>
      </c>
      <c r="F1976" s="84" t="str">
        <f t="array" ref="F1976">XLOOKUP(G1976,Reference!$F:$F,Reference!$D:$D,"null")</f>
        <v>Makanan dan Pakaian </v>
      </c>
      <c r="G1976" s="85" t="s">
        <v>72</v>
      </c>
      <c r="H1976" s="86">
        <v>107.12</v>
      </c>
      <c r="I1976" s="86">
        <v>107.12</v>
      </c>
      <c r="J1976" s="87">
        <f t="shared" si="2"/>
        <v>0</v>
      </c>
      <c r="K1976" s="84" t="str">
        <f t="shared" si="3"/>
        <v>Stabil</v>
      </c>
      <c r="L1976" s="84">
        <f t="shared" si="4"/>
        <v>0</v>
      </c>
      <c r="M1976" s="88" t="str">
        <f t="shared" si="5"/>
        <v>Perubahan Normal</v>
      </c>
    </row>
    <row r="1977" ht="18.75" customHeight="1">
      <c r="A1977" s="80" t="s">
        <v>429</v>
      </c>
      <c r="B1977" s="81" t="str">
        <f t="shared" si="1"/>
        <v>Kab Nabire</v>
      </c>
      <c r="C1977" s="81" t="str">
        <f t="array" ref="C1977">XLOOKUP(B1977,Reference!$A$2:$A$152,Reference!$B$2:$B$152)</f>
        <v>Papua</v>
      </c>
      <c r="D1977" s="82" t="s">
        <v>2416</v>
      </c>
      <c r="E1977" s="83">
        <v>45352.0</v>
      </c>
      <c r="F1977" s="84" t="str">
        <f t="array" ref="F1977">XLOOKUP(G1977,Reference!$F:$F,Reference!$D:$D,"null")</f>
        <v>Rumah Tangga</v>
      </c>
      <c r="G1977" s="85" t="s">
        <v>84</v>
      </c>
      <c r="H1977" s="86">
        <v>107.43</v>
      </c>
      <c r="I1977" s="86">
        <v>107.48</v>
      </c>
      <c r="J1977" s="87">
        <f t="shared" si="2"/>
        <v>-0.04652028284</v>
      </c>
      <c r="K1977" s="84" t="str">
        <f t="shared" si="3"/>
        <v>Deflasi</v>
      </c>
      <c r="L1977" s="84">
        <f t="shared" si="4"/>
        <v>-0.05</v>
      </c>
      <c r="M1977" s="88" t="str">
        <f t="shared" si="5"/>
        <v>Perubahan Normal</v>
      </c>
    </row>
    <row r="1978" ht="18.75" customHeight="1">
      <c r="A1978" s="80" t="s">
        <v>576</v>
      </c>
      <c r="B1978" s="81" t="str">
        <f t="shared" si="1"/>
        <v>Kab Tabanan</v>
      </c>
      <c r="C1978" s="81" t="str">
        <f t="array" ref="C1978">XLOOKUP(B1978,Reference!$A$2:$A$152,Reference!$B$2:$B$152)</f>
        <v>Bali</v>
      </c>
      <c r="D1978" s="82" t="s">
        <v>2417</v>
      </c>
      <c r="E1978" s="83">
        <v>45352.0</v>
      </c>
      <c r="F1978" s="84" t="str">
        <f t="array" ref="F1978">XLOOKUP(G1978,Reference!$F:$F,Reference!$D:$D,"null")</f>
        <v>Rekreasi dan Kendaraan</v>
      </c>
      <c r="G1978" s="85" t="s">
        <v>102</v>
      </c>
      <c r="H1978" s="86">
        <v>116.97</v>
      </c>
      <c r="I1978" s="86">
        <v>116.97</v>
      </c>
      <c r="J1978" s="87">
        <f t="shared" si="2"/>
        <v>0</v>
      </c>
      <c r="K1978" s="84" t="str">
        <f t="shared" si="3"/>
        <v>Stabil</v>
      </c>
      <c r="L1978" s="84">
        <f t="shared" si="4"/>
        <v>0</v>
      </c>
      <c r="M1978" s="88" t="str">
        <f t="shared" si="5"/>
        <v>Perubahan Normal</v>
      </c>
    </row>
    <row r="1979" ht="18.75" customHeight="1">
      <c r="A1979" s="80" t="s">
        <v>468</v>
      </c>
      <c r="B1979" s="81" t="str">
        <f t="shared" si="1"/>
        <v>Timika</v>
      </c>
      <c r="C1979" s="81" t="str">
        <f t="array" ref="C1979">XLOOKUP(B1979,Reference!$A$2:$A$152,Reference!$B$2:$B$152)</f>
        <v>Papua</v>
      </c>
      <c r="D1979" s="82" t="s">
        <v>2418</v>
      </c>
      <c r="E1979" s="83">
        <v>45352.0</v>
      </c>
      <c r="F1979" s="84" t="str">
        <f t="array" ref="F1979">XLOOKUP(G1979,Reference!$F:$F,Reference!$D:$D,"null")</f>
        <v>Rumah Tangga</v>
      </c>
      <c r="G1979" s="85" t="s">
        <v>84</v>
      </c>
      <c r="H1979" s="86">
        <v>106.22</v>
      </c>
      <c r="I1979" s="86">
        <v>106.53</v>
      </c>
      <c r="J1979" s="87">
        <f t="shared" si="2"/>
        <v>-0.290997841</v>
      </c>
      <c r="K1979" s="84" t="str">
        <f t="shared" si="3"/>
        <v>Deflasi</v>
      </c>
      <c r="L1979" s="84">
        <f t="shared" si="4"/>
        <v>-0.31</v>
      </c>
      <c r="M1979" s="88" t="str">
        <f t="shared" si="5"/>
        <v>Perubahan Normal</v>
      </c>
    </row>
    <row r="1980" ht="18.75" customHeight="1">
      <c r="A1980" s="80" t="s">
        <v>715</v>
      </c>
      <c r="B1980" s="81" t="str">
        <f t="shared" si="1"/>
        <v>Kab Bojonegoro</v>
      </c>
      <c r="C1980" s="81" t="str">
        <f t="array" ref="C1980">XLOOKUP(B1980,Reference!$A$2:$A$152,Reference!$B$2:$B$152)</f>
        <v>Jawa Timur</v>
      </c>
      <c r="D1980" s="82" t="s">
        <v>2419</v>
      </c>
      <c r="E1980" s="83">
        <v>45323.0</v>
      </c>
      <c r="F1980" s="84" t="str">
        <f t="array" ref="F1980">XLOOKUP(G1980,Reference!$F:$F,Reference!$D:$D,"null")</f>
        <v>Makanan dan Pakaian </v>
      </c>
      <c r="G1980" s="85" t="s">
        <v>48</v>
      </c>
      <c r="H1980" s="86">
        <v>115.95</v>
      </c>
      <c r="I1980" s="86">
        <v>115.25</v>
      </c>
      <c r="J1980" s="87">
        <f t="shared" si="2"/>
        <v>0.6073752711</v>
      </c>
      <c r="K1980" s="84" t="str">
        <f t="shared" si="3"/>
        <v>Inflasi Tinggi</v>
      </c>
      <c r="L1980" s="84">
        <f t="shared" si="4"/>
        <v>0.7</v>
      </c>
      <c r="M1980" s="88" t="str">
        <f t="shared" si="5"/>
        <v>Akselerasi Persentase</v>
      </c>
    </row>
    <row r="1981" ht="18.75" customHeight="1">
      <c r="A1981" s="80" t="s">
        <v>837</v>
      </c>
      <c r="B1981" s="81" t="str">
        <f t="shared" si="1"/>
        <v>Kab Luwu Timur</v>
      </c>
      <c r="C1981" s="81" t="str">
        <f t="array" ref="C1981">XLOOKUP(B1981,Reference!$A$2:$A$152,Reference!$B$2:$B$152)</f>
        <v>Sulawesi Selatan</v>
      </c>
      <c r="D1981" s="82" t="s">
        <v>2420</v>
      </c>
      <c r="E1981" s="83">
        <v>45323.0</v>
      </c>
      <c r="F1981" s="84" t="str">
        <f t="array" ref="F1981">XLOOKUP(G1981,Reference!$F:$F,Reference!$D:$D,"null")</f>
        <v>Rumah Tangga</v>
      </c>
      <c r="G1981" s="85" t="s">
        <v>84</v>
      </c>
      <c r="H1981" s="86">
        <v>96.73</v>
      </c>
      <c r="I1981" s="86">
        <v>96.78</v>
      </c>
      <c r="J1981" s="87">
        <f t="shared" si="2"/>
        <v>-0.05166356685</v>
      </c>
      <c r="K1981" s="84" t="str">
        <f t="shared" si="3"/>
        <v>Deflasi</v>
      </c>
      <c r="L1981" s="84">
        <f t="shared" si="4"/>
        <v>-0.05</v>
      </c>
      <c r="M1981" s="88" t="str">
        <f t="shared" si="5"/>
        <v>Perubahan Normal</v>
      </c>
    </row>
    <row r="1982" ht="18.75" customHeight="1">
      <c r="A1982" s="80" t="s">
        <v>642</v>
      </c>
      <c r="B1982" s="81" t="str">
        <f t="shared" si="1"/>
        <v>Kota Bandar Lampung</v>
      </c>
      <c r="C1982" s="81" t="str">
        <f t="array" ref="C1982">XLOOKUP(B1982,Reference!$A$2:$A$152,Reference!$B$2:$B$152)</f>
        <v>Lampung</v>
      </c>
      <c r="D1982" s="82" t="s">
        <v>2421</v>
      </c>
      <c r="E1982" s="83">
        <v>45323.0</v>
      </c>
      <c r="F1982" s="84" t="str">
        <f t="array" ref="F1982">XLOOKUP(G1982,Reference!$F:$F,Reference!$D:$D,"null")</f>
        <v>Rekreasi dan Kendaraan</v>
      </c>
      <c r="G1982" s="85" t="s">
        <v>105</v>
      </c>
      <c r="H1982" s="86">
        <v>102.55</v>
      </c>
      <c r="I1982" s="86">
        <v>102.55</v>
      </c>
      <c r="J1982" s="87">
        <f t="shared" si="2"/>
        <v>0</v>
      </c>
      <c r="K1982" s="84" t="str">
        <f t="shared" si="3"/>
        <v>Stabil</v>
      </c>
      <c r="L1982" s="84">
        <f t="shared" si="4"/>
        <v>0</v>
      </c>
      <c r="M1982" s="88" t="str">
        <f t="shared" si="5"/>
        <v>Perubahan Normal</v>
      </c>
    </row>
    <row r="1983" ht="18.75" customHeight="1">
      <c r="A1983" s="80" t="s">
        <v>502</v>
      </c>
      <c r="B1983" s="81" t="str">
        <f t="shared" si="1"/>
        <v>Muara Bungo</v>
      </c>
      <c r="C1983" s="81" t="str">
        <f t="array" ref="C1983">XLOOKUP(B1983,Reference!$A$2:$A$152,Reference!$B$2:$B$152)</f>
        <v>Jambi</v>
      </c>
      <c r="D1983" s="82" t="s">
        <v>2422</v>
      </c>
      <c r="E1983" s="83">
        <v>45352.0</v>
      </c>
      <c r="F1983" s="84" t="str">
        <f t="array" ref="F1983">XLOOKUP(G1983,Reference!$F:$F,Reference!$D:$D,"null")</f>
        <v>Rumah Tangga</v>
      </c>
      <c r="G1983" s="85" t="s">
        <v>89</v>
      </c>
      <c r="H1983" s="86">
        <v>103.8</v>
      </c>
      <c r="I1983" s="86">
        <v>103.8</v>
      </c>
      <c r="J1983" s="87">
        <f t="shared" si="2"/>
        <v>0</v>
      </c>
      <c r="K1983" s="84" t="str">
        <f t="shared" si="3"/>
        <v>Stabil</v>
      </c>
      <c r="L1983" s="84">
        <f t="shared" si="4"/>
        <v>0</v>
      </c>
      <c r="M1983" s="88" t="str">
        <f t="shared" si="5"/>
        <v>Perubahan Normal</v>
      </c>
    </row>
    <row r="1984" ht="18.75" customHeight="1">
      <c r="A1984" s="80" t="s">
        <v>822</v>
      </c>
      <c r="B1984" s="81" t="str">
        <f t="shared" si="1"/>
        <v>Kota Pontianak</v>
      </c>
      <c r="C1984" s="81" t="str">
        <f t="array" ref="C1984">XLOOKUP(B1984,Reference!$A$2:$A$152,Reference!$B$2:$B$152)</f>
        <v>Kalimantan Barat</v>
      </c>
      <c r="D1984" s="82" t="s">
        <v>2423</v>
      </c>
      <c r="E1984" s="83">
        <v>45352.0</v>
      </c>
      <c r="F1984" s="84" t="str">
        <f t="array" ref="F1984">XLOOKUP(G1984,Reference!$F:$F,Reference!$D:$D,"null")</f>
        <v>Pendidikan dan Kesehatan</v>
      </c>
      <c r="G1984" s="85" t="s">
        <v>98</v>
      </c>
      <c r="H1984" s="86">
        <v>100.83</v>
      </c>
      <c r="I1984" s="86">
        <v>101.41</v>
      </c>
      <c r="J1984" s="87">
        <f t="shared" si="2"/>
        <v>-0.5719357065</v>
      </c>
      <c r="K1984" s="84" t="str">
        <f t="shared" si="3"/>
        <v>Deflasi</v>
      </c>
      <c r="L1984" s="84">
        <f t="shared" si="4"/>
        <v>-0.58</v>
      </c>
      <c r="M1984" s="88" t="str">
        <f t="shared" si="5"/>
        <v>Perubahan Normal</v>
      </c>
    </row>
    <row r="1985" ht="18.75" customHeight="1">
      <c r="A1985" s="80" t="s">
        <v>642</v>
      </c>
      <c r="B1985" s="81" t="str">
        <f t="shared" si="1"/>
        <v>Kota Bandar Lampung</v>
      </c>
      <c r="C1985" s="81" t="str">
        <f t="array" ref="C1985">XLOOKUP(B1985,Reference!$A$2:$A$152,Reference!$B$2:$B$152)</f>
        <v>Lampung</v>
      </c>
      <c r="D1985" s="82" t="s">
        <v>2424</v>
      </c>
      <c r="E1985" s="83">
        <v>45352.0</v>
      </c>
      <c r="F1985" s="84" t="str">
        <f t="array" ref="F1985">XLOOKUP(G1985,Reference!$F:$F,Reference!$D:$D,"null")</f>
        <v>Makanan dan Pakaian </v>
      </c>
      <c r="G1985" s="85" t="s">
        <v>64</v>
      </c>
      <c r="H1985" s="86">
        <v>104.52</v>
      </c>
      <c r="I1985" s="86">
        <v>104.32</v>
      </c>
      <c r="J1985" s="87">
        <f t="shared" si="2"/>
        <v>0.1917177914</v>
      </c>
      <c r="K1985" s="84" t="str">
        <f t="shared" si="3"/>
        <v>Inflasi Normal</v>
      </c>
      <c r="L1985" s="84">
        <f t="shared" si="4"/>
        <v>0.2</v>
      </c>
      <c r="M1985" s="88" t="str">
        <f t="shared" si="5"/>
        <v>Perubahan Normal</v>
      </c>
    </row>
    <row r="1986" ht="18.75" customHeight="1">
      <c r="A1986" s="80" t="s">
        <v>370</v>
      </c>
      <c r="B1986" s="81" t="str">
        <f t="shared" si="1"/>
        <v>Jember</v>
      </c>
      <c r="C1986" s="81" t="str">
        <f t="array" ref="C1986">XLOOKUP(B1986,Reference!$A$2:$A$152,Reference!$B$2:$B$152)</f>
        <v>Jawa Timur</v>
      </c>
      <c r="D1986" s="82" t="s">
        <v>2425</v>
      </c>
      <c r="E1986" s="83">
        <v>45323.0</v>
      </c>
      <c r="F1986" s="84" t="str">
        <f t="array" ref="F1986">XLOOKUP(G1986,Reference!$F:$F,Reference!$D:$D,"null")</f>
        <v>Rekreasi dan Kendaraan</v>
      </c>
      <c r="G1986" s="85" t="s">
        <v>102</v>
      </c>
      <c r="H1986" s="86">
        <v>100.96</v>
      </c>
      <c r="I1986" s="86">
        <v>100.4</v>
      </c>
      <c r="J1986" s="87">
        <f t="shared" si="2"/>
        <v>0.5577689243</v>
      </c>
      <c r="K1986" s="84" t="str">
        <f t="shared" si="3"/>
        <v>Inflasi Tinggi</v>
      </c>
      <c r="L1986" s="84">
        <f t="shared" si="4"/>
        <v>0.56</v>
      </c>
      <c r="M1986" s="88" t="str">
        <f t="shared" si="5"/>
        <v>Akselerasi Persentase</v>
      </c>
    </row>
    <row r="1987" ht="18.75" customHeight="1">
      <c r="A1987" s="80" t="s">
        <v>578</v>
      </c>
      <c r="B1987" s="81" t="str">
        <f t="shared" si="1"/>
        <v>Kab Belitung Timur</v>
      </c>
      <c r="C1987" s="81" t="str">
        <f t="array" ref="C1987">XLOOKUP(B1987,Reference!$A$2:$A$152,Reference!$B$2:$B$152)</f>
        <v>Kepulauan Bangka Belitung</v>
      </c>
      <c r="D1987" s="82" t="s">
        <v>2426</v>
      </c>
      <c r="E1987" s="83">
        <v>45323.0</v>
      </c>
      <c r="F1987" s="84" t="str">
        <f t="array" ref="F1987">XLOOKUP(G1987,Reference!$F:$F,Reference!$D:$D,"null")</f>
        <v>Rumah Tangga</v>
      </c>
      <c r="G1987" s="85" t="s">
        <v>84</v>
      </c>
      <c r="H1987" s="86">
        <v>96.52</v>
      </c>
      <c r="I1987" s="86">
        <v>96.44</v>
      </c>
      <c r="J1987" s="87">
        <f t="shared" si="2"/>
        <v>0.08295313148</v>
      </c>
      <c r="K1987" s="84" t="str">
        <f t="shared" si="3"/>
        <v>Inflasi Normal</v>
      </c>
      <c r="L1987" s="84">
        <f t="shared" si="4"/>
        <v>0.08</v>
      </c>
      <c r="M1987" s="88" t="str">
        <f t="shared" si="5"/>
        <v>Perubahan Normal</v>
      </c>
    </row>
    <row r="1988" ht="18.75" customHeight="1">
      <c r="A1988" s="80" t="s">
        <v>822</v>
      </c>
      <c r="B1988" s="81" t="str">
        <f t="shared" si="1"/>
        <v>Kota Pontianak</v>
      </c>
      <c r="C1988" s="81" t="str">
        <f t="array" ref="C1988">XLOOKUP(B1988,Reference!$A$2:$A$152,Reference!$B$2:$B$152)</f>
        <v>Kalimantan Barat</v>
      </c>
      <c r="D1988" s="82" t="s">
        <v>2427</v>
      </c>
      <c r="E1988" s="83">
        <v>45323.0</v>
      </c>
      <c r="F1988" s="84" t="str">
        <f t="array" ref="F1988">XLOOKUP(G1988,Reference!$F:$F,Reference!$D:$D,"null")</f>
        <v>Pendidikan dan Kesehatan</v>
      </c>
      <c r="G1988" s="85" t="s">
        <v>98</v>
      </c>
      <c r="H1988" s="86">
        <v>101.41</v>
      </c>
      <c r="I1988" s="86">
        <v>101.48</v>
      </c>
      <c r="J1988" s="87">
        <f t="shared" si="2"/>
        <v>-0.06897910918</v>
      </c>
      <c r="K1988" s="84" t="str">
        <f t="shared" si="3"/>
        <v>Deflasi</v>
      </c>
      <c r="L1988" s="84">
        <f t="shared" si="4"/>
        <v>-0.07</v>
      </c>
      <c r="M1988" s="88" t="str">
        <f t="shared" si="5"/>
        <v>Perubahan Normal</v>
      </c>
    </row>
    <row r="1989" ht="18.75" customHeight="1">
      <c r="A1989" s="80" t="s">
        <v>349</v>
      </c>
      <c r="B1989" s="81" t="str">
        <f t="shared" si="1"/>
        <v>Kota Banjarmasin</v>
      </c>
      <c r="C1989" s="81" t="str">
        <f t="array" ref="C1989">XLOOKUP(B1989,Reference!$A$2:$A$152,Reference!$B$2:$B$152)</f>
        <v>Kalimantan Selatan</v>
      </c>
      <c r="D1989" s="82" t="s">
        <v>2428</v>
      </c>
      <c r="E1989" s="83">
        <v>45352.0</v>
      </c>
      <c r="F1989" s="84" t="str">
        <f t="array" ref="F1989">XLOOKUP(G1989,Reference!$F:$F,Reference!$D:$D,"null")</f>
        <v>Makanan dan Pakaian </v>
      </c>
      <c r="G1989" s="85" t="s">
        <v>64</v>
      </c>
      <c r="H1989" s="86">
        <v>105.62</v>
      </c>
      <c r="I1989" s="86">
        <v>105.53</v>
      </c>
      <c r="J1989" s="87">
        <f t="shared" si="2"/>
        <v>0.08528380555</v>
      </c>
      <c r="K1989" s="84" t="str">
        <f t="shared" si="3"/>
        <v>Inflasi Normal</v>
      </c>
      <c r="L1989" s="84">
        <f t="shared" si="4"/>
        <v>0.09</v>
      </c>
      <c r="M1989" s="88" t="str">
        <f t="shared" si="5"/>
        <v>Perubahan Normal</v>
      </c>
    </row>
    <row r="1990" ht="18.75" customHeight="1">
      <c r="A1990" s="80" t="s">
        <v>372</v>
      </c>
      <c r="B1990" s="81" t="str">
        <f t="shared" si="1"/>
        <v>Kota Tanjung Pinang</v>
      </c>
      <c r="C1990" s="81" t="str">
        <f t="array" ref="C1990">XLOOKUP(B1990,Reference!$A$2:$A$152,Reference!$B$2:$B$152)</f>
        <v>Kepulauan Riau</v>
      </c>
      <c r="D1990" s="82" t="s">
        <v>2429</v>
      </c>
      <c r="E1990" s="83">
        <v>45352.0</v>
      </c>
      <c r="F1990" s="84" t="str">
        <f t="array" ref="F1990">XLOOKUP(G1990,Reference!$F:$F,Reference!$D:$D,"null")</f>
        <v>Rumah Tangga</v>
      </c>
      <c r="G1990" s="85" t="s">
        <v>84</v>
      </c>
      <c r="H1990" s="86">
        <v>100.93</v>
      </c>
      <c r="I1990" s="86">
        <v>100.93</v>
      </c>
      <c r="J1990" s="87">
        <f t="shared" si="2"/>
        <v>0</v>
      </c>
      <c r="K1990" s="84" t="str">
        <f t="shared" si="3"/>
        <v>Stabil</v>
      </c>
      <c r="L1990" s="84">
        <f t="shared" si="4"/>
        <v>0</v>
      </c>
      <c r="M1990" s="88" t="str">
        <f t="shared" si="5"/>
        <v>Perubahan Normal</v>
      </c>
    </row>
    <row r="1991" ht="18.75" customHeight="1">
      <c r="A1991" s="80" t="s">
        <v>495</v>
      </c>
      <c r="B1991" s="81" t="str">
        <f t="shared" si="1"/>
        <v>Kota Medan</v>
      </c>
      <c r="C1991" s="81" t="str">
        <f t="array" ref="C1991">XLOOKUP(B1991,Reference!$A$2:$A$152,Reference!$B$2:$B$152)</f>
        <v>Sumatera Utara</v>
      </c>
      <c r="D1991" s="82" t="s">
        <v>2430</v>
      </c>
      <c r="E1991" s="83">
        <v>45352.0</v>
      </c>
      <c r="F1991" s="84" t="str">
        <f t="array" ref="F1991">XLOOKUP(G1991,Reference!$F:$F,Reference!$D:$D,"null")</f>
        <v>Rumah Tangga</v>
      </c>
      <c r="G1991" s="85" t="s">
        <v>80</v>
      </c>
      <c r="H1991" s="86">
        <v>102.77</v>
      </c>
      <c r="I1991" s="86">
        <v>102.64</v>
      </c>
      <c r="J1991" s="87">
        <f t="shared" si="2"/>
        <v>0.1266562744</v>
      </c>
      <c r="K1991" s="84" t="str">
        <f t="shared" si="3"/>
        <v>Inflasi Normal</v>
      </c>
      <c r="L1991" s="84">
        <f t="shared" si="4"/>
        <v>0.13</v>
      </c>
      <c r="M1991" s="88" t="str">
        <f t="shared" si="5"/>
        <v>Perubahan Normal</v>
      </c>
    </row>
    <row r="1992" ht="18.75" customHeight="1">
      <c r="A1992" s="80" t="s">
        <v>841</v>
      </c>
      <c r="B1992" s="81" t="str">
        <f t="shared" si="1"/>
        <v>Kab Morowali</v>
      </c>
      <c r="C1992" s="81" t="str">
        <f t="array" ref="C1992">XLOOKUP(B1992,Reference!$A$2:$A$152,Reference!$B$2:$B$152)</f>
        <v>Sulawesi Tengah</v>
      </c>
      <c r="D1992" s="82" t="s">
        <v>2431</v>
      </c>
      <c r="E1992" s="83">
        <v>45323.0</v>
      </c>
      <c r="F1992" s="84" t="str">
        <f t="array" ref="F1992">XLOOKUP(G1992,Reference!$F:$F,Reference!$D:$D,"null")</f>
        <v>Makanan dan Pakaian </v>
      </c>
      <c r="G1992" s="85" t="s">
        <v>72</v>
      </c>
      <c r="H1992" s="86">
        <v>97.97</v>
      </c>
      <c r="I1992" s="86">
        <v>97.97</v>
      </c>
      <c r="J1992" s="87">
        <f t="shared" si="2"/>
        <v>0</v>
      </c>
      <c r="K1992" s="84" t="str">
        <f t="shared" si="3"/>
        <v>Stabil</v>
      </c>
      <c r="L1992" s="84">
        <f t="shared" si="4"/>
        <v>0</v>
      </c>
      <c r="M1992" s="88" t="str">
        <f t="shared" si="5"/>
        <v>Perubahan Normal</v>
      </c>
    </row>
    <row r="1993" ht="18.75" customHeight="1">
      <c r="A1993" s="80" t="s">
        <v>399</v>
      </c>
      <c r="B1993" s="81" t="str">
        <f t="shared" si="1"/>
        <v>Sampit</v>
      </c>
      <c r="C1993" s="81" t="str">
        <f t="array" ref="C1993">XLOOKUP(B1993,Reference!$A$2:$A$152,Reference!$B$2:$B$152)</f>
        <v>Kalimantan Tengah</v>
      </c>
      <c r="D1993" s="82" t="s">
        <v>2432</v>
      </c>
      <c r="E1993" s="83">
        <v>45352.0</v>
      </c>
      <c r="F1993" s="84" t="str">
        <f t="array" ref="F1993">XLOOKUP(G1993,Reference!$F:$F,Reference!$D:$D,"null")</f>
        <v>Rekreasi dan Kendaraan</v>
      </c>
      <c r="G1993" s="85" t="s">
        <v>105</v>
      </c>
      <c r="H1993" s="86">
        <v>101.83</v>
      </c>
      <c r="I1993" s="86">
        <v>101.61</v>
      </c>
      <c r="J1993" s="87">
        <f t="shared" si="2"/>
        <v>0.2165141226</v>
      </c>
      <c r="K1993" s="84" t="str">
        <f t="shared" si="3"/>
        <v>Inflasi Normal</v>
      </c>
      <c r="L1993" s="84">
        <f t="shared" si="4"/>
        <v>0.22</v>
      </c>
      <c r="M1993" s="88" t="str">
        <f t="shared" si="5"/>
        <v>Perubahan Normal</v>
      </c>
    </row>
    <row r="1994" ht="18.75" customHeight="1">
      <c r="A1994" s="80" t="s">
        <v>326</v>
      </c>
      <c r="B1994" s="81" t="str">
        <f t="shared" si="1"/>
        <v>Luwuk</v>
      </c>
      <c r="C1994" s="81" t="str">
        <f t="array" ref="C1994">XLOOKUP(B1994,Reference!$A$2:$A$152,Reference!$B$2:$B$152)</f>
        <v>Sulawesi Tengah</v>
      </c>
      <c r="D1994" s="82" t="s">
        <v>2433</v>
      </c>
      <c r="E1994" s="83">
        <v>45323.0</v>
      </c>
      <c r="F1994" s="84" t="str">
        <f t="array" ref="F1994">XLOOKUP(G1994,Reference!$F:$F,Reference!$D:$D,"null")</f>
        <v>Rumah Tangga</v>
      </c>
      <c r="G1994" s="85" t="s">
        <v>80</v>
      </c>
      <c r="H1994" s="86">
        <v>105.45</v>
      </c>
      <c r="I1994" s="86">
        <v>105.45</v>
      </c>
      <c r="J1994" s="87">
        <f t="shared" si="2"/>
        <v>0</v>
      </c>
      <c r="K1994" s="84" t="str">
        <f t="shared" si="3"/>
        <v>Stabil</v>
      </c>
      <c r="L1994" s="84">
        <f t="shared" si="4"/>
        <v>0</v>
      </c>
      <c r="M1994" s="88" t="str">
        <f t="shared" si="5"/>
        <v>Perubahan Normal</v>
      </c>
    </row>
    <row r="1995" ht="18.75" customHeight="1">
      <c r="A1995" s="80" t="s">
        <v>395</v>
      </c>
      <c r="B1995" s="81" t="str">
        <f t="shared" si="1"/>
        <v>Kota Bukittinggi</v>
      </c>
      <c r="C1995" s="81" t="str">
        <f t="array" ref="C1995">XLOOKUP(B1995,Reference!$A$2:$A$152,Reference!$B$2:$B$152)</f>
        <v>Sumatera Barat</v>
      </c>
      <c r="D1995" s="82" t="s">
        <v>2434</v>
      </c>
      <c r="E1995" s="83">
        <v>45323.0</v>
      </c>
      <c r="F1995" s="84" t="str">
        <f t="array" ref="F1995">XLOOKUP(G1995,Reference!$F:$F,Reference!$D:$D,"null")</f>
        <v>Rumah Tangga</v>
      </c>
      <c r="G1995" s="85" t="s">
        <v>89</v>
      </c>
      <c r="H1995" s="86">
        <v>106.1</v>
      </c>
      <c r="I1995" s="86">
        <v>106.1</v>
      </c>
      <c r="J1995" s="87">
        <f t="shared" si="2"/>
        <v>0</v>
      </c>
      <c r="K1995" s="84" t="str">
        <f t="shared" si="3"/>
        <v>Stabil</v>
      </c>
      <c r="L1995" s="84">
        <f t="shared" si="4"/>
        <v>0</v>
      </c>
      <c r="M1995" s="88" t="str">
        <f t="shared" si="5"/>
        <v>Perubahan Normal</v>
      </c>
    </row>
    <row r="1996" ht="18.75" customHeight="1">
      <c r="A1996" s="80" t="s">
        <v>322</v>
      </c>
      <c r="B1996" s="81" t="str">
        <f t="shared" si="1"/>
        <v>Purwokerto</v>
      </c>
      <c r="C1996" s="81" t="str">
        <f t="array" ref="C1996">XLOOKUP(B1996,Reference!$A$2:$A$152,Reference!$B$2:$B$152)</f>
        <v>Jawa Tengah</v>
      </c>
      <c r="D1996" s="82" t="s">
        <v>2435</v>
      </c>
      <c r="E1996" s="83">
        <v>45352.0</v>
      </c>
      <c r="F1996" s="84" t="str">
        <f t="array" ref="F1996">XLOOKUP(G1996,Reference!$F:$F,Reference!$D:$D,"null")</f>
        <v>Rumah Tangga</v>
      </c>
      <c r="G1996" s="85" t="s">
        <v>89</v>
      </c>
      <c r="H1996" s="86">
        <v>102.34</v>
      </c>
      <c r="I1996" s="86">
        <v>102.18</v>
      </c>
      <c r="J1996" s="87">
        <f t="shared" si="2"/>
        <v>0.1565864161</v>
      </c>
      <c r="K1996" s="84" t="str">
        <f t="shared" si="3"/>
        <v>Inflasi Normal</v>
      </c>
      <c r="L1996" s="84">
        <f t="shared" si="4"/>
        <v>0.16</v>
      </c>
      <c r="M1996" s="88" t="str">
        <f t="shared" si="5"/>
        <v>Perubahan Normal</v>
      </c>
    </row>
    <row r="1997" ht="18.75" customHeight="1">
      <c r="A1997" s="80" t="s">
        <v>502</v>
      </c>
      <c r="B1997" s="81" t="str">
        <f t="shared" si="1"/>
        <v>Muara Bungo</v>
      </c>
      <c r="C1997" s="81" t="str">
        <f t="array" ref="C1997">XLOOKUP(B1997,Reference!$A$2:$A$152,Reference!$B$2:$B$152)</f>
        <v>Jambi</v>
      </c>
      <c r="D1997" s="82" t="s">
        <v>2436</v>
      </c>
      <c r="E1997" s="83">
        <v>45352.0</v>
      </c>
      <c r="F1997" s="84" t="str">
        <f t="array" ref="F1997">XLOOKUP(G1997,Reference!$F:$F,Reference!$D:$D,"null")</f>
        <v>Rumah Tangga</v>
      </c>
      <c r="G1997" s="85" t="s">
        <v>80</v>
      </c>
      <c r="H1997" s="86">
        <v>102.11</v>
      </c>
      <c r="I1997" s="86">
        <v>102.11</v>
      </c>
      <c r="J1997" s="87">
        <f t="shared" si="2"/>
        <v>0</v>
      </c>
      <c r="K1997" s="84" t="str">
        <f t="shared" si="3"/>
        <v>Stabil</v>
      </c>
      <c r="L1997" s="84">
        <f t="shared" si="4"/>
        <v>0</v>
      </c>
      <c r="M1997" s="88" t="str">
        <f t="shared" si="5"/>
        <v>Perubahan Normal</v>
      </c>
    </row>
    <row r="1998" ht="18.75" customHeight="1">
      <c r="A1998" s="80" t="s">
        <v>656</v>
      </c>
      <c r="B1998" s="81" t="str">
        <f t="shared" si="1"/>
        <v>Kota Palopo</v>
      </c>
      <c r="C1998" s="81" t="str">
        <f t="array" ref="C1998">XLOOKUP(B1998,Reference!$A$2:$A$152,Reference!$B$2:$B$152)</f>
        <v>Sulawesi Selatan</v>
      </c>
      <c r="D1998" s="82" t="s">
        <v>2437</v>
      </c>
      <c r="E1998" s="83">
        <v>45352.0</v>
      </c>
      <c r="F1998" s="84" t="str">
        <f t="array" ref="F1998">XLOOKUP(G1998,Reference!$F:$F,Reference!$D:$D,"null")</f>
        <v>Rumah Tangga</v>
      </c>
      <c r="G1998" s="85" t="s">
        <v>80</v>
      </c>
      <c r="H1998" s="86">
        <v>100.74</v>
      </c>
      <c r="I1998" s="86">
        <v>100.74</v>
      </c>
      <c r="J1998" s="87">
        <f t="shared" si="2"/>
        <v>0</v>
      </c>
      <c r="K1998" s="84" t="str">
        <f t="shared" si="3"/>
        <v>Stabil</v>
      </c>
      <c r="L1998" s="84">
        <f t="shared" si="4"/>
        <v>0</v>
      </c>
      <c r="M1998" s="88" t="str">
        <f t="shared" si="5"/>
        <v>Perubahan Normal</v>
      </c>
    </row>
    <row r="1999" ht="18.75" customHeight="1">
      <c r="A1999" s="80" t="s">
        <v>410</v>
      </c>
      <c r="B1999" s="81" t="str">
        <f t="shared" si="1"/>
        <v>Meulaboh</v>
      </c>
      <c r="C1999" s="81" t="str">
        <f t="array" ref="C1999">XLOOKUP(B1999,Reference!$A$2:$A$152,Reference!$B$2:$B$152)</f>
        <v>Aceh</v>
      </c>
      <c r="D1999" s="82" t="s">
        <v>2438</v>
      </c>
      <c r="E1999" s="83">
        <v>45352.0</v>
      </c>
      <c r="F1999" s="84" t="str">
        <f t="array" ref="F1999">XLOOKUP(G1999,Reference!$F:$F,Reference!$D:$D,"null")</f>
        <v>Rekreasi dan Kendaraan</v>
      </c>
      <c r="G1999" s="89" t="s">
        <v>105</v>
      </c>
      <c r="H1999" s="90">
        <v>105.49</v>
      </c>
      <c r="I1999" s="90">
        <v>105.49</v>
      </c>
      <c r="J1999" s="87">
        <f t="shared" si="2"/>
        <v>0</v>
      </c>
      <c r="K1999" s="84" t="str">
        <f t="shared" si="3"/>
        <v>Stabil</v>
      </c>
      <c r="L1999" s="91">
        <f t="shared" si="4"/>
        <v>0</v>
      </c>
      <c r="M1999" s="88" t="str">
        <f t="shared" si="5"/>
        <v>Perubahan Normal</v>
      </c>
    </row>
    <row r="2000" ht="18.75" customHeight="1">
      <c r="A2000" s="80" t="s">
        <v>362</v>
      </c>
      <c r="B2000" s="81" t="str">
        <f t="shared" si="1"/>
        <v>Sumenep</v>
      </c>
      <c r="C2000" s="81" t="str">
        <f t="array" ref="C2000">XLOOKUP(B2000,Reference!$A$2:$A$152,Reference!$B$2:$B$152)</f>
        <v>Jawa Timur</v>
      </c>
      <c r="D2000" s="82" t="s">
        <v>2439</v>
      </c>
      <c r="E2000" s="83">
        <v>45352.0</v>
      </c>
      <c r="F2000" s="84" t="str">
        <f t="array" ref="F2000">XLOOKUP(G2000,Reference!$F:$F,Reference!$D:$D,"null")</f>
        <v>Makanan dan Pakaian </v>
      </c>
      <c r="G2000" s="85" t="s">
        <v>64</v>
      </c>
      <c r="H2000" s="86">
        <v>106.58</v>
      </c>
      <c r="I2000" s="86">
        <v>106.32</v>
      </c>
      <c r="J2000" s="87">
        <f t="shared" si="2"/>
        <v>0.2445447705</v>
      </c>
      <c r="K2000" s="84" t="str">
        <f t="shared" si="3"/>
        <v>Inflasi Normal</v>
      </c>
      <c r="L2000" s="84">
        <f t="shared" si="4"/>
        <v>0.26</v>
      </c>
      <c r="M2000" s="88" t="str">
        <f t="shared" si="5"/>
        <v>Perubahan Normal</v>
      </c>
    </row>
    <row r="2001" ht="18.75" customHeight="1">
      <c r="A2001" s="80" t="s">
        <v>734</v>
      </c>
      <c r="B2001" s="81" t="str">
        <f t="shared" si="1"/>
        <v>Kota Tegal</v>
      </c>
      <c r="C2001" s="81" t="str">
        <f t="array" ref="C2001">XLOOKUP(B2001,Reference!$A$2:$A$152,Reference!$B$2:$B$152)</f>
        <v>Jawa Tengah</v>
      </c>
      <c r="D2001" s="82" t="s">
        <v>2440</v>
      </c>
      <c r="E2001" s="83">
        <v>45323.0</v>
      </c>
      <c r="F2001" s="84" t="str">
        <f t="array" ref="F2001">XLOOKUP(G2001,Reference!$F:$F,Reference!$D:$D,"null")</f>
        <v>Pendidikan dan Kesehatan</v>
      </c>
      <c r="G2001" s="85" t="s">
        <v>98</v>
      </c>
      <c r="H2001" s="86">
        <v>103.61</v>
      </c>
      <c r="I2001" s="86">
        <v>103.49</v>
      </c>
      <c r="J2001" s="87">
        <f t="shared" si="2"/>
        <v>0.1159532322</v>
      </c>
      <c r="K2001" s="84" t="str">
        <f t="shared" si="3"/>
        <v>Inflasi Normal</v>
      </c>
      <c r="L2001" s="84">
        <f t="shared" si="4"/>
        <v>0.12</v>
      </c>
      <c r="M2001" s="88" t="str">
        <f t="shared" si="5"/>
        <v>Perubahan Normal</v>
      </c>
    </row>
    <row r="2002" ht="18.75" customHeight="1">
      <c r="A2002" s="80" t="s">
        <v>542</v>
      </c>
      <c r="B2002" s="81" t="str">
        <f t="shared" si="1"/>
        <v>Kab Karo</v>
      </c>
      <c r="C2002" s="81" t="str">
        <f t="array" ref="C2002">XLOOKUP(B2002,Reference!$A$2:$A$152,Reference!$B$2:$B$152)</f>
        <v>Sumatera Utara</v>
      </c>
      <c r="D2002" s="82" t="s">
        <v>2441</v>
      </c>
      <c r="E2002" s="83">
        <v>45352.0</v>
      </c>
      <c r="F2002" s="84" t="str">
        <f t="array" ref="F2002">XLOOKUP(G2002,Reference!$F:$F,Reference!$D:$D,"null")</f>
        <v>Rumah Tangga</v>
      </c>
      <c r="G2002" s="85" t="s">
        <v>89</v>
      </c>
      <c r="H2002" s="86">
        <v>97.48</v>
      </c>
      <c r="I2002" s="86">
        <v>98.19</v>
      </c>
      <c r="J2002" s="87">
        <f t="shared" si="2"/>
        <v>-0.7230878908</v>
      </c>
      <c r="K2002" s="84" t="str">
        <f t="shared" si="3"/>
        <v>Deflasi</v>
      </c>
      <c r="L2002" s="84">
        <f t="shared" si="4"/>
        <v>-0.71</v>
      </c>
      <c r="M2002" s="88" t="str">
        <f t="shared" si="5"/>
        <v>Perubahan Normal</v>
      </c>
    </row>
    <row r="2003" ht="18.75" customHeight="1">
      <c r="A2003" s="80" t="s">
        <v>384</v>
      </c>
      <c r="B2003" s="81" t="str">
        <f t="shared" si="1"/>
        <v>Kab Lebak</v>
      </c>
      <c r="C2003" s="81" t="str">
        <f t="array" ref="C2003">XLOOKUP(B2003,Reference!$A$2:$A$152,Reference!$B$2:$B$152)</f>
        <v>Banten</v>
      </c>
      <c r="D2003" s="82" t="s">
        <v>2442</v>
      </c>
      <c r="E2003" s="83">
        <v>45323.0</v>
      </c>
      <c r="F2003" s="84" t="str">
        <f t="array" ref="F2003">XLOOKUP(G2003,Reference!$F:$F,Reference!$D:$D,"null")</f>
        <v>Pendidikan dan Kesehatan</v>
      </c>
      <c r="G2003" s="85" t="s">
        <v>98</v>
      </c>
      <c r="H2003" s="86">
        <v>106.07</v>
      </c>
      <c r="I2003" s="86">
        <v>105.62</v>
      </c>
      <c r="J2003" s="87">
        <f t="shared" si="2"/>
        <v>0.4260556713</v>
      </c>
      <c r="K2003" s="84" t="str">
        <f t="shared" si="3"/>
        <v>Inflasi Normal</v>
      </c>
      <c r="L2003" s="84">
        <f t="shared" si="4"/>
        <v>0.45</v>
      </c>
      <c r="M2003" s="88" t="str">
        <f t="shared" si="5"/>
        <v>Perubahan Normal</v>
      </c>
    </row>
    <row r="2004" ht="18.75" customHeight="1">
      <c r="A2004" s="80" t="s">
        <v>300</v>
      </c>
      <c r="B2004" s="81" t="str">
        <f t="shared" si="1"/>
        <v>Sintang</v>
      </c>
      <c r="C2004" s="81" t="str">
        <f t="array" ref="C2004">XLOOKUP(B2004,Reference!$A$2:$A$152,Reference!$B$2:$B$152)</f>
        <v>Kalimantan Barat</v>
      </c>
      <c r="D2004" s="82" t="s">
        <v>2443</v>
      </c>
      <c r="E2004" s="83">
        <v>45352.0</v>
      </c>
      <c r="F2004" s="84" t="str">
        <f t="array" ref="F2004">XLOOKUP(G2004,Reference!$F:$F,Reference!$D:$D,"null")</f>
        <v>Makanan dan Pakaian </v>
      </c>
      <c r="G2004" s="85" t="s">
        <v>56</v>
      </c>
      <c r="H2004" s="86">
        <v>106.94</v>
      </c>
      <c r="I2004" s="86">
        <v>106.8</v>
      </c>
      <c r="J2004" s="87">
        <f t="shared" si="2"/>
        <v>0.1310861423</v>
      </c>
      <c r="K2004" s="84" t="str">
        <f t="shared" si="3"/>
        <v>Inflasi Normal</v>
      </c>
      <c r="L2004" s="84">
        <f t="shared" si="4"/>
        <v>0.14</v>
      </c>
      <c r="M2004" s="88" t="str">
        <f t="shared" si="5"/>
        <v>Perubahan Normal</v>
      </c>
    </row>
    <row r="2005" ht="18.75" customHeight="1">
      <c r="A2005" s="80" t="s">
        <v>351</v>
      </c>
      <c r="B2005" s="81" t="str">
        <f t="shared" si="1"/>
        <v>Kota Balikpapan</v>
      </c>
      <c r="C2005" s="81" t="str">
        <f t="array" ref="C2005">XLOOKUP(B2005,Reference!$A$2:$A$152,Reference!$B$2:$B$152)</f>
        <v>Kalimantan Timur</v>
      </c>
      <c r="D2005" s="82" t="s">
        <v>2444</v>
      </c>
      <c r="E2005" s="83">
        <v>45352.0</v>
      </c>
      <c r="F2005" s="84" t="str">
        <f t="array" ref="F2005">XLOOKUP(G2005,Reference!$F:$F,Reference!$D:$D,"null")</f>
        <v>Makanan dan Pakaian </v>
      </c>
      <c r="G2005" s="85" t="s">
        <v>48</v>
      </c>
      <c r="H2005" s="86">
        <v>111.02</v>
      </c>
      <c r="I2005" s="86">
        <v>108.44</v>
      </c>
      <c r="J2005" s="87">
        <f t="shared" si="2"/>
        <v>2.379195869</v>
      </c>
      <c r="K2005" s="84" t="str">
        <f t="shared" si="3"/>
        <v>Inflasi Tinggi</v>
      </c>
      <c r="L2005" s="84">
        <f t="shared" si="4"/>
        <v>2.58</v>
      </c>
      <c r="M2005" s="88" t="str">
        <f t="shared" si="5"/>
        <v>Akselerasi Kuat</v>
      </c>
    </row>
    <row r="2006" ht="18.75" customHeight="1">
      <c r="A2006" s="80" t="s">
        <v>431</v>
      </c>
      <c r="B2006" s="81" t="str">
        <f t="shared" si="1"/>
        <v>Kota Ternate</v>
      </c>
      <c r="C2006" s="81" t="str">
        <f t="array" ref="C2006">XLOOKUP(B2006,Reference!$A$2:$A$152,Reference!$B$2:$B$152)</f>
        <v>Maluku Utara</v>
      </c>
      <c r="D2006" s="82" t="s">
        <v>2445</v>
      </c>
      <c r="E2006" s="83">
        <v>45323.0</v>
      </c>
      <c r="F2006" s="84" t="str">
        <f t="array" ref="F2006">XLOOKUP(G2006,Reference!$F:$F,Reference!$D:$D,"null")</f>
        <v>Rekreasi dan Kendaraan</v>
      </c>
      <c r="G2006" s="85" t="s">
        <v>105</v>
      </c>
      <c r="H2006" s="86">
        <v>100.54</v>
      </c>
      <c r="I2006" s="86">
        <v>100.54</v>
      </c>
      <c r="J2006" s="87">
        <f t="shared" si="2"/>
        <v>0</v>
      </c>
      <c r="K2006" s="84" t="str">
        <f t="shared" si="3"/>
        <v>Stabil</v>
      </c>
      <c r="L2006" s="84">
        <f t="shared" si="4"/>
        <v>0</v>
      </c>
      <c r="M2006" s="88" t="str">
        <f t="shared" si="5"/>
        <v>Perubahan Normal</v>
      </c>
    </row>
    <row r="2007" ht="18.75" customHeight="1">
      <c r="A2007" s="80" t="s">
        <v>905</v>
      </c>
      <c r="B2007" s="81" t="str">
        <f t="shared" si="1"/>
        <v>Kota Ambon</v>
      </c>
      <c r="C2007" s="81" t="str">
        <f t="array" ref="C2007">XLOOKUP(B2007,Reference!$A$2:$A$152,Reference!$B$2:$B$152)</f>
        <v>Maluku</v>
      </c>
      <c r="D2007" s="82" t="s">
        <v>2446</v>
      </c>
      <c r="E2007" s="83">
        <v>45352.0</v>
      </c>
      <c r="F2007" s="84" t="str">
        <f t="array" ref="F2007">XLOOKUP(G2007,Reference!$F:$F,Reference!$D:$D,"null")</f>
        <v>Makanan dan Pakaian </v>
      </c>
      <c r="G2007" s="85" t="s">
        <v>56</v>
      </c>
      <c r="H2007" s="86">
        <v>104.97</v>
      </c>
      <c r="I2007" s="86">
        <v>104.68</v>
      </c>
      <c r="J2007" s="87">
        <f t="shared" si="2"/>
        <v>0.2770347726</v>
      </c>
      <c r="K2007" s="84" t="str">
        <f t="shared" si="3"/>
        <v>Inflasi Normal</v>
      </c>
      <c r="L2007" s="84">
        <f t="shared" si="4"/>
        <v>0.29</v>
      </c>
      <c r="M2007" s="88" t="str">
        <f t="shared" si="5"/>
        <v>Perubahan Normal</v>
      </c>
    </row>
    <row r="2008" ht="18.75" customHeight="1">
      <c r="A2008" s="80" t="s">
        <v>324</v>
      </c>
      <c r="B2008" s="81" t="str">
        <f t="shared" si="1"/>
        <v>Kab Nunukan</v>
      </c>
      <c r="C2008" s="81" t="str">
        <f t="array" ref="C2008">XLOOKUP(B2008,Reference!$A$2:$A$152,Reference!$B$2:$B$152)</f>
        <v>Kalimantan Utara</v>
      </c>
      <c r="D2008" s="82" t="s">
        <v>2447</v>
      </c>
      <c r="E2008" s="83">
        <v>45323.0</v>
      </c>
      <c r="F2008" s="84" t="str">
        <f t="array" ref="F2008">XLOOKUP(G2008,Reference!$F:$F,Reference!$D:$D,"null")</f>
        <v>Rumah Tangga</v>
      </c>
      <c r="G2008" s="85" t="s">
        <v>84</v>
      </c>
      <c r="H2008" s="86">
        <v>99.01</v>
      </c>
      <c r="I2008" s="86">
        <v>99.69</v>
      </c>
      <c r="J2008" s="87">
        <f t="shared" si="2"/>
        <v>-0.6821145551</v>
      </c>
      <c r="K2008" s="84" t="str">
        <f t="shared" si="3"/>
        <v>Deflasi</v>
      </c>
      <c r="L2008" s="84">
        <f t="shared" si="4"/>
        <v>-0.68</v>
      </c>
      <c r="M2008" s="88" t="str">
        <f t="shared" si="5"/>
        <v>Perubahan Normal</v>
      </c>
    </row>
    <row r="2009" ht="18.75" customHeight="1">
      <c r="A2009" s="80" t="s">
        <v>663</v>
      </c>
      <c r="B2009" s="81" t="str">
        <f t="shared" si="1"/>
        <v>Kota Serang</v>
      </c>
      <c r="C2009" s="81" t="str">
        <f t="array" ref="C2009">XLOOKUP(B2009,Reference!$A$2:$A$152,Reference!$B$2:$B$152)</f>
        <v>Banten</v>
      </c>
      <c r="D2009" s="82" t="s">
        <v>2448</v>
      </c>
      <c r="E2009" s="83">
        <v>45323.0</v>
      </c>
      <c r="F2009" s="84" t="str">
        <f t="array" ref="F2009">XLOOKUP(G2009,Reference!$F:$F,Reference!$D:$D,"null")</f>
        <v>Makanan dan Pakaian </v>
      </c>
      <c r="G2009" s="85" t="s">
        <v>64</v>
      </c>
      <c r="H2009" s="86">
        <v>100.92</v>
      </c>
      <c r="I2009" s="86">
        <v>100.98</v>
      </c>
      <c r="J2009" s="87">
        <f t="shared" si="2"/>
        <v>-0.05941770648</v>
      </c>
      <c r="K2009" s="84" t="str">
        <f t="shared" si="3"/>
        <v>Deflasi</v>
      </c>
      <c r="L2009" s="84">
        <f t="shared" si="4"/>
        <v>-0.06</v>
      </c>
      <c r="M2009" s="88" t="str">
        <f t="shared" si="5"/>
        <v>Perubahan Normal</v>
      </c>
    </row>
    <row r="2010" ht="18.75" customHeight="1">
      <c r="A2010" s="80" t="s">
        <v>471</v>
      </c>
      <c r="B2010" s="81" t="str">
        <f t="shared" si="1"/>
        <v>Kab Gunungkidul</v>
      </c>
      <c r="C2010" s="81" t="str">
        <f t="array" ref="C2010">XLOOKUP(B2010,Reference!$A$2:$A$152,Reference!$B$2:$B$152)</f>
        <v>D.I. Yogyakarta</v>
      </c>
      <c r="D2010" s="82" t="s">
        <v>2449</v>
      </c>
      <c r="E2010" s="83">
        <v>45323.0</v>
      </c>
      <c r="F2010" s="84" t="str">
        <f t="array" ref="F2010">XLOOKUP(G2010,Reference!$F:$F,Reference!$D:$D,"null")</f>
        <v>Rekreasi dan Kendaraan</v>
      </c>
      <c r="G2010" s="85" t="s">
        <v>102</v>
      </c>
      <c r="H2010" s="86">
        <v>101.74</v>
      </c>
      <c r="I2010" s="86">
        <v>101.19</v>
      </c>
      <c r="J2010" s="87">
        <f t="shared" si="2"/>
        <v>0.5435319696</v>
      </c>
      <c r="K2010" s="84" t="str">
        <f t="shared" si="3"/>
        <v>Inflasi Tinggi</v>
      </c>
      <c r="L2010" s="84">
        <f t="shared" si="4"/>
        <v>0.55</v>
      </c>
      <c r="M2010" s="88" t="str">
        <f t="shared" si="5"/>
        <v>Akselerasi Persentase</v>
      </c>
    </row>
    <row r="2011" ht="18.75" customHeight="1">
      <c r="A2011" s="80" t="s">
        <v>468</v>
      </c>
      <c r="B2011" s="81" t="str">
        <f t="shared" si="1"/>
        <v>Timika</v>
      </c>
      <c r="C2011" s="81" t="str">
        <f t="array" ref="C2011">XLOOKUP(B2011,Reference!$A$2:$A$152,Reference!$B$2:$B$152)</f>
        <v>Papua</v>
      </c>
      <c r="D2011" s="82" t="s">
        <v>2450</v>
      </c>
      <c r="E2011" s="83">
        <v>45323.0</v>
      </c>
      <c r="F2011" s="84" t="str">
        <f t="array" ref="F2011">XLOOKUP(G2011,Reference!$F:$F,Reference!$D:$D,"null")</f>
        <v>Pendidikan dan Kesehatan</v>
      </c>
      <c r="G2011" s="89" t="s">
        <v>98</v>
      </c>
      <c r="H2011" s="90">
        <v>93.81</v>
      </c>
      <c r="I2011" s="90">
        <v>94.32</v>
      </c>
      <c r="J2011" s="87">
        <f t="shared" si="2"/>
        <v>-0.5407124682</v>
      </c>
      <c r="K2011" s="84" t="str">
        <f t="shared" si="3"/>
        <v>Deflasi</v>
      </c>
      <c r="L2011" s="91">
        <f t="shared" si="4"/>
        <v>-0.51</v>
      </c>
      <c r="M2011" s="88" t="str">
        <f t="shared" si="5"/>
        <v>Perubahan Normal</v>
      </c>
    </row>
    <row r="2012" ht="18.75" customHeight="1">
      <c r="A2012" s="80" t="s">
        <v>806</v>
      </c>
      <c r="B2012" s="81" t="str">
        <f t="shared" si="1"/>
        <v>Kab Subang</v>
      </c>
      <c r="C2012" s="81" t="str">
        <f t="array" ref="C2012">XLOOKUP(B2012,Reference!$A$2:$A$152,Reference!$B$2:$B$152)</f>
        <v>Jawa Barat</v>
      </c>
      <c r="D2012" s="82" t="s">
        <v>2451</v>
      </c>
      <c r="E2012" s="83">
        <v>45352.0</v>
      </c>
      <c r="F2012" s="84" t="str">
        <f t="array" ref="F2012">XLOOKUP(G2012,Reference!$F:$F,Reference!$D:$D,"null")</f>
        <v>Makanan dan Pakaian </v>
      </c>
      <c r="G2012" s="85" t="s">
        <v>72</v>
      </c>
      <c r="H2012" s="86">
        <v>108.87</v>
      </c>
      <c r="I2012" s="86">
        <v>110.11</v>
      </c>
      <c r="J2012" s="87">
        <f t="shared" si="2"/>
        <v>-1.126146581</v>
      </c>
      <c r="K2012" s="84" t="str">
        <f t="shared" si="3"/>
        <v>Deflasi</v>
      </c>
      <c r="L2012" s="84">
        <f t="shared" si="4"/>
        <v>-1.24</v>
      </c>
      <c r="M2012" s="88" t="str">
        <f t="shared" si="5"/>
        <v>Perubahan Normal</v>
      </c>
    </row>
    <row r="2013" ht="18.75" customHeight="1">
      <c r="A2013" s="80" t="s">
        <v>306</v>
      </c>
      <c r="B2013" s="81" t="str">
        <f t="shared" si="1"/>
        <v>Kota Padang</v>
      </c>
      <c r="C2013" s="81" t="str">
        <f t="array" ref="C2013">XLOOKUP(B2013,Reference!$A$2:$A$152,Reference!$B$2:$B$152)</f>
        <v>Sumatera Barat</v>
      </c>
      <c r="D2013" s="82" t="s">
        <v>2452</v>
      </c>
      <c r="E2013" s="83">
        <v>45352.0</v>
      </c>
      <c r="F2013" s="84" t="str">
        <f t="array" ref="F2013">XLOOKUP(G2013,Reference!$F:$F,Reference!$D:$D,"null")</f>
        <v>Makanan dan Pakaian </v>
      </c>
      <c r="G2013" s="85" t="s">
        <v>64</v>
      </c>
      <c r="H2013" s="86">
        <v>102.31</v>
      </c>
      <c r="I2013" s="86">
        <v>102.31</v>
      </c>
      <c r="J2013" s="87">
        <f t="shared" si="2"/>
        <v>0</v>
      </c>
      <c r="K2013" s="84" t="str">
        <f t="shared" si="3"/>
        <v>Stabil</v>
      </c>
      <c r="L2013" s="84">
        <f t="shared" si="4"/>
        <v>0</v>
      </c>
      <c r="M2013" s="88" t="str">
        <f t="shared" si="5"/>
        <v>Perubahan Normal</v>
      </c>
    </row>
    <row r="2014" ht="18.75" customHeight="1">
      <c r="A2014" s="80" t="s">
        <v>488</v>
      </c>
      <c r="B2014" s="81" t="str">
        <f t="shared" si="1"/>
        <v>Kab Muko Muko</v>
      </c>
      <c r="C2014" s="81" t="str">
        <f t="array" ref="C2014">XLOOKUP(B2014,Reference!$A$2:$A$152,Reference!$B$2:$B$152)</f>
        <v>Bengkulu</v>
      </c>
      <c r="D2014" s="82" t="s">
        <v>2453</v>
      </c>
      <c r="E2014" s="83">
        <v>45323.0</v>
      </c>
      <c r="F2014" s="84" t="str">
        <f t="array" ref="F2014">XLOOKUP(G2014,Reference!$F:$F,Reference!$D:$D,"null")</f>
        <v>Rumah Tangga</v>
      </c>
      <c r="G2014" s="85" t="s">
        <v>84</v>
      </c>
      <c r="H2014" s="86">
        <v>102.78</v>
      </c>
      <c r="I2014" s="86">
        <v>102.68</v>
      </c>
      <c r="J2014" s="87">
        <f t="shared" si="2"/>
        <v>0.09738994936</v>
      </c>
      <c r="K2014" s="84" t="str">
        <f t="shared" si="3"/>
        <v>Inflasi Normal</v>
      </c>
      <c r="L2014" s="84">
        <f t="shared" si="4"/>
        <v>0.1</v>
      </c>
      <c r="M2014" s="88" t="str">
        <f t="shared" si="5"/>
        <v>Perubahan Normal</v>
      </c>
    </row>
    <row r="2015" ht="18.75" customHeight="1">
      <c r="A2015" s="80" t="s">
        <v>490</v>
      </c>
      <c r="B2015" s="81" t="str">
        <f t="shared" si="1"/>
        <v>Kab Kerinci</v>
      </c>
      <c r="C2015" s="81" t="str">
        <f t="array" ref="C2015">XLOOKUP(B2015,Reference!$A$2:$A$152,Reference!$B$2:$B$152)</f>
        <v>Jambi</v>
      </c>
      <c r="D2015" s="82" t="s">
        <v>2454</v>
      </c>
      <c r="E2015" s="83">
        <v>45352.0</v>
      </c>
      <c r="F2015" s="84" t="str">
        <f t="array" ref="F2015">XLOOKUP(G2015,Reference!$F:$F,Reference!$D:$D,"null")</f>
        <v>Makanan dan Pakaian </v>
      </c>
      <c r="G2015" s="85" t="s">
        <v>64</v>
      </c>
      <c r="H2015" s="86">
        <v>109.7</v>
      </c>
      <c r="I2015" s="86">
        <v>108.42</v>
      </c>
      <c r="J2015" s="87">
        <f t="shared" si="2"/>
        <v>1.180593986</v>
      </c>
      <c r="K2015" s="84" t="str">
        <f t="shared" si="3"/>
        <v>Inflasi Tinggi</v>
      </c>
      <c r="L2015" s="84">
        <f t="shared" si="4"/>
        <v>1.28</v>
      </c>
      <c r="M2015" s="88" t="str">
        <f t="shared" si="5"/>
        <v>Akselerasi Persentase</v>
      </c>
    </row>
    <row r="2016" ht="18.75" customHeight="1">
      <c r="A2016" s="80" t="s">
        <v>631</v>
      </c>
      <c r="B2016" s="81" t="str">
        <f t="shared" si="1"/>
        <v>Kab Toli Toli</v>
      </c>
      <c r="C2016" s="81" t="str">
        <f t="array" ref="C2016">XLOOKUP(B2016,Reference!$A$2:$A$152,Reference!$B$2:$B$152)</f>
        <v>Sulawesi Tengah</v>
      </c>
      <c r="D2016" s="82" t="s">
        <v>2455</v>
      </c>
      <c r="E2016" s="83">
        <v>45352.0</v>
      </c>
      <c r="F2016" s="84" t="str">
        <f t="array" ref="F2016">XLOOKUP(G2016,Reference!$F:$F,Reference!$D:$D,"null")</f>
        <v>Rekreasi dan Kendaraan</v>
      </c>
      <c r="G2016" s="85" t="s">
        <v>102</v>
      </c>
      <c r="H2016" s="86">
        <v>95.77</v>
      </c>
      <c r="I2016" s="86">
        <v>95.77</v>
      </c>
      <c r="J2016" s="87">
        <f t="shared" si="2"/>
        <v>0</v>
      </c>
      <c r="K2016" s="84" t="str">
        <f t="shared" si="3"/>
        <v>Stabil</v>
      </c>
      <c r="L2016" s="84">
        <f t="shared" si="4"/>
        <v>0</v>
      </c>
      <c r="M2016" s="88" t="str">
        <f t="shared" si="5"/>
        <v>Perubahan Normal</v>
      </c>
    </row>
    <row r="2017" ht="18.75" customHeight="1">
      <c r="A2017" s="80" t="s">
        <v>934</v>
      </c>
      <c r="B2017" s="81" t="str">
        <f t="shared" si="1"/>
        <v>Kab Kolaka</v>
      </c>
      <c r="C2017" s="81" t="str">
        <f t="array" ref="C2017">XLOOKUP(B2017,Reference!$A$2:$A$152,Reference!$B$2:$B$152)</f>
        <v>Sulawesi Tenggara</v>
      </c>
      <c r="D2017" s="82" t="s">
        <v>2456</v>
      </c>
      <c r="E2017" s="83">
        <v>45323.0</v>
      </c>
      <c r="F2017" s="84" t="str">
        <f t="array" ref="F2017">XLOOKUP(G2017,Reference!$F:$F,Reference!$D:$D,"null")</f>
        <v>Makanan dan Pakaian </v>
      </c>
      <c r="G2017" s="85" t="s">
        <v>48</v>
      </c>
      <c r="H2017" s="86">
        <v>104.85</v>
      </c>
      <c r="I2017" s="86">
        <v>103.93</v>
      </c>
      <c r="J2017" s="87">
        <f t="shared" si="2"/>
        <v>0.8852111998</v>
      </c>
      <c r="K2017" s="84" t="str">
        <f t="shared" si="3"/>
        <v>Inflasi Tinggi</v>
      </c>
      <c r="L2017" s="84">
        <f t="shared" si="4"/>
        <v>0.92</v>
      </c>
      <c r="M2017" s="88" t="str">
        <f t="shared" si="5"/>
        <v>Akselerasi Persentase</v>
      </c>
    </row>
    <row r="2018" ht="18.75" customHeight="1">
      <c r="A2018" s="80" t="s">
        <v>448</v>
      </c>
      <c r="B2018" s="81" t="str">
        <f t="shared" si="1"/>
        <v>Tanjung Selor</v>
      </c>
      <c r="C2018" s="81" t="str">
        <f t="array" ref="C2018">XLOOKUP(B2018,Reference!$A$2:$A$152,Reference!$B$2:$B$152)</f>
        <v>Kalimantan Utara</v>
      </c>
      <c r="D2018" s="82" t="s">
        <v>2457</v>
      </c>
      <c r="E2018" s="83">
        <v>45352.0</v>
      </c>
      <c r="F2018" s="84" t="str">
        <f t="array" ref="F2018">XLOOKUP(G2018,Reference!$F:$F,Reference!$D:$D,"null")</f>
        <v>Pendidikan dan Kesehatan</v>
      </c>
      <c r="G2018" s="85" t="s">
        <v>95</v>
      </c>
      <c r="H2018" s="86">
        <v>100.0</v>
      </c>
      <c r="I2018" s="86">
        <v>100.0</v>
      </c>
      <c r="J2018" s="87">
        <f t="shared" si="2"/>
        <v>0</v>
      </c>
      <c r="K2018" s="84" t="str">
        <f t="shared" si="3"/>
        <v>Stabil</v>
      </c>
      <c r="L2018" s="84">
        <f t="shared" si="4"/>
        <v>0</v>
      </c>
      <c r="M2018" s="88" t="str">
        <f t="shared" si="5"/>
        <v>Perubahan Normal</v>
      </c>
    </row>
    <row r="2019" ht="18.75" customHeight="1">
      <c r="A2019" s="80" t="s">
        <v>618</v>
      </c>
      <c r="B2019" s="81" t="str">
        <f t="shared" si="1"/>
        <v>Kota Tangerang</v>
      </c>
      <c r="C2019" s="81" t="str">
        <f t="array" ref="C2019">XLOOKUP(B2019,Reference!$A$2:$A$152,Reference!$B$2:$B$152)</f>
        <v>Banten</v>
      </c>
      <c r="D2019" s="82" t="s">
        <v>2458</v>
      </c>
      <c r="E2019" s="83">
        <v>45323.0</v>
      </c>
      <c r="F2019" s="84" t="str">
        <f t="array" ref="F2019">XLOOKUP(G2019,Reference!$F:$F,Reference!$D:$D,"null")</f>
        <v>Rumah Tangga</v>
      </c>
      <c r="G2019" s="89" t="s">
        <v>89</v>
      </c>
      <c r="H2019" s="90">
        <v>106.09</v>
      </c>
      <c r="I2019" s="90">
        <v>106.09</v>
      </c>
      <c r="J2019" s="87">
        <f t="shared" si="2"/>
        <v>0</v>
      </c>
      <c r="K2019" s="84" t="str">
        <f t="shared" si="3"/>
        <v>Stabil</v>
      </c>
      <c r="L2019" s="91">
        <f t="shared" si="4"/>
        <v>0</v>
      </c>
      <c r="M2019" s="88" t="str">
        <f t="shared" si="5"/>
        <v>Perubahan Normal</v>
      </c>
    </row>
    <row r="2020" ht="18.75" customHeight="1">
      <c r="A2020" s="80" t="s">
        <v>576</v>
      </c>
      <c r="B2020" s="81" t="str">
        <f t="shared" si="1"/>
        <v>Kab Tabanan</v>
      </c>
      <c r="C2020" s="81" t="str">
        <f t="array" ref="C2020">XLOOKUP(B2020,Reference!$A$2:$A$152,Reference!$B$2:$B$152)</f>
        <v>Bali</v>
      </c>
      <c r="D2020" s="82" t="s">
        <v>2459</v>
      </c>
      <c r="E2020" s="83">
        <v>45323.0</v>
      </c>
      <c r="F2020" s="84" t="str">
        <f t="array" ref="F2020">XLOOKUP(G2020,Reference!$F:$F,Reference!$D:$D,"null")</f>
        <v>Makanan dan Pakaian </v>
      </c>
      <c r="G2020" s="85" t="s">
        <v>64</v>
      </c>
      <c r="H2020" s="86">
        <v>117.38</v>
      </c>
      <c r="I2020" s="86">
        <v>117.38</v>
      </c>
      <c r="J2020" s="87">
        <f t="shared" si="2"/>
        <v>0</v>
      </c>
      <c r="K2020" s="84" t="str">
        <f t="shared" si="3"/>
        <v>Stabil</v>
      </c>
      <c r="L2020" s="84">
        <f t="shared" si="4"/>
        <v>0</v>
      </c>
      <c r="M2020" s="88" t="str">
        <f t="shared" si="5"/>
        <v>Perubahan Normal</v>
      </c>
    </row>
    <row r="2021" ht="18.75" customHeight="1">
      <c r="A2021" s="80" t="s">
        <v>814</v>
      </c>
      <c r="B2021" s="81" t="str">
        <f t="shared" si="1"/>
        <v>Kota Samarinda</v>
      </c>
      <c r="C2021" s="81" t="str">
        <f t="array" ref="C2021">XLOOKUP(B2021,Reference!$A$2:$A$152,Reference!$B$2:$B$152)</f>
        <v>Kalimantan Timur</v>
      </c>
      <c r="D2021" s="82" t="s">
        <v>2460</v>
      </c>
      <c r="E2021" s="83">
        <v>45352.0</v>
      </c>
      <c r="F2021" s="84" t="str">
        <f t="array" ref="F2021">XLOOKUP(G2021,Reference!$F:$F,Reference!$D:$D,"null")</f>
        <v>Makanan dan Pakaian </v>
      </c>
      <c r="G2021" s="85" t="s">
        <v>72</v>
      </c>
      <c r="H2021" s="86">
        <v>94.16</v>
      </c>
      <c r="I2021" s="86">
        <v>95.91</v>
      </c>
      <c r="J2021" s="87">
        <f t="shared" si="2"/>
        <v>-1.824627255</v>
      </c>
      <c r="K2021" s="84" t="str">
        <f t="shared" si="3"/>
        <v>Deflasi</v>
      </c>
      <c r="L2021" s="84">
        <f t="shared" si="4"/>
        <v>-1.75</v>
      </c>
      <c r="M2021" s="88" t="str">
        <f t="shared" si="5"/>
        <v>Perubahan Normal</v>
      </c>
    </row>
    <row r="2022" ht="18.75" customHeight="1">
      <c r="A2022" s="80" t="s">
        <v>306</v>
      </c>
      <c r="B2022" s="81" t="str">
        <f t="shared" si="1"/>
        <v>Kota Padang</v>
      </c>
      <c r="C2022" s="81" t="str">
        <f t="array" ref="C2022">XLOOKUP(B2022,Reference!$A$2:$A$152,Reference!$B$2:$B$152)</f>
        <v>Sumatera Barat</v>
      </c>
      <c r="D2022" s="82" t="s">
        <v>2461</v>
      </c>
      <c r="E2022" s="83">
        <v>45352.0</v>
      </c>
      <c r="F2022" s="84" t="str">
        <f t="array" ref="F2022">XLOOKUP(G2022,Reference!$F:$F,Reference!$D:$D,"null")</f>
        <v>Rekreasi dan Kendaraan</v>
      </c>
      <c r="G2022" s="89" t="s">
        <v>102</v>
      </c>
      <c r="H2022" s="90">
        <v>102.35</v>
      </c>
      <c r="I2022" s="90">
        <v>102.14</v>
      </c>
      <c r="J2022" s="87">
        <f t="shared" si="2"/>
        <v>0.2056001566</v>
      </c>
      <c r="K2022" s="84" t="str">
        <f t="shared" si="3"/>
        <v>Inflasi Normal</v>
      </c>
      <c r="L2022" s="91">
        <f t="shared" si="4"/>
        <v>0.21</v>
      </c>
      <c r="M2022" s="88" t="str">
        <f t="shared" si="5"/>
        <v>Perubahan Normal</v>
      </c>
    </row>
    <row r="2023" ht="18.75" customHeight="1">
      <c r="A2023" s="80" t="s">
        <v>715</v>
      </c>
      <c r="B2023" s="81" t="str">
        <f t="shared" si="1"/>
        <v>Kab Bojonegoro</v>
      </c>
      <c r="C2023" s="81" t="str">
        <f t="array" ref="C2023">XLOOKUP(B2023,Reference!$A$2:$A$152,Reference!$B$2:$B$152)</f>
        <v>Jawa Timur</v>
      </c>
      <c r="D2023" s="82" t="s">
        <v>2462</v>
      </c>
      <c r="E2023" s="83">
        <v>45352.0</v>
      </c>
      <c r="F2023" s="84" t="str">
        <f t="array" ref="F2023">XLOOKUP(G2023,Reference!$F:$F,Reference!$D:$D,"null")</f>
        <v>Makanan dan Pakaian </v>
      </c>
      <c r="G2023" s="85" t="s">
        <v>72</v>
      </c>
      <c r="H2023" s="86">
        <v>103.52</v>
      </c>
      <c r="I2023" s="86">
        <v>103.97</v>
      </c>
      <c r="J2023" s="87">
        <f t="shared" si="2"/>
        <v>-0.4328171588</v>
      </c>
      <c r="K2023" s="84" t="str">
        <f t="shared" si="3"/>
        <v>Deflasi</v>
      </c>
      <c r="L2023" s="84">
        <f t="shared" si="4"/>
        <v>-0.45</v>
      </c>
      <c r="M2023" s="88" t="str">
        <f t="shared" si="5"/>
        <v>Perubahan Normal</v>
      </c>
    </row>
    <row r="2024" ht="18.75" customHeight="1">
      <c r="A2024" s="80" t="s">
        <v>324</v>
      </c>
      <c r="B2024" s="81" t="str">
        <f t="shared" si="1"/>
        <v>Kab Nunukan</v>
      </c>
      <c r="C2024" s="81" t="str">
        <f t="array" ref="C2024">XLOOKUP(B2024,Reference!$A$2:$A$152,Reference!$B$2:$B$152)</f>
        <v>Kalimantan Utara</v>
      </c>
      <c r="D2024" s="82" t="s">
        <v>2463</v>
      </c>
      <c r="E2024" s="83">
        <v>45323.0</v>
      </c>
      <c r="F2024" s="84" t="str">
        <f t="array" ref="F2024">XLOOKUP(G2024,Reference!$F:$F,Reference!$D:$D,"null")</f>
        <v>Rumah Tangga</v>
      </c>
      <c r="G2024" s="85" t="s">
        <v>80</v>
      </c>
      <c r="H2024" s="86">
        <v>100.0</v>
      </c>
      <c r="I2024" s="86">
        <v>100.0</v>
      </c>
      <c r="J2024" s="87">
        <f t="shared" si="2"/>
        <v>0</v>
      </c>
      <c r="K2024" s="84" t="str">
        <f t="shared" si="3"/>
        <v>Stabil</v>
      </c>
      <c r="L2024" s="84">
        <f t="shared" si="4"/>
        <v>0</v>
      </c>
      <c r="M2024" s="88" t="str">
        <f t="shared" si="5"/>
        <v>Perubahan Normal</v>
      </c>
    </row>
    <row r="2025" ht="18.75" customHeight="1">
      <c r="A2025" s="80" t="s">
        <v>302</v>
      </c>
      <c r="B2025" s="81" t="str">
        <f t="shared" si="1"/>
        <v>Kota Lubuk Linggau</v>
      </c>
      <c r="C2025" s="81" t="str">
        <f t="array" ref="C2025">XLOOKUP(B2025,Reference!$A$2:$A$152,Reference!$B$2:$B$152)</f>
        <v>Sumatera Selatan</v>
      </c>
      <c r="D2025" s="82" t="s">
        <v>2464</v>
      </c>
      <c r="E2025" s="83">
        <v>45323.0</v>
      </c>
      <c r="F2025" s="84" t="str">
        <f t="array" ref="F2025">XLOOKUP(G2025,Reference!$F:$F,Reference!$D:$D,"null")</f>
        <v>Rekreasi dan Kendaraan</v>
      </c>
      <c r="G2025" s="85" t="s">
        <v>102</v>
      </c>
      <c r="H2025" s="86">
        <v>102.77</v>
      </c>
      <c r="I2025" s="86">
        <v>102.77</v>
      </c>
      <c r="J2025" s="87">
        <f t="shared" si="2"/>
        <v>0</v>
      </c>
      <c r="K2025" s="84" t="str">
        <f t="shared" si="3"/>
        <v>Stabil</v>
      </c>
      <c r="L2025" s="84">
        <f t="shared" si="4"/>
        <v>0</v>
      </c>
      <c r="M2025" s="88" t="str">
        <f t="shared" si="5"/>
        <v>Perubahan Normal</v>
      </c>
    </row>
    <row r="2026" ht="18.75" customHeight="1">
      <c r="A2026" s="80" t="s">
        <v>442</v>
      </c>
      <c r="B2026" s="81" t="str">
        <f t="shared" si="1"/>
        <v>Kota Cirebon</v>
      </c>
      <c r="C2026" s="81" t="str">
        <f t="array" ref="C2026">XLOOKUP(B2026,Reference!$A$2:$A$152,Reference!$B$2:$B$152)</f>
        <v>Jawa Barat</v>
      </c>
      <c r="D2026" s="82" t="s">
        <v>2465</v>
      </c>
      <c r="E2026" s="83">
        <v>45323.0</v>
      </c>
      <c r="F2026" s="84" t="str">
        <f t="array" ref="F2026">XLOOKUP(G2026,Reference!$F:$F,Reference!$D:$D,"null")</f>
        <v>Rumah Tangga</v>
      </c>
      <c r="G2026" s="85" t="s">
        <v>84</v>
      </c>
      <c r="H2026" s="86">
        <v>99.98</v>
      </c>
      <c r="I2026" s="86">
        <v>99.98</v>
      </c>
      <c r="J2026" s="87">
        <f t="shared" si="2"/>
        <v>0</v>
      </c>
      <c r="K2026" s="84" t="str">
        <f t="shared" si="3"/>
        <v>Stabil</v>
      </c>
      <c r="L2026" s="84">
        <f t="shared" si="4"/>
        <v>0</v>
      </c>
      <c r="M2026" s="88" t="str">
        <f t="shared" si="5"/>
        <v>Perubahan Normal</v>
      </c>
    </row>
    <row r="2027" ht="18.75" customHeight="1">
      <c r="A2027" s="80" t="s">
        <v>642</v>
      </c>
      <c r="B2027" s="81" t="str">
        <f t="shared" si="1"/>
        <v>Kota Bandar Lampung</v>
      </c>
      <c r="C2027" s="81" t="str">
        <f t="array" ref="C2027">XLOOKUP(B2027,Reference!$A$2:$A$152,Reference!$B$2:$B$152)</f>
        <v>Lampung</v>
      </c>
      <c r="D2027" s="82" t="s">
        <v>2466</v>
      </c>
      <c r="E2027" s="83">
        <v>45352.0</v>
      </c>
      <c r="F2027" s="84" t="str">
        <f t="array" ref="F2027">XLOOKUP(G2027,Reference!$F:$F,Reference!$D:$D,"null")</f>
        <v>Rekreasi dan Kendaraan</v>
      </c>
      <c r="G2027" s="85" t="s">
        <v>102</v>
      </c>
      <c r="H2027" s="86">
        <v>102.73</v>
      </c>
      <c r="I2027" s="86">
        <v>101.33</v>
      </c>
      <c r="J2027" s="87">
        <f t="shared" si="2"/>
        <v>1.381624396</v>
      </c>
      <c r="K2027" s="84" t="str">
        <f t="shared" si="3"/>
        <v>Inflasi Tinggi</v>
      </c>
      <c r="L2027" s="84">
        <f t="shared" si="4"/>
        <v>1.4</v>
      </c>
      <c r="M2027" s="88" t="str">
        <f t="shared" si="5"/>
        <v>Akselerasi Persentase</v>
      </c>
    </row>
    <row r="2028" ht="18.75" customHeight="1">
      <c r="A2028" s="80" t="s">
        <v>606</v>
      </c>
      <c r="B2028" s="81" t="str">
        <f t="shared" si="1"/>
        <v>Kota Pare Pare</v>
      </c>
      <c r="C2028" s="81" t="str">
        <f t="array" ref="C2028">XLOOKUP(B2028,Reference!$A$2:$A$152,Reference!$B$2:$B$152)</f>
        <v>Sulawesi Selatan</v>
      </c>
      <c r="D2028" s="82" t="s">
        <v>2467</v>
      </c>
      <c r="E2028" s="83">
        <v>45323.0</v>
      </c>
      <c r="F2028" s="84" t="str">
        <f t="array" ref="F2028">XLOOKUP(G2028,Reference!$F:$F,Reference!$D:$D,"null")</f>
        <v>Makanan dan Pakaian </v>
      </c>
      <c r="G2028" s="85" t="s">
        <v>64</v>
      </c>
      <c r="H2028" s="86">
        <v>103.19</v>
      </c>
      <c r="I2028" s="86">
        <v>103.19</v>
      </c>
      <c r="J2028" s="87">
        <f t="shared" si="2"/>
        <v>0</v>
      </c>
      <c r="K2028" s="84" t="str">
        <f t="shared" si="3"/>
        <v>Stabil</v>
      </c>
      <c r="L2028" s="84">
        <f t="shared" si="4"/>
        <v>0</v>
      </c>
      <c r="M2028" s="88" t="str">
        <f t="shared" si="5"/>
        <v>Perubahan Normal</v>
      </c>
    </row>
    <row r="2029" ht="18.75" customHeight="1">
      <c r="A2029" s="80" t="s">
        <v>573</v>
      </c>
      <c r="B2029" s="81" t="str">
        <f t="shared" si="1"/>
        <v>Kota Palangkaraya</v>
      </c>
      <c r="C2029" s="81" t="str">
        <f t="array" ref="C2029">XLOOKUP(B2029,Reference!$A$2:$A$152,Reference!$B$2:$B$152)</f>
        <v>Kalimantan Tengah</v>
      </c>
      <c r="D2029" s="82" t="s">
        <v>2468</v>
      </c>
      <c r="E2029" s="83">
        <v>45352.0</v>
      </c>
      <c r="F2029" s="84" t="str">
        <f t="array" ref="F2029">XLOOKUP(G2029,Reference!$F:$F,Reference!$D:$D,"null")</f>
        <v>Pendidikan dan Kesehatan</v>
      </c>
      <c r="G2029" s="85" t="s">
        <v>95</v>
      </c>
      <c r="H2029" s="86">
        <v>104.86</v>
      </c>
      <c r="I2029" s="86">
        <v>104.86</v>
      </c>
      <c r="J2029" s="87">
        <f t="shared" si="2"/>
        <v>0</v>
      </c>
      <c r="K2029" s="84" t="str">
        <f t="shared" si="3"/>
        <v>Stabil</v>
      </c>
      <c r="L2029" s="84">
        <f t="shared" si="4"/>
        <v>0</v>
      </c>
      <c r="M2029" s="88" t="str">
        <f t="shared" si="5"/>
        <v>Perubahan Normal</v>
      </c>
    </row>
    <row r="2030" ht="18.75" customHeight="1">
      <c r="A2030" s="80" t="s">
        <v>548</v>
      </c>
      <c r="B2030" s="81" t="str">
        <f t="shared" si="1"/>
        <v>Kota Metro</v>
      </c>
      <c r="C2030" s="81" t="str">
        <f t="array" ref="C2030">XLOOKUP(B2030,Reference!$A$2:$A$152,Reference!$B$2:$B$152)</f>
        <v>Lampung</v>
      </c>
      <c r="D2030" s="82" t="s">
        <v>2469</v>
      </c>
      <c r="E2030" s="83">
        <v>45352.0</v>
      </c>
      <c r="F2030" s="84" t="str">
        <f t="array" ref="F2030">XLOOKUP(G2030,Reference!$F:$F,Reference!$D:$D,"null")</f>
        <v>Makanan dan Pakaian </v>
      </c>
      <c r="G2030" s="85" t="s">
        <v>56</v>
      </c>
      <c r="H2030" s="86">
        <v>106.04</v>
      </c>
      <c r="I2030" s="86">
        <v>103.84</v>
      </c>
      <c r="J2030" s="87">
        <f t="shared" si="2"/>
        <v>2.118644068</v>
      </c>
      <c r="K2030" s="84" t="str">
        <f t="shared" si="3"/>
        <v>Inflasi Tinggi</v>
      </c>
      <c r="L2030" s="84">
        <f t="shared" si="4"/>
        <v>2.2</v>
      </c>
      <c r="M2030" s="88" t="str">
        <f t="shared" si="5"/>
        <v>Akselerasi Kuat</v>
      </c>
    </row>
    <row r="2031" ht="18.75" customHeight="1">
      <c r="A2031" s="80" t="s">
        <v>401</v>
      </c>
      <c r="B2031" s="81" t="str">
        <f t="shared" si="1"/>
        <v>Kota Tual</v>
      </c>
      <c r="C2031" s="81" t="str">
        <f t="array" ref="C2031">XLOOKUP(B2031,Reference!$A$2:$A$152,Reference!$B$2:$B$152)</f>
        <v>Maluku</v>
      </c>
      <c r="D2031" s="82" t="s">
        <v>2470</v>
      </c>
      <c r="E2031" s="83">
        <v>45352.0</v>
      </c>
      <c r="F2031" s="84" t="str">
        <f t="array" ref="F2031">XLOOKUP(G2031,Reference!$F:$F,Reference!$D:$D,"null")</f>
        <v>Pendidikan dan Kesehatan</v>
      </c>
      <c r="G2031" s="89" t="s">
        <v>98</v>
      </c>
      <c r="H2031" s="90">
        <v>97.5</v>
      </c>
      <c r="I2031" s="90">
        <v>97.5</v>
      </c>
      <c r="J2031" s="87">
        <f t="shared" si="2"/>
        <v>0</v>
      </c>
      <c r="K2031" s="84" t="str">
        <f t="shared" si="3"/>
        <v>Stabil</v>
      </c>
      <c r="L2031" s="91">
        <f t="shared" si="4"/>
        <v>0</v>
      </c>
      <c r="M2031" s="88" t="str">
        <f t="shared" si="5"/>
        <v>Perubahan Normal</v>
      </c>
    </row>
    <row r="2032" ht="18.75" customHeight="1">
      <c r="A2032" s="80" t="s">
        <v>529</v>
      </c>
      <c r="B2032" s="81" t="str">
        <f t="shared" si="1"/>
        <v>Kota Yogyakarta</v>
      </c>
      <c r="C2032" s="81" t="str">
        <f t="array" ref="C2032">XLOOKUP(B2032,Reference!$A$2:$A$152,Reference!$B$2:$B$152)</f>
        <v>D.I. Yogyakarta</v>
      </c>
      <c r="D2032" s="82" t="s">
        <v>2471</v>
      </c>
      <c r="E2032" s="83">
        <v>45323.0</v>
      </c>
      <c r="F2032" s="84" t="str">
        <f t="array" ref="F2032">XLOOKUP(G2032,Reference!$F:$F,Reference!$D:$D,"null")</f>
        <v>Rekreasi dan Kendaraan</v>
      </c>
      <c r="G2032" s="85" t="s">
        <v>102</v>
      </c>
      <c r="H2032" s="86">
        <v>102.79</v>
      </c>
      <c r="I2032" s="86">
        <v>102.6</v>
      </c>
      <c r="J2032" s="87">
        <f t="shared" si="2"/>
        <v>0.1851851852</v>
      </c>
      <c r="K2032" s="84" t="str">
        <f t="shared" si="3"/>
        <v>Inflasi Normal</v>
      </c>
      <c r="L2032" s="84">
        <f t="shared" si="4"/>
        <v>0.19</v>
      </c>
      <c r="M2032" s="88" t="str">
        <f t="shared" si="5"/>
        <v>Perubahan Normal</v>
      </c>
    </row>
    <row r="2033" ht="18.75" customHeight="1">
      <c r="A2033" s="80" t="s">
        <v>488</v>
      </c>
      <c r="B2033" s="81" t="str">
        <f t="shared" si="1"/>
        <v>Kab Muko Muko</v>
      </c>
      <c r="C2033" s="81" t="str">
        <f t="array" ref="C2033">XLOOKUP(B2033,Reference!$A$2:$A$152,Reference!$B$2:$B$152)</f>
        <v>Bengkulu</v>
      </c>
      <c r="D2033" s="82" t="s">
        <v>2472</v>
      </c>
      <c r="E2033" s="83">
        <v>45323.0</v>
      </c>
      <c r="F2033" s="84" t="str">
        <f t="array" ref="F2033">XLOOKUP(G2033,Reference!$F:$F,Reference!$D:$D,"null")</f>
        <v>Makanan dan Pakaian </v>
      </c>
      <c r="G2033" s="85" t="s">
        <v>64</v>
      </c>
      <c r="H2033" s="86">
        <v>106.37</v>
      </c>
      <c r="I2033" s="86">
        <v>106.37</v>
      </c>
      <c r="J2033" s="87">
        <f t="shared" si="2"/>
        <v>0</v>
      </c>
      <c r="K2033" s="84" t="str">
        <f t="shared" si="3"/>
        <v>Stabil</v>
      </c>
      <c r="L2033" s="84">
        <f t="shared" si="4"/>
        <v>0</v>
      </c>
      <c r="M2033" s="88" t="str">
        <f t="shared" si="5"/>
        <v>Perubahan Normal</v>
      </c>
    </row>
    <row r="2034" ht="18.75" customHeight="1">
      <c r="A2034" s="80" t="s">
        <v>1031</v>
      </c>
      <c r="B2034" s="81" t="str">
        <f t="shared" si="1"/>
        <v>Kab Majene</v>
      </c>
      <c r="C2034" s="81" t="str">
        <f t="array" ref="C2034">XLOOKUP(B2034,Reference!$A$2:$A$152,Reference!$B$2:$B$152)</f>
        <v>Sulawesi Barat</v>
      </c>
      <c r="D2034" s="82" t="s">
        <v>2473</v>
      </c>
      <c r="E2034" s="83">
        <v>45323.0</v>
      </c>
      <c r="F2034" s="84" t="str">
        <f t="array" ref="F2034">XLOOKUP(G2034,Reference!$F:$F,Reference!$D:$D,"null")</f>
        <v>Rumah Tangga</v>
      </c>
      <c r="G2034" s="89" t="s">
        <v>89</v>
      </c>
      <c r="H2034" s="90">
        <v>100.58</v>
      </c>
      <c r="I2034" s="90">
        <v>100.65</v>
      </c>
      <c r="J2034" s="87">
        <f t="shared" si="2"/>
        <v>-0.0695479384</v>
      </c>
      <c r="K2034" s="84" t="str">
        <f t="shared" si="3"/>
        <v>Deflasi</v>
      </c>
      <c r="L2034" s="91">
        <f t="shared" si="4"/>
        <v>-0.07</v>
      </c>
      <c r="M2034" s="88" t="str">
        <f t="shared" si="5"/>
        <v>Perubahan Normal</v>
      </c>
    </row>
    <row r="2035" ht="18.75" customHeight="1">
      <c r="A2035" s="80" t="s">
        <v>642</v>
      </c>
      <c r="B2035" s="81" t="str">
        <f t="shared" si="1"/>
        <v>Kota Bandar Lampung</v>
      </c>
      <c r="C2035" s="81" t="str">
        <f t="array" ref="C2035">XLOOKUP(B2035,Reference!$A$2:$A$152,Reference!$B$2:$B$152)</f>
        <v>Lampung</v>
      </c>
      <c r="D2035" s="82" t="s">
        <v>2474</v>
      </c>
      <c r="E2035" s="83">
        <v>45323.0</v>
      </c>
      <c r="F2035" s="84" t="str">
        <f t="array" ref="F2035">XLOOKUP(G2035,Reference!$F:$F,Reference!$D:$D,"null")</f>
        <v>Makanan dan Pakaian </v>
      </c>
      <c r="G2035" s="85" t="s">
        <v>72</v>
      </c>
      <c r="H2035" s="86">
        <v>109.44</v>
      </c>
      <c r="I2035" s="86">
        <v>108.2</v>
      </c>
      <c r="J2035" s="87">
        <f t="shared" si="2"/>
        <v>1.146025878</v>
      </c>
      <c r="K2035" s="84" t="str">
        <f t="shared" si="3"/>
        <v>Inflasi Tinggi</v>
      </c>
      <c r="L2035" s="84">
        <f t="shared" si="4"/>
        <v>1.24</v>
      </c>
      <c r="M2035" s="88" t="str">
        <f t="shared" si="5"/>
        <v>Akselerasi Persentase</v>
      </c>
    </row>
    <row r="2036" ht="18.75" customHeight="1">
      <c r="A2036" s="80" t="s">
        <v>326</v>
      </c>
      <c r="B2036" s="81" t="str">
        <f t="shared" si="1"/>
        <v>Luwuk</v>
      </c>
      <c r="C2036" s="81" t="str">
        <f t="array" ref="C2036">XLOOKUP(B2036,Reference!$A$2:$A$152,Reference!$B$2:$B$152)</f>
        <v>Sulawesi Tengah</v>
      </c>
      <c r="D2036" s="82" t="s">
        <v>2475</v>
      </c>
      <c r="E2036" s="83">
        <v>45323.0</v>
      </c>
      <c r="F2036" s="84" t="str">
        <f t="array" ref="F2036">XLOOKUP(G2036,Reference!$F:$F,Reference!$D:$D,"null")</f>
        <v>Rumah Tangga</v>
      </c>
      <c r="G2036" s="85" t="s">
        <v>84</v>
      </c>
      <c r="H2036" s="86">
        <v>106.77</v>
      </c>
      <c r="I2036" s="86">
        <v>105.95</v>
      </c>
      <c r="J2036" s="87">
        <f t="shared" si="2"/>
        <v>0.7739499764</v>
      </c>
      <c r="K2036" s="84" t="str">
        <f t="shared" si="3"/>
        <v>Inflasi Tinggi</v>
      </c>
      <c r="L2036" s="84">
        <f t="shared" si="4"/>
        <v>0.82</v>
      </c>
      <c r="M2036" s="88" t="str">
        <f t="shared" si="5"/>
        <v>Akselerasi Persentase</v>
      </c>
    </row>
    <row r="2037" ht="18.75" customHeight="1">
      <c r="A2037" s="80" t="s">
        <v>508</v>
      </c>
      <c r="B2037" s="81" t="str">
        <f t="shared" si="1"/>
        <v>Kab Minahasa Selatan</v>
      </c>
      <c r="C2037" s="81" t="str">
        <f t="array" ref="C2037">XLOOKUP(B2037,Reference!$A$2:$A$152,Reference!$B$2:$B$152)</f>
        <v>Sulawesi Utara</v>
      </c>
      <c r="D2037" s="82" t="s">
        <v>2476</v>
      </c>
      <c r="E2037" s="83">
        <v>45323.0</v>
      </c>
      <c r="F2037" s="84" t="str">
        <f t="array" ref="F2037">XLOOKUP(G2037,Reference!$F:$F,Reference!$D:$D,"null")</f>
        <v>Rekreasi dan Kendaraan</v>
      </c>
      <c r="G2037" s="85" t="s">
        <v>102</v>
      </c>
      <c r="H2037" s="86">
        <v>113.51</v>
      </c>
      <c r="I2037" s="86">
        <v>125.87</v>
      </c>
      <c r="J2037" s="87">
        <f t="shared" si="2"/>
        <v>-9.8196552</v>
      </c>
      <c r="K2037" s="84" t="str">
        <f t="shared" si="3"/>
        <v>Deflasi</v>
      </c>
      <c r="L2037" s="84">
        <f t="shared" si="4"/>
        <v>-12.36</v>
      </c>
      <c r="M2037" s="88" t="str">
        <f t="shared" si="5"/>
        <v>Perubahan Normal</v>
      </c>
    </row>
    <row r="2038" ht="18.75" customHeight="1">
      <c r="A2038" s="80" t="s">
        <v>837</v>
      </c>
      <c r="B2038" s="81" t="str">
        <f t="shared" si="1"/>
        <v>Kab Luwu Timur</v>
      </c>
      <c r="C2038" s="81" t="str">
        <f t="array" ref="C2038">XLOOKUP(B2038,Reference!$A$2:$A$152,Reference!$B$2:$B$152)</f>
        <v>Sulawesi Selatan</v>
      </c>
      <c r="D2038" s="82" t="s">
        <v>2477</v>
      </c>
      <c r="E2038" s="83">
        <v>45323.0</v>
      </c>
      <c r="F2038" s="84" t="str">
        <f t="array" ref="F2038">XLOOKUP(G2038,Reference!$F:$F,Reference!$D:$D,"null")</f>
        <v>Makanan dan Pakaian </v>
      </c>
      <c r="G2038" s="85" t="s">
        <v>48</v>
      </c>
      <c r="H2038" s="86">
        <v>108.53</v>
      </c>
      <c r="I2038" s="86">
        <v>107.64</v>
      </c>
      <c r="J2038" s="87">
        <f t="shared" si="2"/>
        <v>0.8268301747</v>
      </c>
      <c r="K2038" s="84" t="str">
        <f t="shared" si="3"/>
        <v>Inflasi Tinggi</v>
      </c>
      <c r="L2038" s="84">
        <f t="shared" si="4"/>
        <v>0.89</v>
      </c>
      <c r="M2038" s="88" t="str">
        <f t="shared" si="5"/>
        <v>Akselerasi Persentase</v>
      </c>
    </row>
    <row r="2039" ht="18.75" customHeight="1">
      <c r="A2039" s="80" t="s">
        <v>294</v>
      </c>
      <c r="B2039" s="81" t="str">
        <f t="shared" si="1"/>
        <v>Kab Labuhanbatu</v>
      </c>
      <c r="C2039" s="81" t="str">
        <f t="array" ref="C2039">XLOOKUP(B2039,Reference!$A$2:$A$152,Reference!$B$2:$B$152)</f>
        <v>Sumatera Utara</v>
      </c>
      <c r="D2039" s="82" t="s">
        <v>2478</v>
      </c>
      <c r="E2039" s="83">
        <v>45352.0</v>
      </c>
      <c r="F2039" s="84" t="str">
        <f t="array" ref="F2039">XLOOKUP(G2039,Reference!$F:$F,Reference!$D:$D,"null")</f>
        <v>Rekreasi dan Kendaraan</v>
      </c>
      <c r="G2039" s="85" t="s">
        <v>105</v>
      </c>
      <c r="H2039" s="86">
        <v>106.08</v>
      </c>
      <c r="I2039" s="86">
        <v>105.35</v>
      </c>
      <c r="J2039" s="87">
        <f t="shared" si="2"/>
        <v>0.6929283341</v>
      </c>
      <c r="K2039" s="84" t="str">
        <f t="shared" si="3"/>
        <v>Inflasi Tinggi</v>
      </c>
      <c r="L2039" s="84">
        <f t="shared" si="4"/>
        <v>0.73</v>
      </c>
      <c r="M2039" s="88" t="str">
        <f t="shared" si="5"/>
        <v>Akselerasi Persentase</v>
      </c>
    </row>
    <row r="2040" ht="18.75" customHeight="1">
      <c r="A2040" s="80" t="s">
        <v>502</v>
      </c>
      <c r="B2040" s="81" t="str">
        <f t="shared" si="1"/>
        <v>Muara Bungo</v>
      </c>
      <c r="C2040" s="81" t="str">
        <f t="array" ref="C2040">XLOOKUP(B2040,Reference!$A$2:$A$152,Reference!$B$2:$B$152)</f>
        <v>Jambi</v>
      </c>
      <c r="D2040" s="82" t="s">
        <v>2479</v>
      </c>
      <c r="E2040" s="83">
        <v>45352.0</v>
      </c>
      <c r="F2040" s="84" t="str">
        <f t="array" ref="F2040">XLOOKUP(G2040,Reference!$F:$F,Reference!$D:$D,"null")</f>
        <v>Rekreasi dan Kendaraan</v>
      </c>
      <c r="G2040" s="85" t="s">
        <v>105</v>
      </c>
      <c r="H2040" s="86">
        <v>100.75</v>
      </c>
      <c r="I2040" s="86">
        <v>100.75</v>
      </c>
      <c r="J2040" s="87">
        <f t="shared" si="2"/>
        <v>0</v>
      </c>
      <c r="K2040" s="84" t="str">
        <f t="shared" si="3"/>
        <v>Stabil</v>
      </c>
      <c r="L2040" s="84">
        <f t="shared" si="4"/>
        <v>0</v>
      </c>
      <c r="M2040" s="88" t="str">
        <f t="shared" si="5"/>
        <v>Perubahan Normal</v>
      </c>
    </row>
    <row r="2041" ht="18.75" customHeight="1">
      <c r="A2041" s="80" t="s">
        <v>822</v>
      </c>
      <c r="B2041" s="81" t="str">
        <f t="shared" si="1"/>
        <v>Kota Pontianak</v>
      </c>
      <c r="C2041" s="81" t="str">
        <f t="array" ref="C2041">XLOOKUP(B2041,Reference!$A$2:$A$152,Reference!$B$2:$B$152)</f>
        <v>Kalimantan Barat</v>
      </c>
      <c r="D2041" s="82" t="s">
        <v>2480</v>
      </c>
      <c r="E2041" s="83">
        <v>45352.0</v>
      </c>
      <c r="F2041" s="84" t="str">
        <f t="array" ref="F2041">XLOOKUP(G2041,Reference!$F:$F,Reference!$D:$D,"null")</f>
        <v>Rekreasi dan Kendaraan</v>
      </c>
      <c r="G2041" s="85" t="s">
        <v>105</v>
      </c>
      <c r="H2041" s="86">
        <v>106.47</v>
      </c>
      <c r="I2041" s="86">
        <v>106.42</v>
      </c>
      <c r="J2041" s="87">
        <f t="shared" si="2"/>
        <v>0.04698364969</v>
      </c>
      <c r="K2041" s="84" t="str">
        <f t="shared" si="3"/>
        <v>Inflasi Normal</v>
      </c>
      <c r="L2041" s="84">
        <f t="shared" si="4"/>
        <v>0.05</v>
      </c>
      <c r="M2041" s="88" t="str">
        <f t="shared" si="5"/>
        <v>Perubahan Normal</v>
      </c>
    </row>
    <row r="2042" ht="18.75" customHeight="1">
      <c r="A2042" s="80" t="s">
        <v>423</v>
      </c>
      <c r="B2042" s="81" t="str">
        <f t="shared" si="1"/>
        <v>Kota Kotamobagu</v>
      </c>
      <c r="C2042" s="81" t="str">
        <f t="array" ref="C2042">XLOOKUP(B2042,Reference!$A$2:$A$152,Reference!$B$2:$B$152)</f>
        <v>Sulawesi Utara</v>
      </c>
      <c r="D2042" s="82" t="s">
        <v>2481</v>
      </c>
      <c r="E2042" s="83">
        <v>45352.0</v>
      </c>
      <c r="F2042" s="84" t="str">
        <f t="array" ref="F2042">XLOOKUP(G2042,Reference!$F:$F,Reference!$D:$D,"null")</f>
        <v>Makanan dan Pakaian </v>
      </c>
      <c r="G2042" s="85" t="s">
        <v>48</v>
      </c>
      <c r="H2042" s="86">
        <v>116.76</v>
      </c>
      <c r="I2042" s="86">
        <v>109.35</v>
      </c>
      <c r="J2042" s="87">
        <f t="shared" si="2"/>
        <v>6.776406036</v>
      </c>
      <c r="K2042" s="84" t="str">
        <f t="shared" si="3"/>
        <v>Inflasi Tinggi</v>
      </c>
      <c r="L2042" s="84">
        <f t="shared" si="4"/>
        <v>7.41</v>
      </c>
      <c r="M2042" s="88" t="str">
        <f t="shared" si="5"/>
        <v>Akselerasi Kuat</v>
      </c>
    </row>
    <row r="2043" ht="18.75" customHeight="1">
      <c r="A2043" s="80" t="s">
        <v>550</v>
      </c>
      <c r="B2043" s="81" t="str">
        <f t="shared" si="1"/>
        <v>Kota Sukabumi</v>
      </c>
      <c r="C2043" s="81" t="str">
        <f t="array" ref="C2043">XLOOKUP(B2043,Reference!$A$2:$A$152,Reference!$B$2:$B$152)</f>
        <v>Jawa Barat</v>
      </c>
      <c r="D2043" s="82" t="s">
        <v>2482</v>
      </c>
      <c r="E2043" s="83">
        <v>45352.0</v>
      </c>
      <c r="F2043" s="84" t="str">
        <f t="array" ref="F2043">XLOOKUP(G2043,Reference!$F:$F,Reference!$D:$D,"null")</f>
        <v>Makanan dan Pakaian </v>
      </c>
      <c r="G2043" s="85" t="s">
        <v>56</v>
      </c>
      <c r="H2043" s="86">
        <v>105.34</v>
      </c>
      <c r="I2043" s="86">
        <v>105.33</v>
      </c>
      <c r="J2043" s="87">
        <f t="shared" si="2"/>
        <v>0.009493971328</v>
      </c>
      <c r="K2043" s="84" t="str">
        <f t="shared" si="3"/>
        <v>Inflasi Normal</v>
      </c>
      <c r="L2043" s="84">
        <f t="shared" si="4"/>
        <v>0.01</v>
      </c>
      <c r="M2043" s="88" t="str">
        <f t="shared" si="5"/>
        <v>Perubahan Normal</v>
      </c>
    </row>
    <row r="2044" ht="18.75" customHeight="1">
      <c r="A2044" s="80" t="s">
        <v>699</v>
      </c>
      <c r="B2044" s="81" t="str">
        <f t="shared" si="1"/>
        <v>Mamuju</v>
      </c>
      <c r="C2044" s="81" t="str">
        <f t="array" ref="C2044">XLOOKUP(B2044,Reference!$A$2:$A$152,Reference!$B$2:$B$152)</f>
        <v>Sulawesi Barat</v>
      </c>
      <c r="D2044" s="82" t="s">
        <v>2483</v>
      </c>
      <c r="E2044" s="83">
        <v>45323.0</v>
      </c>
      <c r="F2044" s="84" t="str">
        <f t="array" ref="F2044">XLOOKUP(G2044,Reference!$F:$F,Reference!$D:$D,"null")</f>
        <v>Rumah Tangga</v>
      </c>
      <c r="G2044" s="85" t="s">
        <v>84</v>
      </c>
      <c r="H2044" s="86">
        <v>100.17</v>
      </c>
      <c r="I2044" s="86">
        <v>100.35</v>
      </c>
      <c r="J2044" s="87">
        <f t="shared" si="2"/>
        <v>-0.1793721973</v>
      </c>
      <c r="K2044" s="84" t="str">
        <f t="shared" si="3"/>
        <v>Deflasi</v>
      </c>
      <c r="L2044" s="84">
        <f t="shared" si="4"/>
        <v>-0.18</v>
      </c>
      <c r="M2044" s="88" t="str">
        <f t="shared" si="5"/>
        <v>Perubahan Normal</v>
      </c>
    </row>
    <row r="2045" ht="18.75" customHeight="1">
      <c r="A2045" s="80" t="s">
        <v>672</v>
      </c>
      <c r="B2045" s="81" t="str">
        <f t="shared" si="1"/>
        <v>Kab Ogan Komering Ilir</v>
      </c>
      <c r="C2045" s="81" t="str">
        <f t="array" ref="C2045">XLOOKUP(B2045,Reference!$A$2:$A$152,Reference!$B$2:$B$152)</f>
        <v>Sumatera Selatan</v>
      </c>
      <c r="D2045" s="82" t="s">
        <v>2484</v>
      </c>
      <c r="E2045" s="83">
        <v>45352.0</v>
      </c>
      <c r="F2045" s="84" t="str">
        <f t="array" ref="F2045">XLOOKUP(G2045,Reference!$F:$F,Reference!$D:$D,"null")</f>
        <v>Rekreasi dan Kendaraan</v>
      </c>
      <c r="G2045" s="85" t="s">
        <v>102</v>
      </c>
      <c r="H2045" s="86">
        <v>105.6</v>
      </c>
      <c r="I2045" s="86">
        <v>105.78</v>
      </c>
      <c r="J2045" s="87">
        <f t="shared" si="2"/>
        <v>-0.1701644923</v>
      </c>
      <c r="K2045" s="84" t="str">
        <f t="shared" si="3"/>
        <v>Deflasi</v>
      </c>
      <c r="L2045" s="84">
        <f t="shared" si="4"/>
        <v>-0.18</v>
      </c>
      <c r="M2045" s="88" t="str">
        <f t="shared" si="5"/>
        <v>Perubahan Normal</v>
      </c>
    </row>
    <row r="2046" ht="18.75" customHeight="1">
      <c r="A2046" s="80" t="s">
        <v>806</v>
      </c>
      <c r="B2046" s="81" t="str">
        <f t="shared" si="1"/>
        <v>Kab Subang</v>
      </c>
      <c r="C2046" s="81" t="str">
        <f t="array" ref="C2046">XLOOKUP(B2046,Reference!$A$2:$A$152,Reference!$B$2:$B$152)</f>
        <v>Jawa Barat</v>
      </c>
      <c r="D2046" s="82" t="s">
        <v>2485</v>
      </c>
      <c r="E2046" s="83">
        <v>45323.0</v>
      </c>
      <c r="F2046" s="84" t="str">
        <f t="array" ref="F2046">XLOOKUP(G2046,Reference!$F:$F,Reference!$D:$D,"null")</f>
        <v>Rekreasi dan Kendaraan</v>
      </c>
      <c r="G2046" s="85" t="s">
        <v>102</v>
      </c>
      <c r="H2046" s="86">
        <v>110.78</v>
      </c>
      <c r="I2046" s="86">
        <v>110.78</v>
      </c>
      <c r="J2046" s="87">
        <f t="shared" si="2"/>
        <v>0</v>
      </c>
      <c r="K2046" s="84" t="str">
        <f t="shared" si="3"/>
        <v>Stabil</v>
      </c>
      <c r="L2046" s="84">
        <f t="shared" si="4"/>
        <v>0</v>
      </c>
      <c r="M2046" s="88" t="str">
        <f t="shared" si="5"/>
        <v>Perubahan Normal</v>
      </c>
    </row>
    <row r="2047" ht="18.75" customHeight="1">
      <c r="A2047" s="80" t="s">
        <v>410</v>
      </c>
      <c r="B2047" s="81" t="str">
        <f t="shared" si="1"/>
        <v>Meulaboh</v>
      </c>
      <c r="C2047" s="81" t="str">
        <f t="array" ref="C2047">XLOOKUP(B2047,Reference!$A$2:$A$152,Reference!$B$2:$B$152)</f>
        <v>Aceh</v>
      </c>
      <c r="D2047" s="82" t="s">
        <v>2486</v>
      </c>
      <c r="E2047" s="83">
        <v>45352.0</v>
      </c>
      <c r="F2047" s="84" t="str">
        <f t="array" ref="F2047">XLOOKUP(G2047,Reference!$F:$F,Reference!$D:$D,"null")</f>
        <v>Pendidikan dan Kesehatan</v>
      </c>
      <c r="G2047" s="85" t="s">
        <v>98</v>
      </c>
      <c r="H2047" s="86">
        <v>111.93</v>
      </c>
      <c r="I2047" s="86">
        <v>111.93</v>
      </c>
      <c r="J2047" s="87">
        <f t="shared" si="2"/>
        <v>0</v>
      </c>
      <c r="K2047" s="84" t="str">
        <f t="shared" si="3"/>
        <v>Stabil</v>
      </c>
      <c r="L2047" s="84">
        <f t="shared" si="4"/>
        <v>0</v>
      </c>
      <c r="M2047" s="88" t="str">
        <f t="shared" si="5"/>
        <v>Perubahan Normal</v>
      </c>
    </row>
    <row r="2048" ht="18.75" customHeight="1">
      <c r="A2048" s="80" t="s">
        <v>423</v>
      </c>
      <c r="B2048" s="81" t="str">
        <f t="shared" si="1"/>
        <v>Kota Kotamobagu</v>
      </c>
      <c r="C2048" s="81" t="str">
        <f t="array" ref="C2048">XLOOKUP(B2048,Reference!$A$2:$A$152,Reference!$B$2:$B$152)</f>
        <v>Sulawesi Utara</v>
      </c>
      <c r="D2048" s="82" t="s">
        <v>2487</v>
      </c>
      <c r="E2048" s="83">
        <v>45352.0</v>
      </c>
      <c r="F2048" s="84" t="str">
        <f t="array" ref="F2048">XLOOKUP(G2048,Reference!$F:$F,Reference!$D:$D,"null")</f>
        <v>Rumah Tangga</v>
      </c>
      <c r="G2048" s="85" t="s">
        <v>89</v>
      </c>
      <c r="H2048" s="86">
        <v>101.0</v>
      </c>
      <c r="I2048" s="86">
        <v>100.95</v>
      </c>
      <c r="J2048" s="87">
        <f t="shared" si="2"/>
        <v>0.04952947003</v>
      </c>
      <c r="K2048" s="84" t="str">
        <f t="shared" si="3"/>
        <v>Inflasi Normal</v>
      </c>
      <c r="L2048" s="84">
        <f t="shared" si="4"/>
        <v>0.05</v>
      </c>
      <c r="M2048" s="88" t="str">
        <f t="shared" si="5"/>
        <v>Perubahan Normal</v>
      </c>
    </row>
    <row r="2049" ht="18.75" customHeight="1">
      <c r="A2049" s="80" t="s">
        <v>374</v>
      </c>
      <c r="B2049" s="81" t="str">
        <f t="shared" si="1"/>
        <v>Kab Majalengka</v>
      </c>
      <c r="C2049" s="81" t="str">
        <f t="array" ref="C2049">XLOOKUP(B2049,Reference!$A$2:$A$152,Reference!$B$2:$B$152)</f>
        <v>Jawa Barat</v>
      </c>
      <c r="D2049" s="82" t="s">
        <v>2488</v>
      </c>
      <c r="E2049" s="83">
        <v>45323.0</v>
      </c>
      <c r="F2049" s="84" t="str">
        <f t="array" ref="F2049">XLOOKUP(G2049,Reference!$F:$F,Reference!$D:$D,"null")</f>
        <v>Makanan dan Pakaian </v>
      </c>
      <c r="G2049" s="85" t="s">
        <v>48</v>
      </c>
      <c r="H2049" s="86">
        <v>112.09</v>
      </c>
      <c r="I2049" s="86">
        <v>110.6</v>
      </c>
      <c r="J2049" s="87">
        <f t="shared" si="2"/>
        <v>1.347197107</v>
      </c>
      <c r="K2049" s="84" t="str">
        <f t="shared" si="3"/>
        <v>Inflasi Tinggi</v>
      </c>
      <c r="L2049" s="84">
        <f t="shared" si="4"/>
        <v>1.49</v>
      </c>
      <c r="M2049" s="88" t="str">
        <f t="shared" si="5"/>
        <v>Akselerasi Persentase</v>
      </c>
    </row>
    <row r="2050" ht="18.75" customHeight="1">
      <c r="A2050" s="80" t="s">
        <v>594</v>
      </c>
      <c r="B2050" s="81" t="str">
        <f t="shared" si="1"/>
        <v>Kota Kendari</v>
      </c>
      <c r="C2050" s="81" t="str">
        <f t="array" ref="C2050">XLOOKUP(B2050,Reference!$A$2:$A$152,Reference!$B$2:$B$152)</f>
        <v>Sulawesi Tenggara</v>
      </c>
      <c r="D2050" s="82" t="s">
        <v>2489</v>
      </c>
      <c r="E2050" s="83">
        <v>45323.0</v>
      </c>
      <c r="F2050" s="84" t="str">
        <f t="array" ref="F2050">XLOOKUP(G2050,Reference!$F:$F,Reference!$D:$D,"null")</f>
        <v>Pendidikan dan Kesehatan</v>
      </c>
      <c r="G2050" s="85" t="s">
        <v>98</v>
      </c>
      <c r="H2050" s="86">
        <v>101.04</v>
      </c>
      <c r="I2050" s="86">
        <v>102.42</v>
      </c>
      <c r="J2050" s="87">
        <f t="shared" si="2"/>
        <v>-1.347393087</v>
      </c>
      <c r="K2050" s="84" t="str">
        <f t="shared" si="3"/>
        <v>Deflasi</v>
      </c>
      <c r="L2050" s="84">
        <f t="shared" si="4"/>
        <v>-1.38</v>
      </c>
      <c r="M2050" s="88" t="str">
        <f t="shared" si="5"/>
        <v>Perubahan Normal</v>
      </c>
    </row>
    <row r="2051" ht="18.75" customHeight="1">
      <c r="A2051" s="80" t="s">
        <v>387</v>
      </c>
      <c r="B2051" s="81" t="str">
        <f t="shared" si="1"/>
        <v>Kota Semarang</v>
      </c>
      <c r="C2051" s="81" t="str">
        <f t="array" ref="C2051">XLOOKUP(B2051,Reference!$A$2:$A$152,Reference!$B$2:$B$152)</f>
        <v>Jawa Tengah</v>
      </c>
      <c r="D2051" s="82" t="s">
        <v>2490</v>
      </c>
      <c r="E2051" s="83">
        <v>45352.0</v>
      </c>
      <c r="F2051" s="84" t="str">
        <f t="array" ref="F2051">XLOOKUP(G2051,Reference!$F:$F,Reference!$D:$D,"null")</f>
        <v>Makanan dan Pakaian </v>
      </c>
      <c r="G2051" s="85" t="s">
        <v>72</v>
      </c>
      <c r="H2051" s="86">
        <v>100.78</v>
      </c>
      <c r="I2051" s="86">
        <v>100.77</v>
      </c>
      <c r="J2051" s="87">
        <f t="shared" si="2"/>
        <v>0.00992358837</v>
      </c>
      <c r="K2051" s="84" t="str">
        <f t="shared" si="3"/>
        <v>Inflasi Normal</v>
      </c>
      <c r="L2051" s="84">
        <f t="shared" si="4"/>
        <v>0.01</v>
      </c>
      <c r="M2051" s="88" t="str">
        <f t="shared" si="5"/>
        <v>Perubahan Normal</v>
      </c>
    </row>
    <row r="2052" ht="18.75" customHeight="1">
      <c r="A2052" s="80" t="s">
        <v>389</v>
      </c>
      <c r="B2052" s="81" t="str">
        <f t="shared" si="1"/>
        <v>Tembilahan</v>
      </c>
      <c r="C2052" s="81" t="str">
        <f t="array" ref="C2052">XLOOKUP(B2052,Reference!$A$2:$A$152,Reference!$B$2:$B$152)</f>
        <v>Riau</v>
      </c>
      <c r="D2052" s="82" t="s">
        <v>2491</v>
      </c>
      <c r="E2052" s="83">
        <v>45352.0</v>
      </c>
      <c r="F2052" s="84" t="str">
        <f t="array" ref="F2052">XLOOKUP(G2052,Reference!$F:$F,Reference!$D:$D,"null")</f>
        <v>Makanan dan Pakaian </v>
      </c>
      <c r="G2052" s="85" t="s">
        <v>56</v>
      </c>
      <c r="H2052" s="86">
        <v>104.73</v>
      </c>
      <c r="I2052" s="86">
        <v>104.73</v>
      </c>
      <c r="J2052" s="87">
        <f t="shared" si="2"/>
        <v>0</v>
      </c>
      <c r="K2052" s="84" t="str">
        <f t="shared" si="3"/>
        <v>Stabil</v>
      </c>
      <c r="L2052" s="84">
        <f t="shared" si="4"/>
        <v>0</v>
      </c>
      <c r="M2052" s="88" t="str">
        <f t="shared" si="5"/>
        <v>Perubahan Normal</v>
      </c>
    </row>
    <row r="2053" ht="18.75" customHeight="1">
      <c r="A2053" s="80" t="s">
        <v>438</v>
      </c>
      <c r="B2053" s="81" t="str">
        <f t="shared" si="1"/>
        <v>Kab Muara Enim</v>
      </c>
      <c r="C2053" s="81" t="str">
        <f t="array" ref="C2053">XLOOKUP(B2053,Reference!$A$2:$A$152,Reference!$B$2:$B$152)</f>
        <v>Sumatera Selatan</v>
      </c>
      <c r="D2053" s="82" t="s">
        <v>2492</v>
      </c>
      <c r="E2053" s="83">
        <v>45323.0</v>
      </c>
      <c r="F2053" s="84" t="str">
        <f t="array" ref="F2053">XLOOKUP(G2053,Reference!$F:$F,Reference!$D:$D,"null")</f>
        <v>Pendidikan dan Kesehatan</v>
      </c>
      <c r="G2053" s="85" t="s">
        <v>98</v>
      </c>
      <c r="H2053" s="86">
        <v>99.25</v>
      </c>
      <c r="I2053" s="86">
        <v>99.53</v>
      </c>
      <c r="J2053" s="87">
        <f t="shared" si="2"/>
        <v>-0.2813222144</v>
      </c>
      <c r="K2053" s="84" t="str">
        <f t="shared" si="3"/>
        <v>Deflasi</v>
      </c>
      <c r="L2053" s="84">
        <f t="shared" si="4"/>
        <v>-0.28</v>
      </c>
      <c r="M2053" s="88" t="str">
        <f t="shared" si="5"/>
        <v>Perubahan Normal</v>
      </c>
    </row>
    <row r="2054" ht="18.75" customHeight="1">
      <c r="A2054" s="80" t="s">
        <v>558</v>
      </c>
      <c r="B2054" s="81" t="str">
        <f t="shared" si="1"/>
        <v>Kab Kapuas</v>
      </c>
      <c r="C2054" s="81" t="str">
        <f t="array" ref="C2054">XLOOKUP(B2054,Reference!$A$2:$A$152,Reference!$B$2:$B$152)</f>
        <v>Kalimantan Tengah</v>
      </c>
      <c r="D2054" s="82" t="s">
        <v>2493</v>
      </c>
      <c r="E2054" s="83">
        <v>45352.0</v>
      </c>
      <c r="F2054" s="84" t="str">
        <f t="array" ref="F2054">XLOOKUP(G2054,Reference!$F:$F,Reference!$D:$D,"null")</f>
        <v>Makanan dan Pakaian </v>
      </c>
      <c r="G2054" s="89" t="s">
        <v>48</v>
      </c>
      <c r="H2054" s="90">
        <v>109.18</v>
      </c>
      <c r="I2054" s="90">
        <v>107.57</v>
      </c>
      <c r="J2054" s="87">
        <f t="shared" si="2"/>
        <v>1.496699823</v>
      </c>
      <c r="K2054" s="84" t="str">
        <f t="shared" si="3"/>
        <v>Inflasi Tinggi</v>
      </c>
      <c r="L2054" s="91">
        <f t="shared" si="4"/>
        <v>1.61</v>
      </c>
      <c r="M2054" s="88" t="str">
        <f t="shared" si="5"/>
        <v>Akselerasi Persentase</v>
      </c>
    </row>
    <row r="2055" ht="18.75" customHeight="1">
      <c r="A2055" s="80" t="s">
        <v>806</v>
      </c>
      <c r="B2055" s="81" t="str">
        <f t="shared" si="1"/>
        <v>Kab Subang</v>
      </c>
      <c r="C2055" s="81" t="str">
        <f t="array" ref="C2055">XLOOKUP(B2055,Reference!$A$2:$A$152,Reference!$B$2:$B$152)</f>
        <v>Jawa Barat</v>
      </c>
      <c r="D2055" s="82" t="s">
        <v>2494</v>
      </c>
      <c r="E2055" s="83">
        <v>45352.0</v>
      </c>
      <c r="F2055" s="84" t="str">
        <f t="array" ref="F2055">XLOOKUP(G2055,Reference!$F:$F,Reference!$D:$D,"null")</f>
        <v>Makanan dan Pakaian </v>
      </c>
      <c r="G2055" s="85" t="s">
        <v>56</v>
      </c>
      <c r="H2055" s="86">
        <v>100.19</v>
      </c>
      <c r="I2055" s="86">
        <v>100.19</v>
      </c>
      <c r="J2055" s="87">
        <f t="shared" si="2"/>
        <v>0</v>
      </c>
      <c r="K2055" s="84" t="str">
        <f t="shared" si="3"/>
        <v>Stabil</v>
      </c>
      <c r="L2055" s="84">
        <f t="shared" si="4"/>
        <v>0</v>
      </c>
      <c r="M2055" s="88" t="str">
        <f t="shared" si="5"/>
        <v>Perubahan Normal</v>
      </c>
    </row>
    <row r="2056" ht="18.75" customHeight="1">
      <c r="A2056" s="80" t="s">
        <v>618</v>
      </c>
      <c r="B2056" s="81" t="str">
        <f t="shared" si="1"/>
        <v>Kota Tangerang</v>
      </c>
      <c r="C2056" s="81" t="str">
        <f t="array" ref="C2056">XLOOKUP(B2056,Reference!$A$2:$A$152,Reference!$B$2:$B$152)</f>
        <v>Banten</v>
      </c>
      <c r="D2056" s="82" t="s">
        <v>2495</v>
      </c>
      <c r="E2056" s="83">
        <v>45323.0</v>
      </c>
      <c r="F2056" s="84" t="str">
        <f t="array" ref="F2056">XLOOKUP(G2056,Reference!$F:$F,Reference!$D:$D,"null")</f>
        <v>Makanan dan Pakaian </v>
      </c>
      <c r="G2056" s="85" t="s">
        <v>72</v>
      </c>
      <c r="H2056" s="86">
        <v>97.41</v>
      </c>
      <c r="I2056" s="86">
        <v>97.0</v>
      </c>
      <c r="J2056" s="87">
        <f t="shared" si="2"/>
        <v>0.4226804124</v>
      </c>
      <c r="K2056" s="84" t="str">
        <f t="shared" si="3"/>
        <v>Inflasi Normal</v>
      </c>
      <c r="L2056" s="84">
        <f t="shared" si="4"/>
        <v>0.41</v>
      </c>
      <c r="M2056" s="88" t="str">
        <f t="shared" si="5"/>
        <v>Perubahan Normal</v>
      </c>
    </row>
    <row r="2057" ht="18.75" customHeight="1">
      <c r="A2057" s="80" t="s">
        <v>417</v>
      </c>
      <c r="B2057" s="81" t="str">
        <f t="shared" si="1"/>
        <v>Kotabaru</v>
      </c>
      <c r="C2057" s="81" t="str">
        <f t="array" ref="C2057">XLOOKUP(B2057,Reference!$A$2:$A$152,Reference!$B$2:$B$152)</f>
        <v>Kalimantan Selatan</v>
      </c>
      <c r="D2057" s="82" t="s">
        <v>2496</v>
      </c>
      <c r="E2057" s="83">
        <v>45323.0</v>
      </c>
      <c r="F2057" s="84" t="str">
        <f t="array" ref="F2057">XLOOKUP(G2057,Reference!$F:$F,Reference!$D:$D,"null")</f>
        <v>Rekreasi dan Kendaraan</v>
      </c>
      <c r="G2057" s="85" t="s">
        <v>105</v>
      </c>
      <c r="H2057" s="86">
        <v>105.68</v>
      </c>
      <c r="I2057" s="86">
        <v>105.68</v>
      </c>
      <c r="J2057" s="87">
        <f t="shared" si="2"/>
        <v>0</v>
      </c>
      <c r="K2057" s="84" t="str">
        <f t="shared" si="3"/>
        <v>Stabil</v>
      </c>
      <c r="L2057" s="84">
        <f t="shared" si="4"/>
        <v>0</v>
      </c>
      <c r="M2057" s="88" t="str">
        <f t="shared" si="5"/>
        <v>Perubahan Normal</v>
      </c>
    </row>
    <row r="2058" ht="18.75" customHeight="1">
      <c r="A2058" s="80" t="s">
        <v>442</v>
      </c>
      <c r="B2058" s="81" t="str">
        <f t="shared" si="1"/>
        <v>Kota Cirebon</v>
      </c>
      <c r="C2058" s="81" t="str">
        <f t="array" ref="C2058">XLOOKUP(B2058,Reference!$A$2:$A$152,Reference!$B$2:$B$152)</f>
        <v>Jawa Barat</v>
      </c>
      <c r="D2058" s="82" t="s">
        <v>2497</v>
      </c>
      <c r="E2058" s="83">
        <v>45323.0</v>
      </c>
      <c r="F2058" s="84" t="str">
        <f t="array" ref="F2058">XLOOKUP(G2058,Reference!$F:$F,Reference!$D:$D,"null")</f>
        <v>Pendidikan dan Kesehatan</v>
      </c>
      <c r="G2058" s="85" t="s">
        <v>95</v>
      </c>
      <c r="H2058" s="86">
        <v>102.23</v>
      </c>
      <c r="I2058" s="86">
        <v>102.23</v>
      </c>
      <c r="J2058" s="87">
        <f t="shared" si="2"/>
        <v>0</v>
      </c>
      <c r="K2058" s="84" t="str">
        <f t="shared" si="3"/>
        <v>Stabil</v>
      </c>
      <c r="L2058" s="84">
        <f t="shared" si="4"/>
        <v>0</v>
      </c>
      <c r="M2058" s="88" t="str">
        <f t="shared" si="5"/>
        <v>Perubahan Normal</v>
      </c>
    </row>
    <row r="2059" ht="18.75" customHeight="1">
      <c r="A2059" s="80" t="s">
        <v>515</v>
      </c>
      <c r="B2059" s="81" t="str">
        <f t="shared" si="1"/>
        <v>Kab Gresik</v>
      </c>
      <c r="C2059" s="81" t="str">
        <f t="array" ref="C2059">XLOOKUP(B2059,Reference!$A$2:$A$152,Reference!$B$2:$B$152)</f>
        <v>Jawa Timur</v>
      </c>
      <c r="D2059" s="82" t="s">
        <v>2498</v>
      </c>
      <c r="E2059" s="83">
        <v>45352.0</v>
      </c>
      <c r="F2059" s="84" t="str">
        <f t="array" ref="F2059">XLOOKUP(G2059,Reference!$F:$F,Reference!$D:$D,"null")</f>
        <v>Rekreasi dan Kendaraan</v>
      </c>
      <c r="G2059" s="85" t="s">
        <v>102</v>
      </c>
      <c r="H2059" s="86">
        <v>103.93</v>
      </c>
      <c r="I2059" s="86">
        <v>103.91</v>
      </c>
      <c r="J2059" s="87">
        <f t="shared" si="2"/>
        <v>0.01924742566</v>
      </c>
      <c r="K2059" s="84" t="str">
        <f t="shared" si="3"/>
        <v>Inflasi Normal</v>
      </c>
      <c r="L2059" s="84">
        <f t="shared" si="4"/>
        <v>0.02</v>
      </c>
      <c r="M2059" s="88" t="str">
        <f t="shared" si="5"/>
        <v>Perubahan Normal</v>
      </c>
    </row>
    <row r="2060" ht="18.75" customHeight="1">
      <c r="A2060" s="80" t="s">
        <v>578</v>
      </c>
      <c r="B2060" s="81" t="str">
        <f t="shared" si="1"/>
        <v>Kab Belitung Timur</v>
      </c>
      <c r="C2060" s="81" t="str">
        <f t="array" ref="C2060">XLOOKUP(B2060,Reference!$A$2:$A$152,Reference!$B$2:$B$152)</f>
        <v>Kepulauan Bangka Belitung</v>
      </c>
      <c r="D2060" s="82" t="s">
        <v>2499</v>
      </c>
      <c r="E2060" s="83">
        <v>45352.0</v>
      </c>
      <c r="F2060" s="84" t="str">
        <f t="array" ref="F2060">XLOOKUP(G2060,Reference!$F:$F,Reference!$D:$D,"null")</f>
        <v>Rumah Tangga</v>
      </c>
      <c r="G2060" s="85" t="s">
        <v>89</v>
      </c>
      <c r="H2060" s="86">
        <v>108.3</v>
      </c>
      <c r="I2060" s="86">
        <v>108.3</v>
      </c>
      <c r="J2060" s="87">
        <f t="shared" si="2"/>
        <v>0</v>
      </c>
      <c r="K2060" s="84" t="str">
        <f t="shared" si="3"/>
        <v>Stabil</v>
      </c>
      <c r="L2060" s="84">
        <f t="shared" si="4"/>
        <v>0</v>
      </c>
      <c r="M2060" s="88" t="str">
        <f t="shared" si="5"/>
        <v>Perubahan Normal</v>
      </c>
    </row>
    <row r="2061" ht="18.75" customHeight="1">
      <c r="A2061" s="80" t="s">
        <v>340</v>
      </c>
      <c r="B2061" s="81" t="str">
        <f t="shared" si="1"/>
        <v>Kab Rembang</v>
      </c>
      <c r="C2061" s="81" t="str">
        <f t="array" ref="C2061">XLOOKUP(B2061,Reference!$A$2:$A$152,Reference!$B$2:$B$152)</f>
        <v>Jawa Tengah</v>
      </c>
      <c r="D2061" s="82" t="s">
        <v>2500</v>
      </c>
      <c r="E2061" s="83">
        <v>45323.0</v>
      </c>
      <c r="F2061" s="84" t="str">
        <f t="array" ref="F2061">XLOOKUP(G2061,Reference!$F:$F,Reference!$D:$D,"null")</f>
        <v>Makanan dan Pakaian </v>
      </c>
      <c r="G2061" s="85" t="s">
        <v>64</v>
      </c>
      <c r="H2061" s="86">
        <v>110.18</v>
      </c>
      <c r="I2061" s="86">
        <v>110.18</v>
      </c>
      <c r="J2061" s="87">
        <f t="shared" si="2"/>
        <v>0</v>
      </c>
      <c r="K2061" s="84" t="str">
        <f t="shared" si="3"/>
        <v>Stabil</v>
      </c>
      <c r="L2061" s="84">
        <f t="shared" si="4"/>
        <v>0</v>
      </c>
      <c r="M2061" s="88" t="str">
        <f t="shared" si="5"/>
        <v>Perubahan Normal</v>
      </c>
    </row>
    <row r="2062" ht="18.75" customHeight="1">
      <c r="A2062" s="80" t="s">
        <v>764</v>
      </c>
      <c r="B2062" s="81" t="str">
        <f t="shared" si="1"/>
        <v>Kota Madiun</v>
      </c>
      <c r="C2062" s="81" t="str">
        <f t="array" ref="C2062">XLOOKUP(B2062,Reference!$A$2:$A$152,Reference!$B$2:$B$152)</f>
        <v>Jawa Timur</v>
      </c>
      <c r="D2062" s="82" t="s">
        <v>2501</v>
      </c>
      <c r="E2062" s="83">
        <v>45352.0</v>
      </c>
      <c r="F2062" s="84" t="str">
        <f t="array" ref="F2062">XLOOKUP(G2062,Reference!$F:$F,Reference!$D:$D,"null")</f>
        <v>Rumah Tangga</v>
      </c>
      <c r="G2062" s="85" t="s">
        <v>89</v>
      </c>
      <c r="H2062" s="86">
        <v>102.53</v>
      </c>
      <c r="I2062" s="86">
        <v>103.45</v>
      </c>
      <c r="J2062" s="87">
        <f t="shared" si="2"/>
        <v>-0.8893185114</v>
      </c>
      <c r="K2062" s="84" t="str">
        <f t="shared" si="3"/>
        <v>Deflasi</v>
      </c>
      <c r="L2062" s="84">
        <f t="shared" si="4"/>
        <v>-0.92</v>
      </c>
      <c r="M2062" s="88" t="str">
        <f t="shared" si="5"/>
        <v>Perubahan Normal</v>
      </c>
    </row>
    <row r="2063" ht="18.75" customHeight="1">
      <c r="A2063" s="80" t="s">
        <v>656</v>
      </c>
      <c r="B2063" s="81" t="str">
        <f t="shared" si="1"/>
        <v>Kota Palopo</v>
      </c>
      <c r="C2063" s="81" t="str">
        <f t="array" ref="C2063">XLOOKUP(B2063,Reference!$A$2:$A$152,Reference!$B$2:$B$152)</f>
        <v>Sulawesi Selatan</v>
      </c>
      <c r="D2063" s="82" t="s">
        <v>2502</v>
      </c>
      <c r="E2063" s="83">
        <v>45352.0</v>
      </c>
      <c r="F2063" s="84" t="str">
        <f t="array" ref="F2063">XLOOKUP(G2063,Reference!$F:$F,Reference!$D:$D,"null")</f>
        <v>Makanan dan Pakaian </v>
      </c>
      <c r="G2063" s="85" t="s">
        <v>56</v>
      </c>
      <c r="H2063" s="86">
        <v>101.87</v>
      </c>
      <c r="I2063" s="86">
        <v>101.87</v>
      </c>
      <c r="J2063" s="87">
        <f t="shared" si="2"/>
        <v>0</v>
      </c>
      <c r="K2063" s="84" t="str">
        <f t="shared" si="3"/>
        <v>Stabil</v>
      </c>
      <c r="L2063" s="84">
        <f t="shared" si="4"/>
        <v>0</v>
      </c>
      <c r="M2063" s="88" t="str">
        <f t="shared" si="5"/>
        <v>Perubahan Normal</v>
      </c>
    </row>
    <row r="2064" ht="18.75" customHeight="1">
      <c r="A2064" s="80" t="s">
        <v>822</v>
      </c>
      <c r="B2064" s="81" t="str">
        <f t="shared" si="1"/>
        <v>Kota Pontianak</v>
      </c>
      <c r="C2064" s="81" t="str">
        <f t="array" ref="C2064">XLOOKUP(B2064,Reference!$A$2:$A$152,Reference!$B$2:$B$152)</f>
        <v>Kalimantan Barat</v>
      </c>
      <c r="D2064" s="82" t="s">
        <v>2503</v>
      </c>
      <c r="E2064" s="83">
        <v>45352.0</v>
      </c>
      <c r="F2064" s="84" t="str">
        <f t="array" ref="F2064">XLOOKUP(G2064,Reference!$F:$F,Reference!$D:$D,"null")</f>
        <v>Rumah Tangga</v>
      </c>
      <c r="G2064" s="89" t="s">
        <v>84</v>
      </c>
      <c r="H2064" s="90">
        <v>101.67</v>
      </c>
      <c r="I2064" s="90">
        <v>101.67</v>
      </c>
      <c r="J2064" s="87">
        <f t="shared" si="2"/>
        <v>0</v>
      </c>
      <c r="K2064" s="84" t="str">
        <f t="shared" si="3"/>
        <v>Stabil</v>
      </c>
      <c r="L2064" s="91">
        <f t="shared" si="4"/>
        <v>0</v>
      </c>
      <c r="M2064" s="88" t="str">
        <f t="shared" si="5"/>
        <v>Perubahan Normal</v>
      </c>
    </row>
    <row r="2065" ht="18.75" customHeight="1">
      <c r="A2065" s="80" t="s">
        <v>362</v>
      </c>
      <c r="B2065" s="81" t="str">
        <f t="shared" si="1"/>
        <v>Sumenep</v>
      </c>
      <c r="C2065" s="81" t="str">
        <f t="array" ref="C2065">XLOOKUP(B2065,Reference!$A$2:$A$152,Reference!$B$2:$B$152)</f>
        <v>Jawa Timur</v>
      </c>
      <c r="D2065" s="82" t="s">
        <v>2504</v>
      </c>
      <c r="E2065" s="83">
        <v>45323.0</v>
      </c>
      <c r="F2065" s="84" t="str">
        <f t="array" ref="F2065">XLOOKUP(G2065,Reference!$F:$F,Reference!$D:$D,"null")</f>
        <v>Pendidikan dan Kesehatan</v>
      </c>
      <c r="G2065" s="89" t="s">
        <v>98</v>
      </c>
      <c r="H2065" s="90">
        <v>109.33</v>
      </c>
      <c r="I2065" s="90">
        <v>109.12</v>
      </c>
      <c r="J2065" s="87">
        <f t="shared" si="2"/>
        <v>0.1924486804</v>
      </c>
      <c r="K2065" s="84" t="str">
        <f t="shared" si="3"/>
        <v>Inflasi Normal</v>
      </c>
      <c r="L2065" s="91">
        <f t="shared" si="4"/>
        <v>0.21</v>
      </c>
      <c r="M2065" s="88" t="str">
        <f t="shared" si="5"/>
        <v>Perubahan Normal</v>
      </c>
    </row>
    <row r="2066" ht="18.75" customHeight="1">
      <c r="A2066" s="80" t="s">
        <v>442</v>
      </c>
      <c r="B2066" s="81" t="str">
        <f t="shared" si="1"/>
        <v>Kota Cirebon</v>
      </c>
      <c r="C2066" s="81" t="str">
        <f t="array" ref="C2066">XLOOKUP(B2066,Reference!$A$2:$A$152,Reference!$B$2:$B$152)</f>
        <v>Jawa Barat</v>
      </c>
      <c r="D2066" s="82" t="s">
        <v>2505</v>
      </c>
      <c r="E2066" s="83">
        <v>45323.0</v>
      </c>
      <c r="F2066" s="84" t="str">
        <f t="array" ref="F2066">XLOOKUP(G2066,Reference!$F:$F,Reference!$D:$D,"null")</f>
        <v>Pendidikan dan Kesehatan</v>
      </c>
      <c r="G2066" s="89" t="s">
        <v>98</v>
      </c>
      <c r="H2066" s="90">
        <v>103.06</v>
      </c>
      <c r="I2066" s="90">
        <v>103.06</v>
      </c>
      <c r="J2066" s="87">
        <f t="shared" si="2"/>
        <v>0</v>
      </c>
      <c r="K2066" s="84" t="str">
        <f t="shared" si="3"/>
        <v>Stabil</v>
      </c>
      <c r="L2066" s="91">
        <f t="shared" si="4"/>
        <v>0</v>
      </c>
      <c r="M2066" s="88" t="str">
        <f t="shared" si="5"/>
        <v>Perubahan Normal</v>
      </c>
    </row>
    <row r="2067" ht="18.75" customHeight="1">
      <c r="A2067" s="80" t="s">
        <v>414</v>
      </c>
      <c r="B2067" s="81" t="str">
        <f t="shared" si="1"/>
        <v>Kota Bandung</v>
      </c>
      <c r="C2067" s="81" t="str">
        <f t="array" ref="C2067">XLOOKUP(B2067,Reference!$A$2:$A$152,Reference!$B$2:$B$152)</f>
        <v>Jawa Barat</v>
      </c>
      <c r="D2067" s="82" t="s">
        <v>2506</v>
      </c>
      <c r="E2067" s="83">
        <v>45323.0</v>
      </c>
      <c r="F2067" s="84" t="str">
        <f t="array" ref="F2067">XLOOKUP(G2067,Reference!$F:$F,Reference!$D:$D,"null")</f>
        <v>Pendidikan dan Kesehatan</v>
      </c>
      <c r="G2067" s="85" t="s">
        <v>98</v>
      </c>
      <c r="H2067" s="86">
        <v>104.93</v>
      </c>
      <c r="I2067" s="86">
        <v>104.98</v>
      </c>
      <c r="J2067" s="87">
        <f t="shared" si="2"/>
        <v>-0.04762811964</v>
      </c>
      <c r="K2067" s="84" t="str">
        <f t="shared" si="3"/>
        <v>Deflasi</v>
      </c>
      <c r="L2067" s="84">
        <f t="shared" si="4"/>
        <v>-0.05</v>
      </c>
      <c r="M2067" s="88" t="str">
        <f t="shared" si="5"/>
        <v>Perubahan Normal</v>
      </c>
    </row>
    <row r="2068" ht="18.75" customHeight="1">
      <c r="A2068" s="80" t="s">
        <v>586</v>
      </c>
      <c r="B2068" s="81" t="str">
        <f t="shared" si="1"/>
        <v>Kab Karimun</v>
      </c>
      <c r="C2068" s="81" t="str">
        <f t="array" ref="C2068">XLOOKUP(B2068,Reference!$A$2:$A$152,Reference!$B$2:$B$152)</f>
        <v>Kepulauan Riau</v>
      </c>
      <c r="D2068" s="82" t="s">
        <v>2507</v>
      </c>
      <c r="E2068" s="83">
        <v>45352.0</v>
      </c>
      <c r="F2068" s="84" t="str">
        <f t="array" ref="F2068">XLOOKUP(G2068,Reference!$F:$F,Reference!$D:$D,"null")</f>
        <v>Makanan dan Pakaian </v>
      </c>
      <c r="G2068" s="85" t="s">
        <v>72</v>
      </c>
      <c r="H2068" s="86">
        <v>115.86</v>
      </c>
      <c r="I2068" s="86">
        <v>115.86</v>
      </c>
      <c r="J2068" s="87">
        <f t="shared" si="2"/>
        <v>0</v>
      </c>
      <c r="K2068" s="84" t="str">
        <f t="shared" si="3"/>
        <v>Stabil</v>
      </c>
      <c r="L2068" s="84">
        <f t="shared" si="4"/>
        <v>0</v>
      </c>
      <c r="M2068" s="88" t="str">
        <f t="shared" si="5"/>
        <v>Perubahan Normal</v>
      </c>
    </row>
    <row r="2069" ht="18.75" customHeight="1">
      <c r="A2069" s="80" t="s">
        <v>372</v>
      </c>
      <c r="B2069" s="81" t="str">
        <f t="shared" si="1"/>
        <v>Kota Tanjung Pinang</v>
      </c>
      <c r="C2069" s="81" t="str">
        <f t="array" ref="C2069">XLOOKUP(B2069,Reference!$A$2:$A$152,Reference!$B$2:$B$152)</f>
        <v>Kepulauan Riau</v>
      </c>
      <c r="D2069" s="82" t="s">
        <v>2508</v>
      </c>
      <c r="E2069" s="83">
        <v>45323.0</v>
      </c>
      <c r="F2069" s="84" t="str">
        <f t="array" ref="F2069">XLOOKUP(G2069,Reference!$F:$F,Reference!$D:$D,"null")</f>
        <v>Rekreasi dan Kendaraan</v>
      </c>
      <c r="G2069" s="85" t="s">
        <v>105</v>
      </c>
      <c r="H2069" s="86">
        <v>105.27</v>
      </c>
      <c r="I2069" s="86">
        <v>105.32</v>
      </c>
      <c r="J2069" s="87">
        <f t="shared" si="2"/>
        <v>-0.04747436384</v>
      </c>
      <c r="K2069" s="84" t="str">
        <f t="shared" si="3"/>
        <v>Deflasi</v>
      </c>
      <c r="L2069" s="84">
        <f t="shared" si="4"/>
        <v>-0.05</v>
      </c>
      <c r="M2069" s="88" t="str">
        <f t="shared" si="5"/>
        <v>Perubahan Normal</v>
      </c>
    </row>
    <row r="2070" ht="18.75" customHeight="1">
      <c r="A2070" s="80" t="s">
        <v>669</v>
      </c>
      <c r="B2070" s="81" t="str">
        <f t="shared" si="1"/>
        <v>Kab Sidenreng Rappang</v>
      </c>
      <c r="C2070" s="81" t="str">
        <f t="array" ref="C2070">XLOOKUP(B2070,Reference!$A$2:$A$152,Reference!$B$2:$B$152)</f>
        <v>Sulawesi Selatan</v>
      </c>
      <c r="D2070" s="82" t="s">
        <v>2509</v>
      </c>
      <c r="E2070" s="83">
        <v>45323.0</v>
      </c>
      <c r="F2070" s="84" t="str">
        <f t="array" ref="F2070">XLOOKUP(G2070,Reference!$F:$F,Reference!$D:$D,"null")</f>
        <v>Makanan dan Pakaian </v>
      </c>
      <c r="G2070" s="85" t="s">
        <v>56</v>
      </c>
      <c r="H2070" s="86">
        <v>95.01</v>
      </c>
      <c r="I2070" s="86">
        <v>94.56</v>
      </c>
      <c r="J2070" s="87">
        <f t="shared" si="2"/>
        <v>0.4758883249</v>
      </c>
      <c r="K2070" s="84" t="str">
        <f t="shared" si="3"/>
        <v>Inflasi Normal</v>
      </c>
      <c r="L2070" s="84">
        <f t="shared" si="4"/>
        <v>0.45</v>
      </c>
      <c r="M2070" s="88" t="str">
        <f t="shared" si="5"/>
        <v>Perubahan Normal</v>
      </c>
    </row>
    <row r="2071" ht="18.75" customHeight="1">
      <c r="A2071" s="80" t="s">
        <v>762</v>
      </c>
      <c r="B2071" s="81" t="str">
        <f t="shared" si="1"/>
        <v>Kota Pangkal Pinang</v>
      </c>
      <c r="C2071" s="81" t="str">
        <f t="array" ref="C2071">XLOOKUP(B2071,Reference!$A$2:$A$152,Reference!$B$2:$B$152)</f>
        <v>Kepulauan Bangka Belitung</v>
      </c>
      <c r="D2071" s="82" t="s">
        <v>2510</v>
      </c>
      <c r="E2071" s="83">
        <v>45323.0</v>
      </c>
      <c r="F2071" s="84" t="str">
        <f t="array" ref="F2071">XLOOKUP(G2071,Reference!$F:$F,Reference!$D:$D,"null")</f>
        <v>Pendidikan dan Kesehatan</v>
      </c>
      <c r="G2071" s="85" t="s">
        <v>95</v>
      </c>
      <c r="H2071" s="86">
        <v>100.6</v>
      </c>
      <c r="I2071" s="86">
        <v>100.6</v>
      </c>
      <c r="J2071" s="87">
        <f t="shared" si="2"/>
        <v>0</v>
      </c>
      <c r="K2071" s="84" t="str">
        <f t="shared" si="3"/>
        <v>Stabil</v>
      </c>
      <c r="L2071" s="84">
        <f t="shared" si="4"/>
        <v>0</v>
      </c>
      <c r="M2071" s="88" t="str">
        <f t="shared" si="5"/>
        <v>Perubahan Normal</v>
      </c>
    </row>
    <row r="2072" ht="18.75" customHeight="1">
      <c r="A2072" s="80" t="s">
        <v>654</v>
      </c>
      <c r="B2072" s="81" t="str">
        <f t="shared" si="1"/>
        <v>Kab Aceh Tengah</v>
      </c>
      <c r="C2072" s="81" t="str">
        <f t="array" ref="C2072">XLOOKUP(B2072,Reference!$A$2:$A$152,Reference!$B$2:$B$152)</f>
        <v>Aceh</v>
      </c>
      <c r="D2072" s="82" t="s">
        <v>2511</v>
      </c>
      <c r="E2072" s="83">
        <v>45323.0</v>
      </c>
      <c r="F2072" s="84" t="str">
        <f t="array" ref="F2072">XLOOKUP(G2072,Reference!$F:$F,Reference!$D:$D,"null")</f>
        <v>Makanan dan Pakaian </v>
      </c>
      <c r="G2072" s="85" t="s">
        <v>48</v>
      </c>
      <c r="H2072" s="86">
        <v>111.31</v>
      </c>
      <c r="I2072" s="86">
        <v>106.82</v>
      </c>
      <c r="J2072" s="87">
        <f t="shared" si="2"/>
        <v>4.203332709</v>
      </c>
      <c r="K2072" s="84" t="str">
        <f t="shared" si="3"/>
        <v>Inflasi Tinggi</v>
      </c>
      <c r="L2072" s="84">
        <f t="shared" si="4"/>
        <v>4.49</v>
      </c>
      <c r="M2072" s="88" t="str">
        <f t="shared" si="5"/>
        <v>Akselerasi Kuat</v>
      </c>
    </row>
    <row r="2073" ht="18.75" customHeight="1">
      <c r="A2073" s="80" t="s">
        <v>584</v>
      </c>
      <c r="B2073" s="81" t="str">
        <f t="shared" si="1"/>
        <v>Kota Sibolga</v>
      </c>
      <c r="C2073" s="81" t="str">
        <f t="array" ref="C2073">XLOOKUP(B2073,Reference!$A$2:$A$152,Reference!$B$2:$B$152)</f>
        <v>Sumatera Utara</v>
      </c>
      <c r="D2073" s="82" t="s">
        <v>2512</v>
      </c>
      <c r="E2073" s="83">
        <v>45323.0</v>
      </c>
      <c r="F2073" s="84" t="str">
        <f t="array" ref="F2073">XLOOKUP(G2073,Reference!$F:$F,Reference!$D:$D,"null")</f>
        <v>Makanan dan Pakaian </v>
      </c>
      <c r="G2073" s="85" t="s">
        <v>56</v>
      </c>
      <c r="H2073" s="86">
        <v>110.46</v>
      </c>
      <c r="I2073" s="86">
        <v>110.59</v>
      </c>
      <c r="J2073" s="87">
        <f t="shared" si="2"/>
        <v>-0.1175513157</v>
      </c>
      <c r="K2073" s="84" t="str">
        <f t="shared" si="3"/>
        <v>Deflasi</v>
      </c>
      <c r="L2073" s="84">
        <f t="shared" si="4"/>
        <v>-0.13</v>
      </c>
      <c r="M2073" s="88" t="str">
        <f t="shared" si="5"/>
        <v>Perubahan Normal</v>
      </c>
    </row>
    <row r="2074" ht="18.75" customHeight="1">
      <c r="A2074" s="80" t="s">
        <v>550</v>
      </c>
      <c r="B2074" s="81" t="str">
        <f t="shared" si="1"/>
        <v>Kota Sukabumi</v>
      </c>
      <c r="C2074" s="81" t="str">
        <f t="array" ref="C2074">XLOOKUP(B2074,Reference!$A$2:$A$152,Reference!$B$2:$B$152)</f>
        <v>Jawa Barat</v>
      </c>
      <c r="D2074" s="82" t="s">
        <v>2513</v>
      </c>
      <c r="E2074" s="83">
        <v>45352.0</v>
      </c>
      <c r="F2074" s="84" t="str">
        <f t="array" ref="F2074">XLOOKUP(G2074,Reference!$F:$F,Reference!$D:$D,"null")</f>
        <v>Makanan dan Pakaian </v>
      </c>
      <c r="G2074" s="85" t="s">
        <v>72</v>
      </c>
      <c r="H2074" s="86">
        <v>102.03</v>
      </c>
      <c r="I2074" s="86">
        <v>101.43</v>
      </c>
      <c r="J2074" s="87">
        <f t="shared" si="2"/>
        <v>0.5915409642</v>
      </c>
      <c r="K2074" s="84" t="str">
        <f t="shared" si="3"/>
        <v>Inflasi Tinggi</v>
      </c>
      <c r="L2074" s="84">
        <f t="shared" si="4"/>
        <v>0.6</v>
      </c>
      <c r="M2074" s="88" t="str">
        <f t="shared" si="5"/>
        <v>Akselerasi Persentase</v>
      </c>
    </row>
    <row r="2075" ht="18.75" customHeight="1">
      <c r="A2075" s="80" t="s">
        <v>304</v>
      </c>
      <c r="B2075" s="81" t="str">
        <f t="shared" si="1"/>
        <v>Kota Kediri</v>
      </c>
      <c r="C2075" s="81" t="str">
        <f t="array" ref="C2075">XLOOKUP(B2075,Reference!$A$2:$A$152,Reference!$B$2:$B$152)</f>
        <v>Jawa Timur</v>
      </c>
      <c r="D2075" s="82" t="s">
        <v>2514</v>
      </c>
      <c r="E2075" s="83">
        <v>45352.0</v>
      </c>
      <c r="F2075" s="84" t="str">
        <f t="array" ref="F2075">XLOOKUP(G2075,Reference!$F:$F,Reference!$D:$D,"null")</f>
        <v>Makanan dan Pakaian </v>
      </c>
      <c r="G2075" s="85" t="s">
        <v>72</v>
      </c>
      <c r="H2075" s="86">
        <v>99.96</v>
      </c>
      <c r="I2075" s="86">
        <v>99.96</v>
      </c>
      <c r="J2075" s="87">
        <f t="shared" si="2"/>
        <v>0</v>
      </c>
      <c r="K2075" s="84" t="str">
        <f t="shared" si="3"/>
        <v>Stabil</v>
      </c>
      <c r="L2075" s="84">
        <f t="shared" si="4"/>
        <v>0</v>
      </c>
      <c r="M2075" s="88" t="str">
        <f t="shared" si="5"/>
        <v>Perubahan Normal</v>
      </c>
    </row>
    <row r="2076" ht="18.75" customHeight="1">
      <c r="A2076" s="80" t="s">
        <v>391</v>
      </c>
      <c r="B2076" s="81" t="str">
        <f t="shared" si="1"/>
        <v>Kota Batam</v>
      </c>
      <c r="C2076" s="81" t="str">
        <f t="array" ref="C2076">XLOOKUP(B2076,Reference!$A$2:$A$152,Reference!$B$2:$B$152)</f>
        <v>Kepulauan Riau</v>
      </c>
      <c r="D2076" s="82" t="s">
        <v>2515</v>
      </c>
      <c r="E2076" s="83">
        <v>45323.0</v>
      </c>
      <c r="F2076" s="84" t="str">
        <f t="array" ref="F2076">XLOOKUP(G2076,Reference!$F:$F,Reference!$D:$D,"null")</f>
        <v>Makanan dan Pakaian </v>
      </c>
      <c r="G2076" s="85" t="s">
        <v>48</v>
      </c>
      <c r="H2076" s="86">
        <v>107.29</v>
      </c>
      <c r="I2076" s="86">
        <v>108.44</v>
      </c>
      <c r="J2076" s="87">
        <f t="shared" si="2"/>
        <v>-1.060494283</v>
      </c>
      <c r="K2076" s="84" t="str">
        <f t="shared" si="3"/>
        <v>Deflasi</v>
      </c>
      <c r="L2076" s="84">
        <f t="shared" si="4"/>
        <v>-1.15</v>
      </c>
      <c r="M2076" s="88" t="str">
        <f t="shared" si="5"/>
        <v>Perubahan Normal</v>
      </c>
    </row>
    <row r="2077" ht="18.75" customHeight="1">
      <c r="A2077" s="80" t="s">
        <v>727</v>
      </c>
      <c r="B2077" s="81" t="str">
        <f t="shared" si="1"/>
        <v>Kab Badung</v>
      </c>
      <c r="C2077" s="81" t="str">
        <f t="array" ref="C2077">XLOOKUP(B2077,Reference!$A$2:$A$152,Reference!$B$2:$B$152)</f>
        <v>Bali</v>
      </c>
      <c r="D2077" s="82" t="s">
        <v>2516</v>
      </c>
      <c r="E2077" s="83">
        <v>45352.0</v>
      </c>
      <c r="F2077" s="84" t="str">
        <f t="array" ref="F2077">XLOOKUP(G2077,Reference!$F:$F,Reference!$D:$D,"null")</f>
        <v>Rumah Tangga</v>
      </c>
      <c r="G2077" s="85" t="s">
        <v>84</v>
      </c>
      <c r="H2077" s="86">
        <v>104.55</v>
      </c>
      <c r="I2077" s="86">
        <v>103.77</v>
      </c>
      <c r="J2077" s="87">
        <f t="shared" si="2"/>
        <v>0.7516623302</v>
      </c>
      <c r="K2077" s="84" t="str">
        <f t="shared" si="3"/>
        <v>Inflasi Tinggi</v>
      </c>
      <c r="L2077" s="84">
        <f t="shared" si="4"/>
        <v>0.78</v>
      </c>
      <c r="M2077" s="88" t="str">
        <f t="shared" si="5"/>
        <v>Akselerasi Persentase</v>
      </c>
    </row>
    <row r="2078" ht="18.75" customHeight="1">
      <c r="A2078" s="80" t="s">
        <v>512</v>
      </c>
      <c r="B2078" s="81" t="str">
        <f t="shared" si="1"/>
        <v>Kota Palu</v>
      </c>
      <c r="C2078" s="81" t="str">
        <f t="array" ref="C2078">XLOOKUP(B2078,Reference!$A$2:$A$152,Reference!$B$2:$B$152)</f>
        <v>Sulawesi Tengah</v>
      </c>
      <c r="D2078" s="82" t="s">
        <v>2517</v>
      </c>
      <c r="E2078" s="83">
        <v>45323.0</v>
      </c>
      <c r="F2078" s="84" t="str">
        <f t="array" ref="F2078">XLOOKUP(G2078,Reference!$F:$F,Reference!$D:$D,"null")</f>
        <v>Makanan dan Pakaian </v>
      </c>
      <c r="G2078" s="85" t="s">
        <v>64</v>
      </c>
      <c r="H2078" s="86">
        <v>99.24</v>
      </c>
      <c r="I2078" s="86">
        <v>99.3</v>
      </c>
      <c r="J2078" s="87">
        <f t="shared" si="2"/>
        <v>-0.06042296073</v>
      </c>
      <c r="K2078" s="84" t="str">
        <f t="shared" si="3"/>
        <v>Deflasi</v>
      </c>
      <c r="L2078" s="84">
        <f t="shared" si="4"/>
        <v>-0.06</v>
      </c>
      <c r="M2078" s="88" t="str">
        <f t="shared" si="5"/>
        <v>Perubahan Normal</v>
      </c>
    </row>
    <row r="2079" ht="18.75" customHeight="1">
      <c r="A2079" s="80" t="s">
        <v>727</v>
      </c>
      <c r="B2079" s="81" t="str">
        <f t="shared" si="1"/>
        <v>Kab Badung</v>
      </c>
      <c r="C2079" s="81" t="str">
        <f t="array" ref="C2079">XLOOKUP(B2079,Reference!$A$2:$A$152,Reference!$B$2:$B$152)</f>
        <v>Bali</v>
      </c>
      <c r="D2079" s="82" t="s">
        <v>2518</v>
      </c>
      <c r="E2079" s="83">
        <v>45323.0</v>
      </c>
      <c r="F2079" s="84" t="str">
        <f t="array" ref="F2079">XLOOKUP(G2079,Reference!$F:$F,Reference!$D:$D,"null")</f>
        <v>Makanan dan Pakaian </v>
      </c>
      <c r="G2079" s="85" t="s">
        <v>64</v>
      </c>
      <c r="H2079" s="86">
        <v>102.51</v>
      </c>
      <c r="I2079" s="86">
        <v>102.58</v>
      </c>
      <c r="J2079" s="87">
        <f t="shared" si="2"/>
        <v>-0.06823942289</v>
      </c>
      <c r="K2079" s="84" t="str">
        <f t="shared" si="3"/>
        <v>Deflasi</v>
      </c>
      <c r="L2079" s="84">
        <f t="shared" si="4"/>
        <v>-0.07</v>
      </c>
      <c r="M2079" s="88" t="str">
        <f t="shared" si="5"/>
        <v>Perubahan Normal</v>
      </c>
    </row>
    <row r="2080" ht="18.75" customHeight="1">
      <c r="A2080" s="80" t="s">
        <v>628</v>
      </c>
      <c r="B2080" s="81" t="str">
        <f t="shared" si="1"/>
        <v>Watampone</v>
      </c>
      <c r="C2080" s="81" t="str">
        <f t="array" ref="C2080">XLOOKUP(B2080,Reference!$A$2:$A$152,Reference!$B$2:$B$152)</f>
        <v>Sulawesi Selatan</v>
      </c>
      <c r="D2080" s="82" t="s">
        <v>2519</v>
      </c>
      <c r="E2080" s="83">
        <v>45352.0</v>
      </c>
      <c r="F2080" s="84" t="str">
        <f t="array" ref="F2080">XLOOKUP(G2080,Reference!$F:$F,Reference!$D:$D,"null")</f>
        <v>Rumah Tangga</v>
      </c>
      <c r="G2080" s="85" t="s">
        <v>89</v>
      </c>
      <c r="H2080" s="86">
        <v>102.73</v>
      </c>
      <c r="I2080" s="86">
        <v>102.73</v>
      </c>
      <c r="J2080" s="87">
        <f t="shared" si="2"/>
        <v>0</v>
      </c>
      <c r="K2080" s="84" t="str">
        <f t="shared" si="3"/>
        <v>Stabil</v>
      </c>
      <c r="L2080" s="84">
        <f t="shared" si="4"/>
        <v>0</v>
      </c>
      <c r="M2080" s="88" t="str">
        <f t="shared" si="5"/>
        <v>Perubahan Normal</v>
      </c>
    </row>
    <row r="2081" ht="18.75" customHeight="1">
      <c r="A2081" s="80" t="s">
        <v>404</v>
      </c>
      <c r="B2081" s="81" t="str">
        <f t="shared" si="1"/>
        <v>Kab Mesuji</v>
      </c>
      <c r="C2081" s="81" t="str">
        <f t="array" ref="C2081">XLOOKUP(B2081,Reference!$A$2:$A$152,Reference!$B$2:$B$152)</f>
        <v>Lampung</v>
      </c>
      <c r="D2081" s="82" t="s">
        <v>2520</v>
      </c>
      <c r="E2081" s="83">
        <v>45352.0</v>
      </c>
      <c r="F2081" s="84" t="str">
        <f t="array" ref="F2081">XLOOKUP(G2081,Reference!$F:$F,Reference!$D:$D,"null")</f>
        <v>Pendidikan dan Kesehatan</v>
      </c>
      <c r="G2081" s="85" t="s">
        <v>98</v>
      </c>
      <c r="H2081" s="86">
        <v>109.14</v>
      </c>
      <c r="I2081" s="86">
        <v>109.14</v>
      </c>
      <c r="J2081" s="87">
        <f t="shared" si="2"/>
        <v>0</v>
      </c>
      <c r="K2081" s="84" t="str">
        <f t="shared" si="3"/>
        <v>Stabil</v>
      </c>
      <c r="L2081" s="84">
        <f t="shared" si="4"/>
        <v>0</v>
      </c>
      <c r="M2081" s="88" t="str">
        <f t="shared" si="5"/>
        <v>Perubahan Normal</v>
      </c>
    </row>
    <row r="2082" ht="18.75" customHeight="1">
      <c r="A2082" s="80" t="s">
        <v>539</v>
      </c>
      <c r="B2082" s="81" t="str">
        <f t="shared" si="1"/>
        <v>Kab Sorong Selatan</v>
      </c>
      <c r="C2082" s="81" t="str">
        <f t="array" ref="C2082">XLOOKUP(B2082,Reference!$A$2:$A$152,Reference!$B$2:$B$152)</f>
        <v>Papua Barat Daya</v>
      </c>
      <c r="D2082" s="82" t="s">
        <v>2521</v>
      </c>
      <c r="E2082" s="83">
        <v>45323.0</v>
      </c>
      <c r="F2082" s="84" t="str">
        <f t="array" ref="F2082">XLOOKUP(G2082,Reference!$F:$F,Reference!$D:$D,"null")</f>
        <v>Pendidikan dan Kesehatan</v>
      </c>
      <c r="G2082" s="85" t="s">
        <v>95</v>
      </c>
      <c r="H2082" s="86">
        <v>101.15</v>
      </c>
      <c r="I2082" s="86">
        <v>101.15</v>
      </c>
      <c r="J2082" s="87">
        <f t="shared" si="2"/>
        <v>0</v>
      </c>
      <c r="K2082" s="84" t="str">
        <f t="shared" si="3"/>
        <v>Stabil</v>
      </c>
      <c r="L2082" s="84">
        <f t="shared" si="4"/>
        <v>0</v>
      </c>
      <c r="M2082" s="88" t="str">
        <f t="shared" si="5"/>
        <v>Perubahan Normal</v>
      </c>
    </row>
    <row r="2083" ht="18.75" customHeight="1">
      <c r="A2083" s="80" t="s">
        <v>393</v>
      </c>
      <c r="B2083" s="81" t="str">
        <f t="shared" si="1"/>
        <v>Kab Sumbawa</v>
      </c>
      <c r="C2083" s="81" t="str">
        <f t="array" ref="C2083">XLOOKUP(B2083,Reference!$A$2:$A$152,Reference!$B$2:$B$152)</f>
        <v>Nusa Tenggara Barat (NTB)</v>
      </c>
      <c r="D2083" s="82" t="s">
        <v>2522</v>
      </c>
      <c r="E2083" s="83">
        <v>45323.0</v>
      </c>
      <c r="F2083" s="84" t="str">
        <f t="array" ref="F2083">XLOOKUP(G2083,Reference!$F:$F,Reference!$D:$D,"null")</f>
        <v>Rumah Tangga</v>
      </c>
      <c r="G2083" s="85" t="s">
        <v>89</v>
      </c>
      <c r="H2083" s="86">
        <v>101.51</v>
      </c>
      <c r="I2083" s="86">
        <v>101.51</v>
      </c>
      <c r="J2083" s="87">
        <f t="shared" si="2"/>
        <v>0</v>
      </c>
      <c r="K2083" s="84" t="str">
        <f t="shared" si="3"/>
        <v>Stabil</v>
      </c>
      <c r="L2083" s="84">
        <f t="shared" si="4"/>
        <v>0</v>
      </c>
      <c r="M2083" s="88" t="str">
        <f t="shared" si="5"/>
        <v>Perubahan Normal</v>
      </c>
    </row>
    <row r="2084" ht="18.75" customHeight="1">
      <c r="A2084" s="80" t="s">
        <v>1282</v>
      </c>
      <c r="B2084" s="81" t="str">
        <f t="shared" si="1"/>
        <v>Kota Bima</v>
      </c>
      <c r="C2084" s="81" t="str">
        <f t="array" ref="C2084">XLOOKUP(B2084,Reference!$A$2:$A$152,Reference!$B$2:$B$152)</f>
        <v>Nusa Tenggara Barat (NTB)</v>
      </c>
      <c r="D2084" s="82" t="s">
        <v>2523</v>
      </c>
      <c r="E2084" s="83">
        <v>45352.0</v>
      </c>
      <c r="F2084" s="84" t="str">
        <f t="array" ref="F2084">XLOOKUP(G2084,Reference!$F:$F,Reference!$D:$D,"null")</f>
        <v>Rekreasi dan Kendaraan</v>
      </c>
      <c r="G2084" s="85" t="s">
        <v>102</v>
      </c>
      <c r="H2084" s="86">
        <v>105.23</v>
      </c>
      <c r="I2084" s="86">
        <v>105.23</v>
      </c>
      <c r="J2084" s="87">
        <f t="shared" si="2"/>
        <v>0</v>
      </c>
      <c r="K2084" s="84" t="str">
        <f t="shared" si="3"/>
        <v>Stabil</v>
      </c>
      <c r="L2084" s="84">
        <f t="shared" si="4"/>
        <v>0</v>
      </c>
      <c r="M2084" s="88" t="str">
        <f t="shared" si="5"/>
        <v>Perubahan Normal</v>
      </c>
    </row>
    <row r="2085" ht="18.75" customHeight="1">
      <c r="A2085" s="80" t="s">
        <v>397</v>
      </c>
      <c r="B2085" s="81" t="str">
        <f t="shared" si="1"/>
        <v>Kota Pematangsiantar</v>
      </c>
      <c r="C2085" s="81" t="str">
        <f t="array" ref="C2085">XLOOKUP(B2085,Reference!$A$2:$A$152,Reference!$B$2:$B$152)</f>
        <v>Sumatera Utara</v>
      </c>
      <c r="D2085" s="82" t="s">
        <v>2524</v>
      </c>
      <c r="E2085" s="83">
        <v>45323.0</v>
      </c>
      <c r="F2085" s="84" t="str">
        <f t="array" ref="F2085">XLOOKUP(G2085,Reference!$F:$F,Reference!$D:$D,"null")</f>
        <v>Pendidikan dan Kesehatan</v>
      </c>
      <c r="G2085" s="85" t="s">
        <v>95</v>
      </c>
      <c r="H2085" s="86">
        <v>106.78</v>
      </c>
      <c r="I2085" s="86">
        <v>106.78</v>
      </c>
      <c r="J2085" s="87">
        <f t="shared" si="2"/>
        <v>0</v>
      </c>
      <c r="K2085" s="84" t="str">
        <f t="shared" si="3"/>
        <v>Stabil</v>
      </c>
      <c r="L2085" s="84">
        <f t="shared" si="4"/>
        <v>0</v>
      </c>
      <c r="M2085" s="88" t="str">
        <f t="shared" si="5"/>
        <v>Perubahan Normal</v>
      </c>
    </row>
    <row r="2086" ht="18.75" customHeight="1">
      <c r="A2086" s="80" t="s">
        <v>715</v>
      </c>
      <c r="B2086" s="81" t="str">
        <f t="shared" si="1"/>
        <v>Kab Bojonegoro</v>
      </c>
      <c r="C2086" s="81" t="str">
        <f t="array" ref="C2086">XLOOKUP(B2086,Reference!$A$2:$A$152,Reference!$B$2:$B$152)</f>
        <v>Jawa Timur</v>
      </c>
      <c r="D2086" s="82" t="s">
        <v>2525</v>
      </c>
      <c r="E2086" s="83">
        <v>45352.0</v>
      </c>
      <c r="F2086" s="84" t="str">
        <f t="array" ref="F2086">XLOOKUP(G2086,Reference!$F:$F,Reference!$D:$D,"null")</f>
        <v>Makanan dan Pakaian </v>
      </c>
      <c r="G2086" s="85" t="s">
        <v>56</v>
      </c>
      <c r="H2086" s="86">
        <v>101.97</v>
      </c>
      <c r="I2086" s="86">
        <v>101.19</v>
      </c>
      <c r="J2086" s="87">
        <f t="shared" si="2"/>
        <v>0.7708271568</v>
      </c>
      <c r="K2086" s="84" t="str">
        <f t="shared" si="3"/>
        <v>Inflasi Tinggi</v>
      </c>
      <c r="L2086" s="84">
        <f t="shared" si="4"/>
        <v>0.78</v>
      </c>
      <c r="M2086" s="88" t="str">
        <f t="shared" si="5"/>
        <v>Akselerasi Persentase</v>
      </c>
    </row>
    <row r="2087" ht="18.75" customHeight="1">
      <c r="A2087" s="80" t="s">
        <v>438</v>
      </c>
      <c r="B2087" s="81" t="str">
        <f t="shared" si="1"/>
        <v>Kab Muara Enim</v>
      </c>
      <c r="C2087" s="81" t="str">
        <f t="array" ref="C2087">XLOOKUP(B2087,Reference!$A$2:$A$152,Reference!$B$2:$B$152)</f>
        <v>Sumatera Selatan</v>
      </c>
      <c r="D2087" s="82" t="s">
        <v>2526</v>
      </c>
      <c r="E2087" s="83">
        <v>45352.0</v>
      </c>
      <c r="F2087" s="84" t="str">
        <f t="array" ref="F2087">XLOOKUP(G2087,Reference!$F:$F,Reference!$D:$D,"null")</f>
        <v>Rumah Tangga</v>
      </c>
      <c r="G2087" s="85" t="s">
        <v>84</v>
      </c>
      <c r="H2087" s="86">
        <v>94.83</v>
      </c>
      <c r="I2087" s="86">
        <v>94.78</v>
      </c>
      <c r="J2087" s="87">
        <f t="shared" si="2"/>
        <v>0.05275374552</v>
      </c>
      <c r="K2087" s="84" t="str">
        <f t="shared" si="3"/>
        <v>Inflasi Normal</v>
      </c>
      <c r="L2087" s="84">
        <f t="shared" si="4"/>
        <v>0.05</v>
      </c>
      <c r="M2087" s="88" t="str">
        <f t="shared" si="5"/>
        <v>Perubahan Normal</v>
      </c>
    </row>
    <row r="2088" ht="18.75" customHeight="1">
      <c r="A2088" s="80" t="s">
        <v>421</v>
      </c>
      <c r="B2088" s="81" t="str">
        <f t="shared" si="1"/>
        <v>Kab Halmahera Tengah</v>
      </c>
      <c r="C2088" s="81" t="str">
        <f t="array" ref="C2088">XLOOKUP(B2088,Reference!$A$2:$A$152,Reference!$B$2:$B$152)</f>
        <v>Maluku Utara</v>
      </c>
      <c r="D2088" s="82" t="s">
        <v>2527</v>
      </c>
      <c r="E2088" s="83">
        <v>45352.0</v>
      </c>
      <c r="F2088" s="84" t="str">
        <f t="array" ref="F2088">XLOOKUP(G2088,Reference!$F:$F,Reference!$D:$D,"null")</f>
        <v>Rumah Tangga</v>
      </c>
      <c r="G2088" s="85" t="s">
        <v>89</v>
      </c>
      <c r="H2088" s="86">
        <v>100.8</v>
      </c>
      <c r="I2088" s="86">
        <v>100.75</v>
      </c>
      <c r="J2088" s="87">
        <f t="shared" si="2"/>
        <v>0.04962779156</v>
      </c>
      <c r="K2088" s="84" t="str">
        <f t="shared" si="3"/>
        <v>Inflasi Normal</v>
      </c>
      <c r="L2088" s="84">
        <f t="shared" si="4"/>
        <v>0.05</v>
      </c>
      <c r="M2088" s="88" t="str">
        <f t="shared" si="5"/>
        <v>Perubahan Normal</v>
      </c>
    </row>
    <row r="2089" ht="18.75" customHeight="1">
      <c r="A2089" s="80" t="s">
        <v>358</v>
      </c>
      <c r="B2089" s="81" t="str">
        <f t="shared" si="1"/>
        <v>Kab Minahasa Utara</v>
      </c>
      <c r="C2089" s="81" t="str">
        <f t="array" ref="C2089">XLOOKUP(B2089,Reference!$A$2:$A$152,Reference!$B$2:$B$152)</f>
        <v>Sulawesi Utara</v>
      </c>
      <c r="D2089" s="82" t="s">
        <v>2528</v>
      </c>
      <c r="E2089" s="83">
        <v>45323.0</v>
      </c>
      <c r="F2089" s="84" t="str">
        <f t="array" ref="F2089">XLOOKUP(G2089,Reference!$F:$F,Reference!$D:$D,"null")</f>
        <v>Makanan dan Pakaian </v>
      </c>
      <c r="G2089" s="85" t="s">
        <v>64</v>
      </c>
      <c r="H2089" s="86">
        <v>103.46</v>
      </c>
      <c r="I2089" s="86">
        <v>103.46</v>
      </c>
      <c r="J2089" s="87">
        <f t="shared" si="2"/>
        <v>0</v>
      </c>
      <c r="K2089" s="84" t="str">
        <f t="shared" si="3"/>
        <v>Stabil</v>
      </c>
      <c r="L2089" s="84">
        <f t="shared" si="4"/>
        <v>0</v>
      </c>
      <c r="M2089" s="88" t="str">
        <f t="shared" si="5"/>
        <v>Perubahan Normal</v>
      </c>
    </row>
    <row r="2090" ht="18.75" customHeight="1">
      <c r="A2090" s="80" t="s">
        <v>542</v>
      </c>
      <c r="B2090" s="81" t="str">
        <f t="shared" si="1"/>
        <v>Kab Karo</v>
      </c>
      <c r="C2090" s="81" t="str">
        <f t="array" ref="C2090">XLOOKUP(B2090,Reference!$A$2:$A$152,Reference!$B$2:$B$152)</f>
        <v>Sumatera Utara</v>
      </c>
      <c r="D2090" s="82" t="s">
        <v>2529</v>
      </c>
      <c r="E2090" s="83">
        <v>45323.0</v>
      </c>
      <c r="F2090" s="84" t="str">
        <f t="array" ref="F2090">XLOOKUP(G2090,Reference!$F:$F,Reference!$D:$D,"null")</f>
        <v>Makanan dan Pakaian </v>
      </c>
      <c r="G2090" s="85" t="s">
        <v>72</v>
      </c>
      <c r="H2090" s="86">
        <v>105.77</v>
      </c>
      <c r="I2090" s="86">
        <v>105.52</v>
      </c>
      <c r="J2090" s="87">
        <f t="shared" si="2"/>
        <v>0.2369219105</v>
      </c>
      <c r="K2090" s="84" t="str">
        <f t="shared" si="3"/>
        <v>Inflasi Normal</v>
      </c>
      <c r="L2090" s="84">
        <f t="shared" si="4"/>
        <v>0.25</v>
      </c>
      <c r="M2090" s="88" t="str">
        <f t="shared" si="5"/>
        <v>Perubahan Normal</v>
      </c>
    </row>
    <row r="2091" ht="18.75" customHeight="1">
      <c r="A2091" s="80" t="s">
        <v>990</v>
      </c>
      <c r="B2091" s="81" t="str">
        <f t="shared" si="1"/>
        <v>Kab Pandeglang</v>
      </c>
      <c r="C2091" s="81" t="str">
        <f t="array" ref="C2091">XLOOKUP(B2091,Reference!$A$2:$A$152,Reference!$B$2:$B$152)</f>
        <v>Banten</v>
      </c>
      <c r="D2091" s="82" t="s">
        <v>2530</v>
      </c>
      <c r="E2091" s="83">
        <v>45323.0</v>
      </c>
      <c r="F2091" s="84" t="str">
        <f t="array" ref="F2091">XLOOKUP(G2091,Reference!$F:$F,Reference!$D:$D,"null")</f>
        <v>Rekreasi dan Kendaraan</v>
      </c>
      <c r="G2091" s="89" t="s">
        <v>105</v>
      </c>
      <c r="H2091" s="90">
        <v>105.65</v>
      </c>
      <c r="I2091" s="90">
        <v>105.44</v>
      </c>
      <c r="J2091" s="87">
        <f t="shared" si="2"/>
        <v>0.1991654021</v>
      </c>
      <c r="K2091" s="84" t="str">
        <f t="shared" si="3"/>
        <v>Inflasi Normal</v>
      </c>
      <c r="L2091" s="91">
        <f t="shared" si="4"/>
        <v>0.21</v>
      </c>
      <c r="M2091" s="88" t="str">
        <f t="shared" si="5"/>
        <v>Perubahan Normal</v>
      </c>
    </row>
    <row r="2092" ht="18.75" customHeight="1">
      <c r="A2092" s="80" t="s">
        <v>448</v>
      </c>
      <c r="B2092" s="81" t="str">
        <f t="shared" si="1"/>
        <v>Tanjung Selor</v>
      </c>
      <c r="C2092" s="81" t="str">
        <f t="array" ref="C2092">XLOOKUP(B2092,Reference!$A$2:$A$152,Reference!$B$2:$B$152)</f>
        <v>Kalimantan Utara</v>
      </c>
      <c r="D2092" s="82" t="s">
        <v>2531</v>
      </c>
      <c r="E2092" s="83">
        <v>45323.0</v>
      </c>
      <c r="F2092" s="84" t="str">
        <f t="array" ref="F2092">XLOOKUP(G2092,Reference!$F:$F,Reference!$D:$D,"null")</f>
        <v>Makanan dan Pakaian </v>
      </c>
      <c r="G2092" s="85" t="s">
        <v>56</v>
      </c>
      <c r="H2092" s="86">
        <v>102.11</v>
      </c>
      <c r="I2092" s="86">
        <v>102.22</v>
      </c>
      <c r="J2092" s="87">
        <f t="shared" si="2"/>
        <v>-0.107611035</v>
      </c>
      <c r="K2092" s="84" t="str">
        <f t="shared" si="3"/>
        <v>Deflasi</v>
      </c>
      <c r="L2092" s="84">
        <f t="shared" si="4"/>
        <v>-0.11</v>
      </c>
      <c r="M2092" s="88" t="str">
        <f t="shared" si="5"/>
        <v>Perubahan Normal</v>
      </c>
    </row>
    <row r="2093" ht="18.75" customHeight="1">
      <c r="A2093" s="80" t="s">
        <v>468</v>
      </c>
      <c r="B2093" s="81" t="str">
        <f t="shared" si="1"/>
        <v>Timika</v>
      </c>
      <c r="C2093" s="81" t="str">
        <f t="array" ref="C2093">XLOOKUP(B2093,Reference!$A$2:$A$152,Reference!$B$2:$B$152)</f>
        <v>Papua</v>
      </c>
      <c r="D2093" s="82" t="s">
        <v>2532</v>
      </c>
      <c r="E2093" s="83">
        <v>45323.0</v>
      </c>
      <c r="F2093" s="84" t="str">
        <f t="array" ref="F2093">XLOOKUP(G2093,Reference!$F:$F,Reference!$D:$D,"null")</f>
        <v>Rumah Tangga</v>
      </c>
      <c r="G2093" s="85" t="s">
        <v>84</v>
      </c>
      <c r="H2093" s="86">
        <v>106.53</v>
      </c>
      <c r="I2093" s="86">
        <v>106.87</v>
      </c>
      <c r="J2093" s="87">
        <f t="shared" si="2"/>
        <v>-0.3181435389</v>
      </c>
      <c r="K2093" s="84" t="str">
        <f t="shared" si="3"/>
        <v>Deflasi</v>
      </c>
      <c r="L2093" s="84">
        <f t="shared" si="4"/>
        <v>-0.34</v>
      </c>
      <c r="M2093" s="88" t="str">
        <f t="shared" si="5"/>
        <v>Perubahan Normal</v>
      </c>
    </row>
    <row r="2094" ht="18.75" customHeight="1">
      <c r="A2094" s="80" t="s">
        <v>478</v>
      </c>
      <c r="B2094" s="81" t="str">
        <f t="shared" si="1"/>
        <v>Kab Maluku Tengah</v>
      </c>
      <c r="C2094" s="81" t="str">
        <f t="array" ref="C2094">XLOOKUP(B2094,Reference!$A$2:$A$152,Reference!$B$2:$B$152)</f>
        <v>Maluku</v>
      </c>
      <c r="D2094" s="82" t="s">
        <v>2533</v>
      </c>
      <c r="E2094" s="83">
        <v>45352.0</v>
      </c>
      <c r="F2094" s="84" t="str">
        <f t="array" ref="F2094">XLOOKUP(G2094,Reference!$F:$F,Reference!$D:$D,"null")</f>
        <v>Rekreasi dan Kendaraan</v>
      </c>
      <c r="G2094" s="85" t="s">
        <v>102</v>
      </c>
      <c r="H2094" s="86">
        <v>99.79</v>
      </c>
      <c r="I2094" s="86">
        <v>99.79</v>
      </c>
      <c r="J2094" s="87">
        <f t="shared" si="2"/>
        <v>0</v>
      </c>
      <c r="K2094" s="84" t="str">
        <f t="shared" si="3"/>
        <v>Stabil</v>
      </c>
      <c r="L2094" s="84">
        <f t="shared" si="4"/>
        <v>0</v>
      </c>
      <c r="M2094" s="88" t="str">
        <f t="shared" si="5"/>
        <v>Perubahan Normal</v>
      </c>
    </row>
    <row r="2095" ht="18.75" customHeight="1">
      <c r="A2095" s="80" t="s">
        <v>584</v>
      </c>
      <c r="B2095" s="81" t="str">
        <f t="shared" si="1"/>
        <v>Kota Sibolga</v>
      </c>
      <c r="C2095" s="81" t="str">
        <f t="array" ref="C2095">XLOOKUP(B2095,Reference!$A$2:$A$152,Reference!$B$2:$B$152)</f>
        <v>Sumatera Utara</v>
      </c>
      <c r="D2095" s="82" t="s">
        <v>2534</v>
      </c>
      <c r="E2095" s="83">
        <v>45352.0</v>
      </c>
      <c r="F2095" s="84" t="str">
        <f t="array" ref="F2095">XLOOKUP(G2095,Reference!$F:$F,Reference!$D:$D,"null")</f>
        <v>Rekreasi dan Kendaraan</v>
      </c>
      <c r="G2095" s="85" t="s">
        <v>102</v>
      </c>
      <c r="H2095" s="86">
        <v>104.85</v>
      </c>
      <c r="I2095" s="86">
        <v>104.11</v>
      </c>
      <c r="J2095" s="87">
        <f t="shared" si="2"/>
        <v>0.7107866679</v>
      </c>
      <c r="K2095" s="84" t="str">
        <f t="shared" si="3"/>
        <v>Inflasi Tinggi</v>
      </c>
      <c r="L2095" s="84">
        <f t="shared" si="4"/>
        <v>0.74</v>
      </c>
      <c r="M2095" s="88" t="str">
        <f t="shared" si="5"/>
        <v>Akselerasi Persentase</v>
      </c>
    </row>
    <row r="2096" ht="18.75" customHeight="1">
      <c r="A2096" s="80" t="s">
        <v>346</v>
      </c>
      <c r="B2096" s="81" t="str">
        <f t="shared" si="1"/>
        <v>Kab Timor Tengah Selatan</v>
      </c>
      <c r="C2096" s="81" t="str">
        <f t="array" ref="C2096">XLOOKUP(B2096,Reference!$A$2:$A$152,Reference!$B$2:$B$152)</f>
        <v>Nusa Tenggara Timur (NTT)</v>
      </c>
      <c r="D2096" s="82" t="s">
        <v>2535</v>
      </c>
      <c r="E2096" s="83">
        <v>45352.0</v>
      </c>
      <c r="F2096" s="84" t="str">
        <f t="array" ref="F2096">XLOOKUP(G2096,Reference!$F:$F,Reference!$D:$D,"null")</f>
        <v>Makanan dan Pakaian </v>
      </c>
      <c r="G2096" s="85" t="s">
        <v>56</v>
      </c>
      <c r="H2096" s="86">
        <v>95.77</v>
      </c>
      <c r="I2096" s="86">
        <v>95.77</v>
      </c>
      <c r="J2096" s="87">
        <f t="shared" si="2"/>
        <v>0</v>
      </c>
      <c r="K2096" s="84" t="str">
        <f t="shared" si="3"/>
        <v>Stabil</v>
      </c>
      <c r="L2096" s="84">
        <f t="shared" si="4"/>
        <v>0</v>
      </c>
      <c r="M2096" s="88" t="str">
        <f t="shared" si="5"/>
        <v>Perubahan Normal</v>
      </c>
    </row>
    <row r="2097" ht="18.75" customHeight="1">
      <c r="A2097" s="80" t="s">
        <v>841</v>
      </c>
      <c r="B2097" s="81" t="str">
        <f t="shared" si="1"/>
        <v>Kab Morowali</v>
      </c>
      <c r="C2097" s="81" t="str">
        <f t="array" ref="C2097">XLOOKUP(B2097,Reference!$A$2:$A$152,Reference!$B$2:$B$152)</f>
        <v>Sulawesi Tengah</v>
      </c>
      <c r="D2097" s="82" t="s">
        <v>2536</v>
      </c>
      <c r="E2097" s="83">
        <v>45323.0</v>
      </c>
      <c r="F2097" s="84" t="str">
        <f t="array" ref="F2097">XLOOKUP(G2097,Reference!$F:$F,Reference!$D:$D,"null")</f>
        <v>Pendidikan dan Kesehatan</v>
      </c>
      <c r="G2097" s="85" t="s">
        <v>98</v>
      </c>
      <c r="H2097" s="86">
        <v>100.03</v>
      </c>
      <c r="I2097" s="86">
        <v>100.03</v>
      </c>
      <c r="J2097" s="87">
        <f t="shared" si="2"/>
        <v>0</v>
      </c>
      <c r="K2097" s="84" t="str">
        <f t="shared" si="3"/>
        <v>Stabil</v>
      </c>
      <c r="L2097" s="84">
        <f t="shared" si="4"/>
        <v>0</v>
      </c>
      <c r="M2097" s="88" t="str">
        <f t="shared" si="5"/>
        <v>Perubahan Normal</v>
      </c>
    </row>
    <row r="2098" ht="18.75" customHeight="1">
      <c r="A2098" s="80" t="s">
        <v>1282</v>
      </c>
      <c r="B2098" s="81" t="str">
        <f t="shared" si="1"/>
        <v>Kota Bima</v>
      </c>
      <c r="C2098" s="81" t="str">
        <f t="array" ref="C2098">XLOOKUP(B2098,Reference!$A$2:$A$152,Reference!$B$2:$B$152)</f>
        <v>Nusa Tenggara Barat (NTB)</v>
      </c>
      <c r="D2098" s="82" t="s">
        <v>2537</v>
      </c>
      <c r="E2098" s="83">
        <v>45323.0</v>
      </c>
      <c r="F2098" s="84" t="str">
        <f t="array" ref="F2098">XLOOKUP(G2098,Reference!$F:$F,Reference!$D:$D,"null")</f>
        <v>Rumah Tangga</v>
      </c>
      <c r="G2098" s="85" t="s">
        <v>89</v>
      </c>
      <c r="H2098" s="86">
        <v>102.3</v>
      </c>
      <c r="I2098" s="86">
        <v>101.92</v>
      </c>
      <c r="J2098" s="87">
        <f t="shared" si="2"/>
        <v>0.3728414443</v>
      </c>
      <c r="K2098" s="84" t="str">
        <f t="shared" si="3"/>
        <v>Inflasi Normal</v>
      </c>
      <c r="L2098" s="84">
        <f t="shared" si="4"/>
        <v>0.38</v>
      </c>
      <c r="M2098" s="88" t="str">
        <f t="shared" si="5"/>
        <v>Perubahan Normal</v>
      </c>
    </row>
    <row r="2099" ht="18.75" customHeight="1">
      <c r="A2099" s="80" t="s">
        <v>337</v>
      </c>
      <c r="B2099" s="81" t="str">
        <f t="shared" si="1"/>
        <v>Merauke</v>
      </c>
      <c r="C2099" s="81" t="str">
        <f t="array" ref="C2099">XLOOKUP(B2099,Reference!$A$2:$A$152,Reference!$B$2:$B$152)</f>
        <v>Papua</v>
      </c>
      <c r="D2099" s="82" t="s">
        <v>2538</v>
      </c>
      <c r="E2099" s="83">
        <v>45323.0</v>
      </c>
      <c r="F2099" s="84" t="str">
        <f t="array" ref="F2099">XLOOKUP(G2099,Reference!$F:$F,Reference!$D:$D,"null")</f>
        <v>Makanan dan Pakaian </v>
      </c>
      <c r="G2099" s="85" t="s">
        <v>64</v>
      </c>
      <c r="H2099" s="86">
        <v>102.8</v>
      </c>
      <c r="I2099" s="86">
        <v>102.8</v>
      </c>
      <c r="J2099" s="87">
        <f t="shared" si="2"/>
        <v>0</v>
      </c>
      <c r="K2099" s="84" t="str">
        <f t="shared" si="3"/>
        <v>Stabil</v>
      </c>
      <c r="L2099" s="84">
        <f t="shared" si="4"/>
        <v>0</v>
      </c>
      <c r="M2099" s="88" t="str">
        <f t="shared" si="5"/>
        <v>Perubahan Normal</v>
      </c>
    </row>
    <row r="2100" ht="18.75" customHeight="1">
      <c r="A2100" s="80" t="s">
        <v>740</v>
      </c>
      <c r="B2100" s="81" t="str">
        <f t="shared" si="1"/>
        <v>Kota Gunungsitoli</v>
      </c>
      <c r="C2100" s="81" t="str">
        <f t="array" ref="C2100">XLOOKUP(B2100,Reference!$A$2:$A$152,Reference!$B$2:$B$152)</f>
        <v>Sumatera Utara</v>
      </c>
      <c r="D2100" s="82" t="s">
        <v>2539</v>
      </c>
      <c r="E2100" s="83">
        <v>45323.0</v>
      </c>
      <c r="F2100" s="84" t="str">
        <f t="array" ref="F2100">XLOOKUP(G2100,Reference!$F:$F,Reference!$D:$D,"null")</f>
        <v>Rekreasi dan Kendaraan</v>
      </c>
      <c r="G2100" s="85" t="s">
        <v>105</v>
      </c>
      <c r="H2100" s="86">
        <v>101.83</v>
      </c>
      <c r="I2100" s="86">
        <v>101.83</v>
      </c>
      <c r="J2100" s="87">
        <f t="shared" si="2"/>
        <v>0</v>
      </c>
      <c r="K2100" s="84" t="str">
        <f t="shared" si="3"/>
        <v>Stabil</v>
      </c>
      <c r="L2100" s="84">
        <f t="shared" si="4"/>
        <v>0</v>
      </c>
      <c r="M2100" s="88" t="str">
        <f t="shared" si="5"/>
        <v>Perubahan Normal</v>
      </c>
    </row>
    <row r="2101" ht="18.75" customHeight="1">
      <c r="A2101" s="80" t="s">
        <v>393</v>
      </c>
      <c r="B2101" s="81" t="str">
        <f t="shared" si="1"/>
        <v>Kab Sumbawa</v>
      </c>
      <c r="C2101" s="81" t="str">
        <f t="array" ref="C2101">XLOOKUP(B2101,Reference!$A$2:$A$152,Reference!$B$2:$B$152)</f>
        <v>Nusa Tenggara Barat (NTB)</v>
      </c>
      <c r="D2101" s="82" t="s">
        <v>2540</v>
      </c>
      <c r="E2101" s="83">
        <v>45323.0</v>
      </c>
      <c r="F2101" s="84" t="str">
        <f t="array" ref="F2101">XLOOKUP(G2101,Reference!$F:$F,Reference!$D:$D,"null")</f>
        <v>Pendidikan dan Kesehatan</v>
      </c>
      <c r="G2101" s="85" t="s">
        <v>95</v>
      </c>
      <c r="H2101" s="86">
        <v>101.33</v>
      </c>
      <c r="I2101" s="86">
        <v>101.33</v>
      </c>
      <c r="J2101" s="87">
        <f t="shared" si="2"/>
        <v>0</v>
      </c>
      <c r="K2101" s="84" t="str">
        <f t="shared" si="3"/>
        <v>Stabil</v>
      </c>
      <c r="L2101" s="84">
        <f t="shared" si="4"/>
        <v>0</v>
      </c>
      <c r="M2101" s="88" t="str">
        <f t="shared" si="5"/>
        <v>Perubahan Normal</v>
      </c>
    </row>
    <row r="2102" ht="18.75" customHeight="1">
      <c r="A2102" s="80" t="s">
        <v>524</v>
      </c>
      <c r="B2102" s="81" t="str">
        <f t="shared" si="1"/>
        <v>Kudus</v>
      </c>
      <c r="C2102" s="81" t="str">
        <f t="array" ref="C2102">XLOOKUP(B2102,Reference!$A$2:$A$152,Reference!$B$2:$B$152)</f>
        <v>Jawa Tengah</v>
      </c>
      <c r="D2102" s="82" t="s">
        <v>2541</v>
      </c>
      <c r="E2102" s="83">
        <v>45323.0</v>
      </c>
      <c r="F2102" s="84" t="str">
        <f t="array" ref="F2102">XLOOKUP(G2102,Reference!$F:$F,Reference!$D:$D,"null")</f>
        <v>Rekreasi dan Kendaraan</v>
      </c>
      <c r="G2102" s="85" t="s">
        <v>105</v>
      </c>
      <c r="H2102" s="86">
        <v>104.67</v>
      </c>
      <c r="I2102" s="86">
        <v>103.98</v>
      </c>
      <c r="J2102" s="87">
        <f t="shared" si="2"/>
        <v>0.6635891518</v>
      </c>
      <c r="K2102" s="84" t="str">
        <f t="shared" si="3"/>
        <v>Inflasi Tinggi</v>
      </c>
      <c r="L2102" s="84">
        <f t="shared" si="4"/>
        <v>0.69</v>
      </c>
      <c r="M2102" s="88" t="str">
        <f t="shared" si="5"/>
        <v>Akselerasi Persentase</v>
      </c>
    </row>
    <row r="2103" ht="18.75" customHeight="1">
      <c r="A2103" s="80" t="s">
        <v>364</v>
      </c>
      <c r="B2103" s="81" t="str">
        <f t="shared" si="1"/>
        <v>Kab Tanah Laut</v>
      </c>
      <c r="C2103" s="81" t="str">
        <f t="array" ref="C2103">XLOOKUP(B2103,Reference!$A$2:$A$152,Reference!$B$2:$B$152)</f>
        <v>Kalimantan Selatan</v>
      </c>
      <c r="D2103" s="82" t="s">
        <v>2542</v>
      </c>
      <c r="E2103" s="83">
        <v>45323.0</v>
      </c>
      <c r="F2103" s="84" t="str">
        <f t="array" ref="F2103">XLOOKUP(G2103,Reference!$F:$F,Reference!$D:$D,"null")</f>
        <v>Rekreasi dan Kendaraan</v>
      </c>
      <c r="G2103" s="85" t="s">
        <v>102</v>
      </c>
      <c r="H2103" s="86">
        <v>96.2</v>
      </c>
      <c r="I2103" s="86">
        <v>96.2</v>
      </c>
      <c r="J2103" s="87">
        <f t="shared" si="2"/>
        <v>0</v>
      </c>
      <c r="K2103" s="84" t="str">
        <f t="shared" si="3"/>
        <v>Stabil</v>
      </c>
      <c r="L2103" s="84">
        <f t="shared" si="4"/>
        <v>0</v>
      </c>
      <c r="M2103" s="88" t="str">
        <f t="shared" si="5"/>
        <v>Perubahan Normal</v>
      </c>
    </row>
    <row r="2104" ht="18.75" customHeight="1">
      <c r="A2104" s="80" t="s">
        <v>524</v>
      </c>
      <c r="B2104" s="81" t="str">
        <f t="shared" si="1"/>
        <v>Kudus</v>
      </c>
      <c r="C2104" s="81" t="str">
        <f t="array" ref="C2104">XLOOKUP(B2104,Reference!$A$2:$A$152,Reference!$B$2:$B$152)</f>
        <v>Jawa Tengah</v>
      </c>
      <c r="D2104" s="82" t="s">
        <v>2543</v>
      </c>
      <c r="E2104" s="83">
        <v>45323.0</v>
      </c>
      <c r="F2104" s="84" t="str">
        <f t="array" ref="F2104">XLOOKUP(G2104,Reference!$F:$F,Reference!$D:$D,"null")</f>
        <v>Makanan dan Pakaian </v>
      </c>
      <c r="G2104" s="85" t="s">
        <v>48</v>
      </c>
      <c r="H2104" s="86">
        <v>111.87</v>
      </c>
      <c r="I2104" s="86">
        <v>109.42</v>
      </c>
      <c r="J2104" s="87">
        <f t="shared" si="2"/>
        <v>2.239078779</v>
      </c>
      <c r="K2104" s="84" t="str">
        <f t="shared" si="3"/>
        <v>Inflasi Tinggi</v>
      </c>
      <c r="L2104" s="84">
        <f t="shared" si="4"/>
        <v>2.45</v>
      </c>
      <c r="M2104" s="88" t="str">
        <f t="shared" si="5"/>
        <v>Akselerasi Kuat</v>
      </c>
    </row>
    <row r="2105" ht="18.75" customHeight="1">
      <c r="A2105" s="80" t="s">
        <v>421</v>
      </c>
      <c r="B2105" s="81" t="str">
        <f t="shared" si="1"/>
        <v>Kab Halmahera Tengah</v>
      </c>
      <c r="C2105" s="81" t="str">
        <f t="array" ref="C2105">XLOOKUP(B2105,Reference!$A$2:$A$152,Reference!$B$2:$B$152)</f>
        <v>Maluku Utara</v>
      </c>
      <c r="D2105" s="82" t="s">
        <v>2544</v>
      </c>
      <c r="E2105" s="83">
        <v>45323.0</v>
      </c>
      <c r="F2105" s="84" t="str">
        <f t="array" ref="F2105">XLOOKUP(G2105,Reference!$F:$F,Reference!$D:$D,"null")</f>
        <v>Pendidikan dan Kesehatan</v>
      </c>
      <c r="G2105" s="85" t="s">
        <v>95</v>
      </c>
      <c r="H2105" s="86">
        <v>100.0</v>
      </c>
      <c r="I2105" s="86">
        <v>100.0</v>
      </c>
      <c r="J2105" s="87">
        <f t="shared" si="2"/>
        <v>0</v>
      </c>
      <c r="K2105" s="84" t="str">
        <f t="shared" si="3"/>
        <v>Stabil</v>
      </c>
      <c r="L2105" s="84">
        <f t="shared" si="4"/>
        <v>0</v>
      </c>
      <c r="M2105" s="88" t="str">
        <f t="shared" si="5"/>
        <v>Perubahan Normal</v>
      </c>
    </row>
    <row r="2106" ht="18.75" customHeight="1">
      <c r="A2106" s="80" t="s">
        <v>414</v>
      </c>
      <c r="B2106" s="81" t="str">
        <f t="shared" si="1"/>
        <v>Kota Bandung</v>
      </c>
      <c r="C2106" s="81" t="str">
        <f t="array" ref="C2106">XLOOKUP(B2106,Reference!$A$2:$A$152,Reference!$B$2:$B$152)</f>
        <v>Jawa Barat</v>
      </c>
      <c r="D2106" s="82" t="s">
        <v>2545</v>
      </c>
      <c r="E2106" s="83">
        <v>45323.0</v>
      </c>
      <c r="F2106" s="84" t="str">
        <f t="array" ref="F2106">XLOOKUP(G2106,Reference!$F:$F,Reference!$D:$D,"null")</f>
        <v>Rumah Tangga</v>
      </c>
      <c r="G2106" s="85" t="s">
        <v>80</v>
      </c>
      <c r="H2106" s="86">
        <v>103.43</v>
      </c>
      <c r="I2106" s="86">
        <v>103.43</v>
      </c>
      <c r="J2106" s="87">
        <f t="shared" si="2"/>
        <v>0</v>
      </c>
      <c r="K2106" s="84" t="str">
        <f t="shared" si="3"/>
        <v>Stabil</v>
      </c>
      <c r="L2106" s="84">
        <f t="shared" si="4"/>
        <v>0</v>
      </c>
      <c r="M2106" s="88" t="str">
        <f t="shared" si="5"/>
        <v>Perubahan Normal</v>
      </c>
    </row>
    <row r="2107" ht="18.75" customHeight="1">
      <c r="A2107" s="80" t="s">
        <v>329</v>
      </c>
      <c r="B2107" s="81" t="str">
        <f t="shared" si="1"/>
        <v>Kab Penajam Paser Utara</v>
      </c>
      <c r="C2107" s="81" t="str">
        <f t="array" ref="C2107">XLOOKUP(B2107,Reference!$A$2:$A$152,Reference!$B$2:$B$152)</f>
        <v>Kalimantan Timur</v>
      </c>
      <c r="D2107" s="82" t="s">
        <v>2546</v>
      </c>
      <c r="E2107" s="83">
        <v>45352.0</v>
      </c>
      <c r="F2107" s="84" t="str">
        <f t="array" ref="F2107">XLOOKUP(G2107,Reference!$F:$F,Reference!$D:$D,"null")</f>
        <v>Rumah Tangga</v>
      </c>
      <c r="G2107" s="89" t="s">
        <v>84</v>
      </c>
      <c r="H2107" s="90">
        <v>109.39</v>
      </c>
      <c r="I2107" s="90">
        <v>109.89</v>
      </c>
      <c r="J2107" s="87">
        <f t="shared" si="2"/>
        <v>-0.455000455</v>
      </c>
      <c r="K2107" s="84" t="str">
        <f t="shared" si="3"/>
        <v>Deflasi</v>
      </c>
      <c r="L2107" s="91">
        <f t="shared" si="4"/>
        <v>-0.5</v>
      </c>
      <c r="M2107" s="88" t="str">
        <f t="shared" si="5"/>
        <v>Perubahan Normal</v>
      </c>
    </row>
    <row r="2108" ht="18.75" customHeight="1">
      <c r="A2108" s="80" t="s">
        <v>663</v>
      </c>
      <c r="B2108" s="81" t="str">
        <f t="shared" si="1"/>
        <v>Kota Serang</v>
      </c>
      <c r="C2108" s="81" t="str">
        <f t="array" ref="C2108">XLOOKUP(B2108,Reference!$A$2:$A$152,Reference!$B$2:$B$152)</f>
        <v>Banten</v>
      </c>
      <c r="D2108" s="82" t="s">
        <v>2547</v>
      </c>
      <c r="E2108" s="83">
        <v>45323.0</v>
      </c>
      <c r="F2108" s="84" t="str">
        <f t="array" ref="F2108">XLOOKUP(G2108,Reference!$F:$F,Reference!$D:$D,"null")</f>
        <v>Rumah Tangga</v>
      </c>
      <c r="G2108" s="85" t="s">
        <v>89</v>
      </c>
      <c r="H2108" s="86">
        <v>102.38</v>
      </c>
      <c r="I2108" s="86">
        <v>102.09</v>
      </c>
      <c r="J2108" s="87">
        <f t="shared" si="2"/>
        <v>0.2840630816</v>
      </c>
      <c r="K2108" s="84" t="str">
        <f t="shared" si="3"/>
        <v>Inflasi Normal</v>
      </c>
      <c r="L2108" s="84">
        <f t="shared" si="4"/>
        <v>0.29</v>
      </c>
      <c r="M2108" s="88" t="str">
        <f t="shared" si="5"/>
        <v>Perubahan Normal</v>
      </c>
    </row>
    <row r="2109" ht="18.75" customHeight="1">
      <c r="A2109" s="80" t="s">
        <v>592</v>
      </c>
      <c r="B2109" s="81" t="str">
        <f t="shared" si="1"/>
        <v>Kab Lampung Timur</v>
      </c>
      <c r="C2109" s="81" t="str">
        <f t="array" ref="C2109">XLOOKUP(B2109,Reference!$A$2:$A$152,Reference!$B$2:$B$152)</f>
        <v>Lampung</v>
      </c>
      <c r="D2109" s="82" t="s">
        <v>2548</v>
      </c>
      <c r="E2109" s="83">
        <v>45323.0</v>
      </c>
      <c r="F2109" s="84" t="str">
        <f t="array" ref="F2109">XLOOKUP(G2109,Reference!$F:$F,Reference!$D:$D,"null")</f>
        <v>Makanan dan Pakaian </v>
      </c>
      <c r="G2109" s="85" t="s">
        <v>64</v>
      </c>
      <c r="H2109" s="86">
        <v>113.58</v>
      </c>
      <c r="I2109" s="86">
        <v>113.58</v>
      </c>
      <c r="J2109" s="87">
        <f t="shared" si="2"/>
        <v>0</v>
      </c>
      <c r="K2109" s="84" t="str">
        <f t="shared" si="3"/>
        <v>Stabil</v>
      </c>
      <c r="L2109" s="84">
        <f t="shared" si="4"/>
        <v>0</v>
      </c>
      <c r="M2109" s="88" t="str">
        <f t="shared" si="5"/>
        <v>Perubahan Normal</v>
      </c>
    </row>
    <row r="2110" ht="18.75" customHeight="1">
      <c r="A2110" s="80" t="s">
        <v>360</v>
      </c>
      <c r="B2110" s="81" t="str">
        <f t="shared" si="1"/>
        <v>Kab Wonosobo</v>
      </c>
      <c r="C2110" s="81" t="str">
        <f t="array" ref="C2110">XLOOKUP(B2110,Reference!$A$2:$A$152,Reference!$B$2:$B$152)</f>
        <v>Jawa Tengah</v>
      </c>
      <c r="D2110" s="82" t="s">
        <v>2549</v>
      </c>
      <c r="E2110" s="83">
        <v>45352.0</v>
      </c>
      <c r="F2110" s="84" t="str">
        <f t="array" ref="F2110">XLOOKUP(G2110,Reference!$F:$F,Reference!$D:$D,"null")</f>
        <v>Pendidikan dan Kesehatan</v>
      </c>
      <c r="G2110" s="89" t="s">
        <v>98</v>
      </c>
      <c r="H2110" s="90">
        <v>102.08</v>
      </c>
      <c r="I2110" s="90">
        <v>102.08</v>
      </c>
      <c r="J2110" s="87">
        <f t="shared" si="2"/>
        <v>0</v>
      </c>
      <c r="K2110" s="84" t="str">
        <f t="shared" si="3"/>
        <v>Stabil</v>
      </c>
      <c r="L2110" s="91">
        <f t="shared" si="4"/>
        <v>0</v>
      </c>
      <c r="M2110" s="88" t="str">
        <f t="shared" si="5"/>
        <v>Perubahan Normal</v>
      </c>
    </row>
    <row r="2111" ht="18.75" customHeight="1">
      <c r="A2111" s="80" t="s">
        <v>322</v>
      </c>
      <c r="B2111" s="81" t="str">
        <f t="shared" si="1"/>
        <v>Purwokerto</v>
      </c>
      <c r="C2111" s="81" t="str">
        <f t="array" ref="C2111">XLOOKUP(B2111,Reference!$A$2:$A$152,Reference!$B$2:$B$152)</f>
        <v>Jawa Tengah</v>
      </c>
      <c r="D2111" s="82" t="s">
        <v>2550</v>
      </c>
      <c r="E2111" s="83">
        <v>45352.0</v>
      </c>
      <c r="F2111" s="84" t="str">
        <f t="array" ref="F2111">XLOOKUP(G2111,Reference!$F:$F,Reference!$D:$D,"null")</f>
        <v>Rekreasi dan Kendaraan</v>
      </c>
      <c r="G2111" s="85" t="s">
        <v>105</v>
      </c>
      <c r="H2111" s="86">
        <v>104.35</v>
      </c>
      <c r="I2111" s="86">
        <v>103.8</v>
      </c>
      <c r="J2111" s="87">
        <f t="shared" si="2"/>
        <v>0.5298651252</v>
      </c>
      <c r="K2111" s="84" t="str">
        <f t="shared" si="3"/>
        <v>Inflasi Tinggi</v>
      </c>
      <c r="L2111" s="84">
        <f t="shared" si="4"/>
        <v>0.55</v>
      </c>
      <c r="M2111" s="88" t="str">
        <f t="shared" si="5"/>
        <v>Akselerasi Persentase</v>
      </c>
    </row>
    <row r="2112" ht="18.75" customHeight="1">
      <c r="A2112" s="80" t="s">
        <v>473</v>
      </c>
      <c r="B2112" s="81" t="str">
        <f t="shared" si="1"/>
        <v>Kab Wajo</v>
      </c>
      <c r="C2112" s="81" t="str">
        <f t="array" ref="C2112">XLOOKUP(B2112,Reference!$A$2:$A$152,Reference!$B$2:$B$152)</f>
        <v>Sulawesi Selatan</v>
      </c>
      <c r="D2112" s="82" t="s">
        <v>2551</v>
      </c>
      <c r="E2112" s="83">
        <v>45323.0</v>
      </c>
      <c r="F2112" s="84" t="str">
        <f t="array" ref="F2112">XLOOKUP(G2112,Reference!$F:$F,Reference!$D:$D,"null")</f>
        <v>Rumah Tangga</v>
      </c>
      <c r="G2112" s="85" t="s">
        <v>80</v>
      </c>
      <c r="H2112" s="86">
        <v>104.26</v>
      </c>
      <c r="I2112" s="86">
        <v>104.15</v>
      </c>
      <c r="J2112" s="87">
        <f t="shared" si="2"/>
        <v>0.1056168987</v>
      </c>
      <c r="K2112" s="84" t="str">
        <f t="shared" si="3"/>
        <v>Inflasi Normal</v>
      </c>
      <c r="L2112" s="84">
        <f t="shared" si="4"/>
        <v>0.11</v>
      </c>
      <c r="M2112" s="88" t="str">
        <f t="shared" si="5"/>
        <v>Perubahan Normal</v>
      </c>
    </row>
    <row r="2113" ht="18.75" customHeight="1">
      <c r="A2113" s="80" t="s">
        <v>669</v>
      </c>
      <c r="B2113" s="81" t="str">
        <f t="shared" si="1"/>
        <v>Kab Sidenreng Rappang</v>
      </c>
      <c r="C2113" s="81" t="str">
        <f t="array" ref="C2113">XLOOKUP(B2113,Reference!$A$2:$A$152,Reference!$B$2:$B$152)</f>
        <v>Sulawesi Selatan</v>
      </c>
      <c r="D2113" s="82" t="s">
        <v>2552</v>
      </c>
      <c r="E2113" s="83">
        <v>45323.0</v>
      </c>
      <c r="F2113" s="84" t="str">
        <f t="array" ref="F2113">XLOOKUP(G2113,Reference!$F:$F,Reference!$D:$D,"null")</f>
        <v>Makanan dan Pakaian </v>
      </c>
      <c r="G2113" s="85" t="s">
        <v>48</v>
      </c>
      <c r="H2113" s="86">
        <v>103.13</v>
      </c>
      <c r="I2113" s="86">
        <v>102.2</v>
      </c>
      <c r="J2113" s="87">
        <f t="shared" si="2"/>
        <v>0.9099804305</v>
      </c>
      <c r="K2113" s="84" t="str">
        <f t="shared" si="3"/>
        <v>Inflasi Tinggi</v>
      </c>
      <c r="L2113" s="84">
        <f t="shared" si="4"/>
        <v>0.93</v>
      </c>
      <c r="M2113" s="88" t="str">
        <f t="shared" si="5"/>
        <v>Akselerasi Persentase</v>
      </c>
    </row>
    <row r="2114" ht="18.75" customHeight="1">
      <c r="A2114" s="80" t="s">
        <v>300</v>
      </c>
      <c r="B2114" s="81" t="str">
        <f t="shared" si="1"/>
        <v>Sintang</v>
      </c>
      <c r="C2114" s="81" t="str">
        <f t="array" ref="C2114">XLOOKUP(B2114,Reference!$A$2:$A$152,Reference!$B$2:$B$152)</f>
        <v>Kalimantan Barat</v>
      </c>
      <c r="D2114" s="82" t="s">
        <v>2553</v>
      </c>
      <c r="E2114" s="83">
        <v>45352.0</v>
      </c>
      <c r="F2114" s="84" t="str">
        <f t="array" ref="F2114">XLOOKUP(G2114,Reference!$F:$F,Reference!$D:$D,"null")</f>
        <v>Rumah Tangga</v>
      </c>
      <c r="G2114" s="85" t="s">
        <v>84</v>
      </c>
      <c r="H2114" s="86">
        <v>102.04</v>
      </c>
      <c r="I2114" s="86">
        <v>102.04</v>
      </c>
      <c r="J2114" s="87">
        <f t="shared" si="2"/>
        <v>0</v>
      </c>
      <c r="K2114" s="84" t="str">
        <f t="shared" si="3"/>
        <v>Stabil</v>
      </c>
      <c r="L2114" s="84">
        <f t="shared" si="4"/>
        <v>0</v>
      </c>
      <c r="M2114" s="88" t="str">
        <f t="shared" si="5"/>
        <v>Perubahan Normal</v>
      </c>
    </row>
    <row r="2115" ht="18.75" customHeight="1">
      <c r="A2115" s="80" t="s">
        <v>634</v>
      </c>
      <c r="B2115" s="81" t="str">
        <f t="shared" si="1"/>
        <v>Kota Depok</v>
      </c>
      <c r="C2115" s="81" t="str">
        <f t="array" ref="C2115">XLOOKUP(B2115,Reference!$A$2:$A$152,Reference!$B$2:$B$152)</f>
        <v>Jawa Barat</v>
      </c>
      <c r="D2115" s="82" t="s">
        <v>2554</v>
      </c>
      <c r="E2115" s="83">
        <v>45352.0</v>
      </c>
      <c r="F2115" s="84" t="str">
        <f t="array" ref="F2115">XLOOKUP(G2115,Reference!$F:$F,Reference!$D:$D,"null")</f>
        <v>Rekreasi dan Kendaraan</v>
      </c>
      <c r="G2115" s="85" t="s">
        <v>105</v>
      </c>
      <c r="H2115" s="86">
        <v>100.59</v>
      </c>
      <c r="I2115" s="86">
        <v>100.59</v>
      </c>
      <c r="J2115" s="87">
        <f t="shared" si="2"/>
        <v>0</v>
      </c>
      <c r="K2115" s="84" t="str">
        <f t="shared" si="3"/>
        <v>Stabil</v>
      </c>
      <c r="L2115" s="84">
        <f t="shared" si="4"/>
        <v>0</v>
      </c>
      <c r="M2115" s="88" t="str">
        <f t="shared" si="5"/>
        <v>Perubahan Normal</v>
      </c>
    </row>
    <row r="2116" ht="18.75" customHeight="1">
      <c r="A2116" s="80" t="s">
        <v>351</v>
      </c>
      <c r="B2116" s="81" t="str">
        <f t="shared" si="1"/>
        <v>Kota Balikpapan</v>
      </c>
      <c r="C2116" s="81" t="str">
        <f t="array" ref="C2116">XLOOKUP(B2116,Reference!$A$2:$A$152,Reference!$B$2:$B$152)</f>
        <v>Kalimantan Timur</v>
      </c>
      <c r="D2116" s="82" t="s">
        <v>2555</v>
      </c>
      <c r="E2116" s="83">
        <v>45352.0</v>
      </c>
      <c r="F2116" s="84" t="str">
        <f t="array" ref="F2116">XLOOKUP(G2116,Reference!$F:$F,Reference!$D:$D,"null")</f>
        <v>Makanan dan Pakaian </v>
      </c>
      <c r="G2116" s="85" t="s">
        <v>56</v>
      </c>
      <c r="H2116" s="86">
        <v>106.49</v>
      </c>
      <c r="I2116" s="86">
        <v>106.69</v>
      </c>
      <c r="J2116" s="87">
        <f t="shared" si="2"/>
        <v>-0.1874589933</v>
      </c>
      <c r="K2116" s="84" t="str">
        <f t="shared" si="3"/>
        <v>Deflasi</v>
      </c>
      <c r="L2116" s="84">
        <f t="shared" si="4"/>
        <v>-0.2</v>
      </c>
      <c r="M2116" s="88" t="str">
        <f t="shared" si="5"/>
        <v>Perubahan Normal</v>
      </c>
    </row>
    <row r="2117" ht="18.75" customHeight="1">
      <c r="A2117" s="80" t="s">
        <v>401</v>
      </c>
      <c r="B2117" s="81" t="str">
        <f t="shared" si="1"/>
        <v>Kota Tual</v>
      </c>
      <c r="C2117" s="81" t="str">
        <f t="array" ref="C2117">XLOOKUP(B2117,Reference!$A$2:$A$152,Reference!$B$2:$B$152)</f>
        <v>Maluku</v>
      </c>
      <c r="D2117" s="82" t="s">
        <v>2556</v>
      </c>
      <c r="E2117" s="83">
        <v>45323.0</v>
      </c>
      <c r="F2117" s="84" t="str">
        <f t="array" ref="F2117">XLOOKUP(G2117,Reference!$F:$F,Reference!$D:$D,"null")</f>
        <v>Pendidikan dan Kesehatan</v>
      </c>
      <c r="G2117" s="85" t="s">
        <v>95</v>
      </c>
      <c r="H2117" s="86">
        <v>100.02</v>
      </c>
      <c r="I2117" s="86">
        <v>100.02</v>
      </c>
      <c r="J2117" s="87">
        <f t="shared" si="2"/>
        <v>0</v>
      </c>
      <c r="K2117" s="84" t="str">
        <f t="shared" si="3"/>
        <v>Stabil</v>
      </c>
      <c r="L2117" s="84">
        <f t="shared" si="4"/>
        <v>0</v>
      </c>
      <c r="M2117" s="88" t="str">
        <f t="shared" si="5"/>
        <v>Perubahan Normal</v>
      </c>
    </row>
    <row r="2118" ht="18.75" customHeight="1">
      <c r="A2118" s="80" t="s">
        <v>548</v>
      </c>
      <c r="B2118" s="81" t="str">
        <f t="shared" si="1"/>
        <v>Kota Metro</v>
      </c>
      <c r="C2118" s="81" t="str">
        <f t="array" ref="C2118">XLOOKUP(B2118,Reference!$A$2:$A$152,Reference!$B$2:$B$152)</f>
        <v>Lampung</v>
      </c>
      <c r="D2118" s="82" t="s">
        <v>2557</v>
      </c>
      <c r="E2118" s="83">
        <v>45352.0</v>
      </c>
      <c r="F2118" s="84" t="str">
        <f t="array" ref="F2118">XLOOKUP(G2118,Reference!$F:$F,Reference!$D:$D,"null")</f>
        <v>Makanan dan Pakaian </v>
      </c>
      <c r="G2118" s="85" t="s">
        <v>72</v>
      </c>
      <c r="H2118" s="86">
        <v>102.18</v>
      </c>
      <c r="I2118" s="86">
        <v>102.2</v>
      </c>
      <c r="J2118" s="87">
        <f t="shared" si="2"/>
        <v>-0.01956947162</v>
      </c>
      <c r="K2118" s="84" t="str">
        <f t="shared" si="3"/>
        <v>Deflasi</v>
      </c>
      <c r="L2118" s="84">
        <f t="shared" si="4"/>
        <v>-0.02</v>
      </c>
      <c r="M2118" s="88" t="str">
        <f t="shared" si="5"/>
        <v>Perubahan Normal</v>
      </c>
    </row>
    <row r="2119" ht="18.75" customHeight="1">
      <c r="A2119" s="80" t="s">
        <v>304</v>
      </c>
      <c r="B2119" s="81" t="str">
        <f t="shared" si="1"/>
        <v>Kota Kediri</v>
      </c>
      <c r="C2119" s="81" t="str">
        <f t="array" ref="C2119">XLOOKUP(B2119,Reference!$A$2:$A$152,Reference!$B$2:$B$152)</f>
        <v>Jawa Timur</v>
      </c>
      <c r="D2119" s="82" t="s">
        <v>2558</v>
      </c>
      <c r="E2119" s="83">
        <v>45352.0</v>
      </c>
      <c r="F2119" s="84" t="str">
        <f t="array" ref="F2119">XLOOKUP(G2119,Reference!$F:$F,Reference!$D:$D,"null")</f>
        <v>Rumah Tangga</v>
      </c>
      <c r="G2119" s="85" t="s">
        <v>89</v>
      </c>
      <c r="H2119" s="86">
        <v>101.24</v>
      </c>
      <c r="I2119" s="86">
        <v>101.24</v>
      </c>
      <c r="J2119" s="87">
        <f t="shared" si="2"/>
        <v>0</v>
      </c>
      <c r="K2119" s="84" t="str">
        <f t="shared" si="3"/>
        <v>Stabil</v>
      </c>
      <c r="L2119" s="84">
        <f t="shared" si="4"/>
        <v>0</v>
      </c>
      <c r="M2119" s="88" t="str">
        <f t="shared" si="5"/>
        <v>Perubahan Normal</v>
      </c>
    </row>
    <row r="2120" ht="18.75" customHeight="1">
      <c r="A2120" s="80" t="s">
        <v>391</v>
      </c>
      <c r="B2120" s="81" t="str">
        <f t="shared" si="1"/>
        <v>Kota Batam</v>
      </c>
      <c r="C2120" s="81" t="str">
        <f t="array" ref="C2120">XLOOKUP(B2120,Reference!$A$2:$A$152,Reference!$B$2:$B$152)</f>
        <v>Kepulauan Riau</v>
      </c>
      <c r="D2120" s="82" t="s">
        <v>2559</v>
      </c>
      <c r="E2120" s="83">
        <v>45352.0</v>
      </c>
      <c r="F2120" s="84" t="str">
        <f t="array" ref="F2120">XLOOKUP(G2120,Reference!$F:$F,Reference!$D:$D,"null")</f>
        <v>Pendidikan dan Kesehatan</v>
      </c>
      <c r="G2120" s="85" t="s">
        <v>95</v>
      </c>
      <c r="H2120" s="86">
        <v>104.3</v>
      </c>
      <c r="I2120" s="86">
        <v>104.3</v>
      </c>
      <c r="J2120" s="87">
        <f t="shared" si="2"/>
        <v>0</v>
      </c>
      <c r="K2120" s="84" t="str">
        <f t="shared" si="3"/>
        <v>Stabil</v>
      </c>
      <c r="L2120" s="84">
        <f t="shared" si="4"/>
        <v>0</v>
      </c>
      <c r="M2120" s="88" t="str">
        <f t="shared" si="5"/>
        <v>Perubahan Normal</v>
      </c>
    </row>
    <row r="2121" ht="18.75" customHeight="1">
      <c r="A2121" s="80" t="s">
        <v>822</v>
      </c>
      <c r="B2121" s="81" t="str">
        <f t="shared" si="1"/>
        <v>Kota Pontianak</v>
      </c>
      <c r="C2121" s="81" t="str">
        <f t="array" ref="C2121">XLOOKUP(B2121,Reference!$A$2:$A$152,Reference!$B$2:$B$152)</f>
        <v>Kalimantan Barat</v>
      </c>
      <c r="D2121" s="82" t="s">
        <v>2560</v>
      </c>
      <c r="E2121" s="83">
        <v>45323.0</v>
      </c>
      <c r="F2121" s="84" t="str">
        <f t="array" ref="F2121">XLOOKUP(G2121,Reference!$F:$F,Reference!$D:$D,"null")</f>
        <v>Rekreasi dan Kendaraan</v>
      </c>
      <c r="G2121" s="85" t="s">
        <v>102</v>
      </c>
      <c r="H2121" s="86">
        <v>104.73</v>
      </c>
      <c r="I2121" s="86">
        <v>104.73</v>
      </c>
      <c r="J2121" s="87">
        <f t="shared" si="2"/>
        <v>0</v>
      </c>
      <c r="K2121" s="84" t="str">
        <f t="shared" si="3"/>
        <v>Stabil</v>
      </c>
      <c r="L2121" s="84">
        <f t="shared" si="4"/>
        <v>0</v>
      </c>
      <c r="M2121" s="88" t="str">
        <f t="shared" si="5"/>
        <v>Perubahan Normal</v>
      </c>
    </row>
    <row r="2122" ht="18.75" customHeight="1">
      <c r="A2122" s="80" t="s">
        <v>542</v>
      </c>
      <c r="B2122" s="81" t="str">
        <f t="shared" si="1"/>
        <v>Kab Karo</v>
      </c>
      <c r="C2122" s="81" t="str">
        <f t="array" ref="C2122">XLOOKUP(B2122,Reference!$A$2:$A$152,Reference!$B$2:$B$152)</f>
        <v>Sumatera Utara</v>
      </c>
      <c r="D2122" s="82" t="s">
        <v>2561</v>
      </c>
      <c r="E2122" s="83">
        <v>45352.0</v>
      </c>
      <c r="F2122" s="84" t="str">
        <f t="array" ref="F2122">XLOOKUP(G2122,Reference!$F:$F,Reference!$D:$D,"null")</f>
        <v>Makanan dan Pakaian </v>
      </c>
      <c r="G2122" s="85" t="s">
        <v>56</v>
      </c>
      <c r="H2122" s="86">
        <v>96.57</v>
      </c>
      <c r="I2122" s="86">
        <v>96.65</v>
      </c>
      <c r="J2122" s="87">
        <f t="shared" si="2"/>
        <v>-0.08277289188</v>
      </c>
      <c r="K2122" s="84" t="str">
        <f t="shared" si="3"/>
        <v>Deflasi</v>
      </c>
      <c r="L2122" s="84">
        <f t="shared" si="4"/>
        <v>-0.08</v>
      </c>
      <c r="M2122" s="88" t="str">
        <f t="shared" si="5"/>
        <v>Perubahan Normal</v>
      </c>
    </row>
    <row r="2123" ht="18.75" customHeight="1">
      <c r="A2123" s="80" t="s">
        <v>576</v>
      </c>
      <c r="B2123" s="81" t="str">
        <f t="shared" si="1"/>
        <v>Kab Tabanan</v>
      </c>
      <c r="C2123" s="81" t="str">
        <f t="array" ref="C2123">XLOOKUP(B2123,Reference!$A$2:$A$152,Reference!$B$2:$B$152)</f>
        <v>Bali</v>
      </c>
      <c r="D2123" s="82" t="s">
        <v>2562</v>
      </c>
      <c r="E2123" s="83">
        <v>45323.0</v>
      </c>
      <c r="F2123" s="84" t="str">
        <f t="array" ref="F2123">XLOOKUP(G2123,Reference!$F:$F,Reference!$D:$D,"null")</f>
        <v>Makanan dan Pakaian </v>
      </c>
      <c r="G2123" s="85" t="s">
        <v>72</v>
      </c>
      <c r="H2123" s="86">
        <v>108.96</v>
      </c>
      <c r="I2123" s="86">
        <v>108.96</v>
      </c>
      <c r="J2123" s="87">
        <f t="shared" si="2"/>
        <v>0</v>
      </c>
      <c r="K2123" s="84" t="str">
        <f t="shared" si="3"/>
        <v>Stabil</v>
      </c>
      <c r="L2123" s="84">
        <f t="shared" si="4"/>
        <v>0</v>
      </c>
      <c r="M2123" s="88" t="str">
        <f t="shared" si="5"/>
        <v>Perubahan Normal</v>
      </c>
    </row>
    <row r="2124" ht="18.75" customHeight="1">
      <c r="A2124" s="80" t="s">
        <v>364</v>
      </c>
      <c r="B2124" s="81" t="str">
        <f t="shared" si="1"/>
        <v>Kab Tanah Laut</v>
      </c>
      <c r="C2124" s="81" t="str">
        <f t="array" ref="C2124">XLOOKUP(B2124,Reference!$A$2:$A$152,Reference!$B$2:$B$152)</f>
        <v>Kalimantan Selatan</v>
      </c>
      <c r="D2124" s="82" t="s">
        <v>2563</v>
      </c>
      <c r="E2124" s="83">
        <v>45323.0</v>
      </c>
      <c r="F2124" s="84" t="str">
        <f t="array" ref="F2124">XLOOKUP(G2124,Reference!$F:$F,Reference!$D:$D,"null")</f>
        <v>Rumah Tangga</v>
      </c>
      <c r="G2124" s="89" t="s">
        <v>80</v>
      </c>
      <c r="H2124" s="90">
        <v>103.32</v>
      </c>
      <c r="I2124" s="90">
        <v>103.32</v>
      </c>
      <c r="J2124" s="87">
        <f t="shared" si="2"/>
        <v>0</v>
      </c>
      <c r="K2124" s="84" t="str">
        <f t="shared" si="3"/>
        <v>Stabil</v>
      </c>
      <c r="L2124" s="91">
        <f t="shared" si="4"/>
        <v>0</v>
      </c>
      <c r="M2124" s="88" t="str">
        <f t="shared" si="5"/>
        <v>Perubahan Normal</v>
      </c>
    </row>
    <row r="2125" ht="18.75" customHeight="1">
      <c r="A2125" s="80" t="s">
        <v>512</v>
      </c>
      <c r="B2125" s="81" t="str">
        <f t="shared" si="1"/>
        <v>Kota Palu</v>
      </c>
      <c r="C2125" s="81" t="str">
        <f t="array" ref="C2125">XLOOKUP(B2125,Reference!$A$2:$A$152,Reference!$B$2:$B$152)</f>
        <v>Sulawesi Tengah</v>
      </c>
      <c r="D2125" s="82" t="s">
        <v>2564</v>
      </c>
      <c r="E2125" s="83">
        <v>45323.0</v>
      </c>
      <c r="F2125" s="84" t="str">
        <f t="array" ref="F2125">XLOOKUP(G2125,Reference!$F:$F,Reference!$D:$D,"null")</f>
        <v>Makanan dan Pakaian </v>
      </c>
      <c r="G2125" s="85" t="s">
        <v>72</v>
      </c>
      <c r="H2125" s="86">
        <v>103.53</v>
      </c>
      <c r="I2125" s="86">
        <v>102.69</v>
      </c>
      <c r="J2125" s="87">
        <f t="shared" si="2"/>
        <v>0.81799591</v>
      </c>
      <c r="K2125" s="84" t="str">
        <f t="shared" si="3"/>
        <v>Inflasi Tinggi</v>
      </c>
      <c r="L2125" s="84">
        <f t="shared" si="4"/>
        <v>0.84</v>
      </c>
      <c r="M2125" s="88" t="str">
        <f t="shared" si="5"/>
        <v>Akselerasi Persentase</v>
      </c>
    </row>
    <row r="2126" ht="18.75" customHeight="1">
      <c r="A2126" s="80" t="s">
        <v>762</v>
      </c>
      <c r="B2126" s="81" t="str">
        <f t="shared" si="1"/>
        <v>Kota Pangkal Pinang</v>
      </c>
      <c r="C2126" s="81" t="str">
        <f t="array" ref="C2126">XLOOKUP(B2126,Reference!$A$2:$A$152,Reference!$B$2:$B$152)</f>
        <v>Kepulauan Bangka Belitung</v>
      </c>
      <c r="D2126" s="82" t="s">
        <v>2565</v>
      </c>
      <c r="E2126" s="83">
        <v>45352.0</v>
      </c>
      <c r="F2126" s="84" t="str">
        <f t="array" ref="F2126">XLOOKUP(G2126,Reference!$F:$F,Reference!$D:$D,"null")</f>
        <v>Rekreasi dan Kendaraan</v>
      </c>
      <c r="G2126" s="89" t="s">
        <v>105</v>
      </c>
      <c r="H2126" s="90">
        <v>100.69</v>
      </c>
      <c r="I2126" s="90">
        <v>100.29</v>
      </c>
      <c r="J2126" s="87">
        <f t="shared" si="2"/>
        <v>0.3988433543</v>
      </c>
      <c r="K2126" s="84" t="str">
        <f t="shared" si="3"/>
        <v>Inflasi Normal</v>
      </c>
      <c r="L2126" s="91">
        <f t="shared" si="4"/>
        <v>0.4</v>
      </c>
      <c r="M2126" s="88" t="str">
        <f t="shared" si="5"/>
        <v>Perubahan Normal</v>
      </c>
    </row>
    <row r="2127" ht="18.75" customHeight="1">
      <c r="A2127" s="80" t="s">
        <v>380</v>
      </c>
      <c r="B2127" s="81" t="str">
        <f t="shared" si="1"/>
        <v>Kota Bengkulu</v>
      </c>
      <c r="C2127" s="81" t="str">
        <f t="array" ref="C2127">XLOOKUP(B2127,Reference!$A$2:$A$152,Reference!$B$2:$B$152)</f>
        <v>Bengkulu</v>
      </c>
      <c r="D2127" s="82" t="s">
        <v>2566</v>
      </c>
      <c r="E2127" s="83">
        <v>45352.0</v>
      </c>
      <c r="F2127" s="84" t="str">
        <f t="array" ref="F2127">XLOOKUP(G2127,Reference!$F:$F,Reference!$D:$D,"null")</f>
        <v>Makanan dan Pakaian </v>
      </c>
      <c r="G2127" s="85" t="s">
        <v>72</v>
      </c>
      <c r="H2127" s="86">
        <v>100.61</v>
      </c>
      <c r="I2127" s="86">
        <v>100.04</v>
      </c>
      <c r="J2127" s="87">
        <f t="shared" si="2"/>
        <v>0.5697720912</v>
      </c>
      <c r="K2127" s="84" t="str">
        <f t="shared" si="3"/>
        <v>Inflasi Tinggi</v>
      </c>
      <c r="L2127" s="84">
        <f t="shared" si="4"/>
        <v>0.57</v>
      </c>
      <c r="M2127" s="88" t="str">
        <f t="shared" si="5"/>
        <v>Akselerasi Persentase</v>
      </c>
    </row>
    <row r="2128" ht="18.75" customHeight="1">
      <c r="A2128" s="80" t="s">
        <v>364</v>
      </c>
      <c r="B2128" s="81" t="str">
        <f t="shared" si="1"/>
        <v>Kab Tanah Laut</v>
      </c>
      <c r="C2128" s="81" t="str">
        <f t="array" ref="C2128">XLOOKUP(B2128,Reference!$A$2:$A$152,Reference!$B$2:$B$152)</f>
        <v>Kalimantan Selatan</v>
      </c>
      <c r="D2128" s="82" t="s">
        <v>2567</v>
      </c>
      <c r="E2128" s="83">
        <v>45352.0</v>
      </c>
      <c r="F2128" s="84" t="str">
        <f t="array" ref="F2128">XLOOKUP(G2128,Reference!$F:$F,Reference!$D:$D,"null")</f>
        <v>Rekreasi dan Kendaraan</v>
      </c>
      <c r="G2128" s="85" t="s">
        <v>102</v>
      </c>
      <c r="H2128" s="86">
        <v>96.2</v>
      </c>
      <c r="I2128" s="86">
        <v>96.2</v>
      </c>
      <c r="J2128" s="87">
        <f t="shared" si="2"/>
        <v>0</v>
      </c>
      <c r="K2128" s="84" t="str">
        <f t="shared" si="3"/>
        <v>Stabil</v>
      </c>
      <c r="L2128" s="84">
        <f t="shared" si="4"/>
        <v>0</v>
      </c>
      <c r="M2128" s="88" t="str">
        <f t="shared" si="5"/>
        <v>Perubahan Normal</v>
      </c>
    </row>
    <row r="2129" ht="18.75" customHeight="1">
      <c r="A2129" s="80" t="s">
        <v>429</v>
      </c>
      <c r="B2129" s="81" t="str">
        <f t="shared" si="1"/>
        <v>Kab Nabire</v>
      </c>
      <c r="C2129" s="81" t="str">
        <f t="array" ref="C2129">XLOOKUP(B2129,Reference!$A$2:$A$152,Reference!$B$2:$B$152)</f>
        <v>Papua</v>
      </c>
      <c r="D2129" s="82" t="s">
        <v>2568</v>
      </c>
      <c r="E2129" s="83">
        <v>45323.0</v>
      </c>
      <c r="F2129" s="84" t="str">
        <f t="array" ref="F2129">XLOOKUP(G2129,Reference!$F:$F,Reference!$D:$D,"null")</f>
        <v>Makanan dan Pakaian </v>
      </c>
      <c r="G2129" s="85" t="s">
        <v>48</v>
      </c>
      <c r="H2129" s="86">
        <v>107.96</v>
      </c>
      <c r="I2129" s="86">
        <v>112.99</v>
      </c>
      <c r="J2129" s="87">
        <f t="shared" si="2"/>
        <v>-4.451721391</v>
      </c>
      <c r="K2129" s="84" t="str">
        <f t="shared" si="3"/>
        <v>Deflasi</v>
      </c>
      <c r="L2129" s="84">
        <f t="shared" si="4"/>
        <v>-5.03</v>
      </c>
      <c r="M2129" s="88" t="str">
        <f t="shared" si="5"/>
        <v>Perubahan Normal</v>
      </c>
    </row>
    <row r="2130" ht="18.75" customHeight="1">
      <c r="A2130" s="80" t="s">
        <v>408</v>
      </c>
      <c r="B2130" s="81" t="str">
        <f t="shared" si="1"/>
        <v>Manokwari</v>
      </c>
      <c r="C2130" s="81" t="str">
        <f t="array" ref="C2130">XLOOKUP(B2130,Reference!$A$2:$A$152,Reference!$B$2:$B$152)</f>
        <v>Papua Barat Daya</v>
      </c>
      <c r="D2130" s="82" t="s">
        <v>2569</v>
      </c>
      <c r="E2130" s="83">
        <v>45323.0</v>
      </c>
      <c r="F2130" s="84" t="str">
        <f t="array" ref="F2130">XLOOKUP(G2130,Reference!$F:$F,Reference!$D:$D,"null")</f>
        <v>Rumah Tangga</v>
      </c>
      <c r="G2130" s="85" t="s">
        <v>89</v>
      </c>
      <c r="H2130" s="86">
        <v>102.28</v>
      </c>
      <c r="I2130" s="86">
        <v>102.28</v>
      </c>
      <c r="J2130" s="87">
        <f t="shared" si="2"/>
        <v>0</v>
      </c>
      <c r="K2130" s="84" t="str">
        <f t="shared" si="3"/>
        <v>Stabil</v>
      </c>
      <c r="L2130" s="84">
        <f t="shared" si="4"/>
        <v>0</v>
      </c>
      <c r="M2130" s="88" t="str">
        <f t="shared" si="5"/>
        <v>Perubahan Normal</v>
      </c>
    </row>
    <row r="2131" ht="18.75" customHeight="1">
      <c r="A2131" s="80" t="s">
        <v>462</v>
      </c>
      <c r="B2131" s="81" t="str">
        <f t="shared" si="1"/>
        <v>Kota Probolinggo</v>
      </c>
      <c r="C2131" s="81" t="str">
        <f t="array" ref="C2131">XLOOKUP(B2131,Reference!$A$2:$A$152,Reference!$B$2:$B$152)</f>
        <v>Jawa Timur</v>
      </c>
      <c r="D2131" s="82" t="s">
        <v>2570</v>
      </c>
      <c r="E2131" s="83">
        <v>45323.0</v>
      </c>
      <c r="F2131" s="84" t="str">
        <f t="array" ref="F2131">XLOOKUP(G2131,Reference!$F:$F,Reference!$D:$D,"null")</f>
        <v>Rumah Tangga</v>
      </c>
      <c r="G2131" s="85" t="s">
        <v>89</v>
      </c>
      <c r="H2131" s="86">
        <v>109.15</v>
      </c>
      <c r="I2131" s="86">
        <v>109.15</v>
      </c>
      <c r="J2131" s="87">
        <f t="shared" si="2"/>
        <v>0</v>
      </c>
      <c r="K2131" s="84" t="str">
        <f t="shared" si="3"/>
        <v>Stabil</v>
      </c>
      <c r="L2131" s="84">
        <f t="shared" si="4"/>
        <v>0</v>
      </c>
      <c r="M2131" s="88" t="str">
        <f t="shared" si="5"/>
        <v>Perubahan Normal</v>
      </c>
    </row>
    <row r="2132" ht="18.75" customHeight="1">
      <c r="A2132" s="80" t="s">
        <v>456</v>
      </c>
      <c r="B2132" s="81" t="str">
        <f t="shared" si="1"/>
        <v>Kab Aceh Tamiang</v>
      </c>
      <c r="C2132" s="81" t="str">
        <f t="array" ref="C2132">XLOOKUP(B2132,Reference!$A$2:$A$152,Reference!$B$2:$B$152)</f>
        <v>Aceh</v>
      </c>
      <c r="D2132" s="82" t="s">
        <v>2571</v>
      </c>
      <c r="E2132" s="83">
        <v>45323.0</v>
      </c>
      <c r="F2132" s="84" t="str">
        <f t="array" ref="F2132">XLOOKUP(G2132,Reference!$F:$F,Reference!$D:$D,"null")</f>
        <v>Pendidikan dan Kesehatan</v>
      </c>
      <c r="G2132" s="85" t="s">
        <v>95</v>
      </c>
      <c r="H2132" s="86">
        <v>102.36</v>
      </c>
      <c r="I2132" s="86">
        <v>102.36</v>
      </c>
      <c r="J2132" s="87">
        <f t="shared" si="2"/>
        <v>0</v>
      </c>
      <c r="K2132" s="84" t="str">
        <f t="shared" si="3"/>
        <v>Stabil</v>
      </c>
      <c r="L2132" s="84">
        <f t="shared" si="4"/>
        <v>0</v>
      </c>
      <c r="M2132" s="88" t="str">
        <f t="shared" si="5"/>
        <v>Perubahan Normal</v>
      </c>
    </row>
    <row r="2133" ht="18.75" customHeight="1">
      <c r="A2133" s="80" t="s">
        <v>333</v>
      </c>
      <c r="B2133" s="81" t="str">
        <f t="shared" si="1"/>
        <v>Kab Pasaman Barat</v>
      </c>
      <c r="C2133" s="81" t="str">
        <f t="array" ref="C2133">XLOOKUP(B2133,Reference!$A$2:$A$152,Reference!$B$2:$B$152)</f>
        <v>Sumatera Barat</v>
      </c>
      <c r="D2133" s="82" t="s">
        <v>2572</v>
      </c>
      <c r="E2133" s="83">
        <v>45352.0</v>
      </c>
      <c r="F2133" s="84" t="str">
        <f t="array" ref="F2133">XLOOKUP(G2133,Reference!$F:$F,Reference!$D:$D,"null")</f>
        <v>Rekreasi dan Kendaraan</v>
      </c>
      <c r="G2133" s="85" t="s">
        <v>102</v>
      </c>
      <c r="H2133" s="86">
        <v>108.99</v>
      </c>
      <c r="I2133" s="86">
        <v>103.04</v>
      </c>
      <c r="J2133" s="87">
        <f t="shared" si="2"/>
        <v>5.774456522</v>
      </c>
      <c r="K2133" s="84" t="str">
        <f t="shared" si="3"/>
        <v>Inflasi Tinggi</v>
      </c>
      <c r="L2133" s="84">
        <f t="shared" si="4"/>
        <v>5.95</v>
      </c>
      <c r="M2133" s="88" t="str">
        <f t="shared" si="5"/>
        <v>Akselerasi Kuat</v>
      </c>
    </row>
    <row r="2134" ht="18.75" customHeight="1">
      <c r="A2134" s="80" t="s">
        <v>492</v>
      </c>
      <c r="B2134" s="81" t="str">
        <f t="shared" si="1"/>
        <v>Kota Cilegon</v>
      </c>
      <c r="C2134" s="81" t="str">
        <f t="array" ref="C2134">XLOOKUP(B2134,Reference!$A$2:$A$152,Reference!$B$2:$B$152)</f>
        <v>Banten</v>
      </c>
      <c r="D2134" s="82" t="s">
        <v>2573</v>
      </c>
      <c r="E2134" s="83">
        <v>45352.0</v>
      </c>
      <c r="F2134" s="84" t="str">
        <f t="array" ref="F2134">XLOOKUP(G2134,Reference!$F:$F,Reference!$D:$D,"null")</f>
        <v>Makanan dan Pakaian </v>
      </c>
      <c r="G2134" s="85" t="s">
        <v>72</v>
      </c>
      <c r="H2134" s="86">
        <v>103.26</v>
      </c>
      <c r="I2134" s="86">
        <v>102.14</v>
      </c>
      <c r="J2134" s="87">
        <f t="shared" si="2"/>
        <v>1.096534169</v>
      </c>
      <c r="K2134" s="84" t="str">
        <f t="shared" si="3"/>
        <v>Inflasi Tinggi</v>
      </c>
      <c r="L2134" s="84">
        <f t="shared" si="4"/>
        <v>1.12</v>
      </c>
      <c r="M2134" s="88" t="str">
        <f t="shared" si="5"/>
        <v>Akselerasi Persentase</v>
      </c>
    </row>
    <row r="2135" ht="18.75" customHeight="1">
      <c r="A2135" s="80" t="s">
        <v>312</v>
      </c>
      <c r="B2135" s="81" t="str">
        <f t="shared" si="1"/>
        <v>Kab Jayawijaya</v>
      </c>
      <c r="C2135" s="81" t="str">
        <f t="array" ref="C2135">XLOOKUP(B2135,Reference!$A$2:$A$152,Reference!$B$2:$B$152)</f>
        <v>Papua</v>
      </c>
      <c r="D2135" s="82" t="s">
        <v>2574</v>
      </c>
      <c r="E2135" s="83">
        <v>45352.0</v>
      </c>
      <c r="F2135" s="84" t="str">
        <f t="array" ref="F2135">XLOOKUP(G2135,Reference!$F:$F,Reference!$D:$D,"null")</f>
        <v>Rumah Tangga</v>
      </c>
      <c r="G2135" s="85" t="s">
        <v>89</v>
      </c>
      <c r="H2135" s="86">
        <v>95.18</v>
      </c>
      <c r="I2135" s="86">
        <v>95.18</v>
      </c>
      <c r="J2135" s="87">
        <f t="shared" si="2"/>
        <v>0</v>
      </c>
      <c r="K2135" s="84" t="str">
        <f t="shared" si="3"/>
        <v>Stabil</v>
      </c>
      <c r="L2135" s="84">
        <f t="shared" si="4"/>
        <v>0</v>
      </c>
      <c r="M2135" s="88" t="str">
        <f t="shared" si="5"/>
        <v>Perubahan Normal</v>
      </c>
    </row>
    <row r="2136" ht="18.75" customHeight="1">
      <c r="A2136" s="80" t="s">
        <v>414</v>
      </c>
      <c r="B2136" s="81" t="str">
        <f t="shared" si="1"/>
        <v>Kota Bandung</v>
      </c>
      <c r="C2136" s="81" t="str">
        <f t="array" ref="C2136">XLOOKUP(B2136,Reference!$A$2:$A$152,Reference!$B$2:$B$152)</f>
        <v>Jawa Barat</v>
      </c>
      <c r="D2136" s="82" t="s">
        <v>2575</v>
      </c>
      <c r="E2136" s="83">
        <v>45323.0</v>
      </c>
      <c r="F2136" s="84" t="str">
        <f t="array" ref="F2136">XLOOKUP(G2136,Reference!$F:$F,Reference!$D:$D,"null")</f>
        <v>Pendidikan dan Kesehatan</v>
      </c>
      <c r="G2136" s="85" t="s">
        <v>95</v>
      </c>
      <c r="H2136" s="86">
        <v>100.84</v>
      </c>
      <c r="I2136" s="86">
        <v>100.84</v>
      </c>
      <c r="J2136" s="87">
        <f t="shared" si="2"/>
        <v>0</v>
      </c>
      <c r="K2136" s="84" t="str">
        <f t="shared" si="3"/>
        <v>Stabil</v>
      </c>
      <c r="L2136" s="84">
        <f t="shared" si="4"/>
        <v>0</v>
      </c>
      <c r="M2136" s="88" t="str">
        <f t="shared" si="5"/>
        <v>Perubahan Normal</v>
      </c>
    </row>
    <row r="2137" ht="18.75" customHeight="1">
      <c r="A2137" s="80" t="s">
        <v>578</v>
      </c>
      <c r="B2137" s="81" t="str">
        <f t="shared" si="1"/>
        <v>Kab Belitung Timur</v>
      </c>
      <c r="C2137" s="81" t="str">
        <f t="array" ref="C2137">XLOOKUP(B2137,Reference!$A$2:$A$152,Reference!$B$2:$B$152)</f>
        <v>Kepulauan Bangka Belitung</v>
      </c>
      <c r="D2137" s="82" t="s">
        <v>2576</v>
      </c>
      <c r="E2137" s="83">
        <v>45323.0</v>
      </c>
      <c r="F2137" s="84" t="str">
        <f t="array" ref="F2137">XLOOKUP(G2137,Reference!$F:$F,Reference!$D:$D,"null")</f>
        <v>Makanan dan Pakaian </v>
      </c>
      <c r="G2137" s="85" t="s">
        <v>48</v>
      </c>
      <c r="H2137" s="86">
        <v>98.61</v>
      </c>
      <c r="I2137" s="86">
        <v>98.08</v>
      </c>
      <c r="J2137" s="87">
        <f t="shared" si="2"/>
        <v>0.5403752039</v>
      </c>
      <c r="K2137" s="84" t="str">
        <f t="shared" si="3"/>
        <v>Inflasi Tinggi</v>
      </c>
      <c r="L2137" s="84">
        <f t="shared" si="4"/>
        <v>0.53</v>
      </c>
      <c r="M2137" s="88" t="str">
        <f t="shared" si="5"/>
        <v>Akselerasi Persentase</v>
      </c>
    </row>
    <row r="2138" ht="18.75" customHeight="1">
      <c r="A2138" s="80" t="s">
        <v>466</v>
      </c>
      <c r="B2138" s="81" t="str">
        <f t="shared" si="1"/>
        <v>Kota Surabaya</v>
      </c>
      <c r="C2138" s="81" t="str">
        <f t="array" ref="C2138">XLOOKUP(B2138,Reference!$A$2:$A$152,Reference!$B$2:$B$152)</f>
        <v>Jawa Timur</v>
      </c>
      <c r="D2138" s="82" t="s">
        <v>2577</v>
      </c>
      <c r="E2138" s="83">
        <v>45323.0</v>
      </c>
      <c r="F2138" s="84" t="str">
        <f t="array" ref="F2138">XLOOKUP(G2138,Reference!$F:$F,Reference!$D:$D,"null")</f>
        <v>Rekreasi dan Kendaraan</v>
      </c>
      <c r="G2138" s="85" t="s">
        <v>105</v>
      </c>
      <c r="H2138" s="86">
        <v>104.72</v>
      </c>
      <c r="I2138" s="86">
        <v>103.65</v>
      </c>
      <c r="J2138" s="87">
        <f t="shared" si="2"/>
        <v>1.032320309</v>
      </c>
      <c r="K2138" s="84" t="str">
        <f t="shared" si="3"/>
        <v>Inflasi Tinggi</v>
      </c>
      <c r="L2138" s="84">
        <f t="shared" si="4"/>
        <v>1.07</v>
      </c>
      <c r="M2138" s="88" t="str">
        <f t="shared" si="5"/>
        <v>Akselerasi Persentase</v>
      </c>
    </row>
    <row r="2139" ht="18.75" customHeight="1">
      <c r="A2139" s="80" t="s">
        <v>1031</v>
      </c>
      <c r="B2139" s="81" t="str">
        <f t="shared" si="1"/>
        <v>Kab Majene</v>
      </c>
      <c r="C2139" s="81" t="str">
        <f t="array" ref="C2139">XLOOKUP(B2139,Reference!$A$2:$A$152,Reference!$B$2:$B$152)</f>
        <v>Sulawesi Barat</v>
      </c>
      <c r="D2139" s="82" t="s">
        <v>2578</v>
      </c>
      <c r="E2139" s="83">
        <v>45352.0</v>
      </c>
      <c r="F2139" s="84" t="str">
        <f t="array" ref="F2139">XLOOKUP(G2139,Reference!$F:$F,Reference!$D:$D,"null")</f>
        <v>Makanan dan Pakaian </v>
      </c>
      <c r="G2139" s="85" t="s">
        <v>56</v>
      </c>
      <c r="H2139" s="86">
        <v>103.23</v>
      </c>
      <c r="I2139" s="86">
        <v>102.92</v>
      </c>
      <c r="J2139" s="87">
        <f t="shared" si="2"/>
        <v>0.3012048193</v>
      </c>
      <c r="K2139" s="84" t="str">
        <f t="shared" si="3"/>
        <v>Inflasi Normal</v>
      </c>
      <c r="L2139" s="84">
        <f t="shared" si="4"/>
        <v>0.31</v>
      </c>
      <c r="M2139" s="88" t="str">
        <f t="shared" si="5"/>
        <v>Perubahan Normal</v>
      </c>
    </row>
    <row r="2140" ht="18.75" customHeight="1">
      <c r="A2140" s="80" t="s">
        <v>628</v>
      </c>
      <c r="B2140" s="81" t="str">
        <f t="shared" si="1"/>
        <v>Watampone</v>
      </c>
      <c r="C2140" s="81" t="str">
        <f t="array" ref="C2140">XLOOKUP(B2140,Reference!$A$2:$A$152,Reference!$B$2:$B$152)</f>
        <v>Sulawesi Selatan</v>
      </c>
      <c r="D2140" s="82" t="s">
        <v>2579</v>
      </c>
      <c r="E2140" s="83">
        <v>45352.0</v>
      </c>
      <c r="F2140" s="84" t="str">
        <f t="array" ref="F2140">XLOOKUP(G2140,Reference!$F:$F,Reference!$D:$D,"null")</f>
        <v>Makanan dan Pakaian </v>
      </c>
      <c r="G2140" s="85" t="s">
        <v>56</v>
      </c>
      <c r="H2140" s="86">
        <v>105.19</v>
      </c>
      <c r="I2140" s="86">
        <v>104.5</v>
      </c>
      <c r="J2140" s="87">
        <f t="shared" si="2"/>
        <v>0.6602870813</v>
      </c>
      <c r="K2140" s="84" t="str">
        <f t="shared" si="3"/>
        <v>Inflasi Tinggi</v>
      </c>
      <c r="L2140" s="84">
        <f t="shared" si="4"/>
        <v>0.69</v>
      </c>
      <c r="M2140" s="88" t="str">
        <f t="shared" si="5"/>
        <v>Akselerasi Persentase</v>
      </c>
    </row>
    <row r="2141" ht="18.75" customHeight="1">
      <c r="A2141" s="80" t="s">
        <v>578</v>
      </c>
      <c r="B2141" s="81" t="str">
        <f t="shared" si="1"/>
        <v>Kab Belitung Timur</v>
      </c>
      <c r="C2141" s="81" t="str">
        <f t="array" ref="C2141">XLOOKUP(B2141,Reference!$A$2:$A$152,Reference!$B$2:$B$152)</f>
        <v>Kepulauan Bangka Belitung</v>
      </c>
      <c r="D2141" s="82" t="s">
        <v>2580</v>
      </c>
      <c r="E2141" s="83">
        <v>45352.0</v>
      </c>
      <c r="F2141" s="84" t="str">
        <f t="array" ref="F2141">XLOOKUP(G2141,Reference!$F:$F,Reference!$D:$D,"null")</f>
        <v>Pendidikan dan Kesehatan</v>
      </c>
      <c r="G2141" s="85" t="s">
        <v>98</v>
      </c>
      <c r="H2141" s="86">
        <v>106.04</v>
      </c>
      <c r="I2141" s="86">
        <v>105.8</v>
      </c>
      <c r="J2141" s="87">
        <f t="shared" si="2"/>
        <v>0.2268431002</v>
      </c>
      <c r="K2141" s="84" t="str">
        <f t="shared" si="3"/>
        <v>Inflasi Normal</v>
      </c>
      <c r="L2141" s="84">
        <f t="shared" si="4"/>
        <v>0.24</v>
      </c>
      <c r="M2141" s="88" t="str">
        <f t="shared" si="5"/>
        <v>Perubahan Normal</v>
      </c>
    </row>
    <row r="2142" ht="18.75" customHeight="1">
      <c r="A2142" s="80" t="s">
        <v>460</v>
      </c>
      <c r="B2142" s="81" t="str">
        <f t="shared" si="1"/>
        <v>Kab Kayong Utara</v>
      </c>
      <c r="C2142" s="81" t="str">
        <f t="array" ref="C2142">XLOOKUP(B2142,Reference!$A$2:$A$152,Reference!$B$2:$B$152)</f>
        <v>Kalimantan Barat</v>
      </c>
      <c r="D2142" s="82" t="s">
        <v>2581</v>
      </c>
      <c r="E2142" s="83">
        <v>45352.0</v>
      </c>
      <c r="F2142" s="84" t="str">
        <f t="array" ref="F2142">XLOOKUP(G2142,Reference!$F:$F,Reference!$D:$D,"null")</f>
        <v>Rumah Tangga</v>
      </c>
      <c r="G2142" s="85" t="s">
        <v>80</v>
      </c>
      <c r="H2142" s="86">
        <v>101.38</v>
      </c>
      <c r="I2142" s="86">
        <v>101.38</v>
      </c>
      <c r="J2142" s="87">
        <f t="shared" si="2"/>
        <v>0</v>
      </c>
      <c r="K2142" s="84" t="str">
        <f t="shared" si="3"/>
        <v>Stabil</v>
      </c>
      <c r="L2142" s="84">
        <f t="shared" si="4"/>
        <v>0</v>
      </c>
      <c r="M2142" s="88" t="str">
        <f t="shared" si="5"/>
        <v>Perubahan Normal</v>
      </c>
    </row>
    <row r="2143" ht="18.75" customHeight="1">
      <c r="A2143" s="80" t="s">
        <v>423</v>
      </c>
      <c r="B2143" s="81" t="str">
        <f t="shared" si="1"/>
        <v>Kota Kotamobagu</v>
      </c>
      <c r="C2143" s="81" t="str">
        <f t="array" ref="C2143">XLOOKUP(B2143,Reference!$A$2:$A$152,Reference!$B$2:$B$152)</f>
        <v>Sulawesi Utara</v>
      </c>
      <c r="D2143" s="82" t="s">
        <v>2582</v>
      </c>
      <c r="E2143" s="83">
        <v>45323.0</v>
      </c>
      <c r="F2143" s="84" t="str">
        <f t="array" ref="F2143">XLOOKUP(G2143,Reference!$F:$F,Reference!$D:$D,"null")</f>
        <v>Rumah Tangga</v>
      </c>
      <c r="G2143" s="85" t="s">
        <v>89</v>
      </c>
      <c r="H2143" s="86">
        <v>100.95</v>
      </c>
      <c r="I2143" s="86">
        <v>100.95</v>
      </c>
      <c r="J2143" s="87">
        <f t="shared" si="2"/>
        <v>0</v>
      </c>
      <c r="K2143" s="84" t="str">
        <f t="shared" si="3"/>
        <v>Stabil</v>
      </c>
      <c r="L2143" s="84">
        <f t="shared" si="4"/>
        <v>0</v>
      </c>
      <c r="M2143" s="88" t="str">
        <f t="shared" si="5"/>
        <v>Perubahan Normal</v>
      </c>
    </row>
    <row r="2144" ht="18.75" customHeight="1">
      <c r="A2144" s="80" t="s">
        <v>706</v>
      </c>
      <c r="B2144" s="81" t="str">
        <f t="shared" si="1"/>
        <v>Kota Makassar</v>
      </c>
      <c r="C2144" s="81" t="str">
        <f t="array" ref="C2144">XLOOKUP(B2144,Reference!$A$2:$A$152,Reference!$B$2:$B$152)</f>
        <v>Sulawesi Selatan</v>
      </c>
      <c r="D2144" s="82" t="s">
        <v>2583</v>
      </c>
      <c r="E2144" s="83">
        <v>45323.0</v>
      </c>
      <c r="F2144" s="84" t="str">
        <f t="array" ref="F2144">XLOOKUP(G2144,Reference!$F:$F,Reference!$D:$D,"null")</f>
        <v>Pendidikan dan Kesehatan</v>
      </c>
      <c r="G2144" s="85" t="s">
        <v>98</v>
      </c>
      <c r="H2144" s="86">
        <v>103.15</v>
      </c>
      <c r="I2144" s="86">
        <v>103.04</v>
      </c>
      <c r="J2144" s="87">
        <f t="shared" si="2"/>
        <v>0.1067546584</v>
      </c>
      <c r="K2144" s="84" t="str">
        <f t="shared" si="3"/>
        <v>Inflasi Normal</v>
      </c>
      <c r="L2144" s="84">
        <f t="shared" si="4"/>
        <v>0.11</v>
      </c>
      <c r="M2144" s="88" t="str">
        <f t="shared" si="5"/>
        <v>Perubahan Normal</v>
      </c>
    </row>
    <row r="2145" ht="18.75" customHeight="1">
      <c r="A2145" s="80" t="s">
        <v>558</v>
      </c>
      <c r="B2145" s="81" t="str">
        <f t="shared" si="1"/>
        <v>Kab Kapuas</v>
      </c>
      <c r="C2145" s="81" t="str">
        <f t="array" ref="C2145">XLOOKUP(B2145,Reference!$A$2:$A$152,Reference!$B$2:$B$152)</f>
        <v>Kalimantan Tengah</v>
      </c>
      <c r="D2145" s="82" t="s">
        <v>2584</v>
      </c>
      <c r="E2145" s="83">
        <v>45352.0</v>
      </c>
      <c r="F2145" s="84" t="str">
        <f t="array" ref="F2145">XLOOKUP(G2145,Reference!$F:$F,Reference!$D:$D,"null")</f>
        <v>Pendidikan dan Kesehatan</v>
      </c>
      <c r="G2145" s="85" t="s">
        <v>98</v>
      </c>
      <c r="H2145" s="86">
        <v>95.69</v>
      </c>
      <c r="I2145" s="86">
        <v>95.69</v>
      </c>
      <c r="J2145" s="87">
        <f t="shared" si="2"/>
        <v>0</v>
      </c>
      <c r="K2145" s="84" t="str">
        <f t="shared" si="3"/>
        <v>Stabil</v>
      </c>
      <c r="L2145" s="84">
        <f t="shared" si="4"/>
        <v>0</v>
      </c>
      <c r="M2145" s="88" t="str">
        <f t="shared" si="5"/>
        <v>Perubahan Normal</v>
      </c>
    </row>
    <row r="2146" ht="18.75" customHeight="1">
      <c r="A2146" s="80" t="s">
        <v>578</v>
      </c>
      <c r="B2146" s="81" t="str">
        <f t="shared" si="1"/>
        <v>Kab Belitung Timur</v>
      </c>
      <c r="C2146" s="81" t="str">
        <f t="array" ref="C2146">XLOOKUP(B2146,Reference!$A$2:$A$152,Reference!$B$2:$B$152)</f>
        <v>Kepulauan Bangka Belitung</v>
      </c>
      <c r="D2146" s="82" t="s">
        <v>2585</v>
      </c>
      <c r="E2146" s="83">
        <v>45352.0</v>
      </c>
      <c r="F2146" s="84" t="str">
        <f t="array" ref="F2146">XLOOKUP(G2146,Reference!$F:$F,Reference!$D:$D,"null")</f>
        <v>Makanan dan Pakaian </v>
      </c>
      <c r="G2146" s="85" t="s">
        <v>64</v>
      </c>
      <c r="H2146" s="86">
        <v>110.6</v>
      </c>
      <c r="I2146" s="86">
        <v>110.6</v>
      </c>
      <c r="J2146" s="87">
        <f t="shared" si="2"/>
        <v>0</v>
      </c>
      <c r="K2146" s="84" t="str">
        <f t="shared" si="3"/>
        <v>Stabil</v>
      </c>
      <c r="L2146" s="84">
        <f t="shared" si="4"/>
        <v>0</v>
      </c>
      <c r="M2146" s="88" t="str">
        <f t="shared" si="5"/>
        <v>Perubahan Normal</v>
      </c>
    </row>
    <row r="2147" ht="18.75" customHeight="1">
      <c r="A2147" s="80" t="s">
        <v>380</v>
      </c>
      <c r="B2147" s="81" t="str">
        <f t="shared" si="1"/>
        <v>Kota Bengkulu</v>
      </c>
      <c r="C2147" s="81" t="str">
        <f t="array" ref="C2147">XLOOKUP(B2147,Reference!$A$2:$A$152,Reference!$B$2:$B$152)</f>
        <v>Bengkulu</v>
      </c>
      <c r="D2147" s="82" t="s">
        <v>2586</v>
      </c>
      <c r="E2147" s="83">
        <v>45352.0</v>
      </c>
      <c r="F2147" s="84" t="str">
        <f t="array" ref="F2147">XLOOKUP(G2147,Reference!$F:$F,Reference!$D:$D,"null")</f>
        <v>Makanan dan Pakaian </v>
      </c>
      <c r="G2147" s="85" t="s">
        <v>64</v>
      </c>
      <c r="H2147" s="86">
        <v>103.45</v>
      </c>
      <c r="I2147" s="86">
        <v>103.45</v>
      </c>
      <c r="J2147" s="87">
        <f t="shared" si="2"/>
        <v>0</v>
      </c>
      <c r="K2147" s="84" t="str">
        <f t="shared" si="3"/>
        <v>Stabil</v>
      </c>
      <c r="L2147" s="84">
        <f t="shared" si="4"/>
        <v>0</v>
      </c>
      <c r="M2147" s="88" t="str">
        <f t="shared" si="5"/>
        <v>Perubahan Normal</v>
      </c>
    </row>
    <row r="2148" ht="18.75" customHeight="1">
      <c r="A2148" s="80" t="s">
        <v>1282</v>
      </c>
      <c r="B2148" s="81" t="str">
        <f t="shared" si="1"/>
        <v>Kota Bima</v>
      </c>
      <c r="C2148" s="81" t="str">
        <f t="array" ref="C2148">XLOOKUP(B2148,Reference!$A$2:$A$152,Reference!$B$2:$B$152)</f>
        <v>Nusa Tenggara Barat (NTB)</v>
      </c>
      <c r="D2148" s="82" t="s">
        <v>2587</v>
      </c>
      <c r="E2148" s="83">
        <v>45323.0</v>
      </c>
      <c r="F2148" s="84" t="str">
        <f t="array" ref="F2148">XLOOKUP(G2148,Reference!$F:$F,Reference!$D:$D,"null")</f>
        <v>Rumah Tangga</v>
      </c>
      <c r="G2148" s="85" t="s">
        <v>84</v>
      </c>
      <c r="H2148" s="86">
        <v>102.09</v>
      </c>
      <c r="I2148" s="86">
        <v>102.05</v>
      </c>
      <c r="J2148" s="87">
        <f t="shared" si="2"/>
        <v>0.03919647232</v>
      </c>
      <c r="K2148" s="84" t="str">
        <f t="shared" si="3"/>
        <v>Inflasi Normal</v>
      </c>
      <c r="L2148" s="84">
        <f t="shared" si="4"/>
        <v>0.04</v>
      </c>
      <c r="M2148" s="88" t="str">
        <f t="shared" si="5"/>
        <v>Perubahan Normal</v>
      </c>
    </row>
    <row r="2149" ht="18.75" customHeight="1">
      <c r="A2149" s="80" t="s">
        <v>384</v>
      </c>
      <c r="B2149" s="81" t="str">
        <f t="shared" si="1"/>
        <v>Kab Lebak</v>
      </c>
      <c r="C2149" s="81" t="str">
        <f t="array" ref="C2149">XLOOKUP(B2149,Reference!$A$2:$A$152,Reference!$B$2:$B$152)</f>
        <v>Banten</v>
      </c>
      <c r="D2149" s="82" t="s">
        <v>2588</v>
      </c>
      <c r="E2149" s="83">
        <v>45352.0</v>
      </c>
      <c r="F2149" s="84" t="str">
        <f t="array" ref="F2149">XLOOKUP(G2149,Reference!$F:$F,Reference!$D:$D,"null")</f>
        <v>Makanan dan Pakaian </v>
      </c>
      <c r="G2149" s="89" t="s">
        <v>72</v>
      </c>
      <c r="H2149" s="90">
        <v>99.48</v>
      </c>
      <c r="I2149" s="90">
        <v>99.48</v>
      </c>
      <c r="J2149" s="87">
        <f t="shared" si="2"/>
        <v>0</v>
      </c>
      <c r="K2149" s="84" t="str">
        <f t="shared" si="3"/>
        <v>Stabil</v>
      </c>
      <c r="L2149" s="91">
        <f t="shared" si="4"/>
        <v>0</v>
      </c>
      <c r="M2149" s="88" t="str">
        <f t="shared" si="5"/>
        <v>Perubahan Normal</v>
      </c>
    </row>
    <row r="2150" ht="18.75" customHeight="1">
      <c r="A2150" s="80" t="s">
        <v>492</v>
      </c>
      <c r="B2150" s="81" t="str">
        <f t="shared" si="1"/>
        <v>Kota Cilegon</v>
      </c>
      <c r="C2150" s="81" t="str">
        <f t="array" ref="C2150">XLOOKUP(B2150,Reference!$A$2:$A$152,Reference!$B$2:$B$152)</f>
        <v>Banten</v>
      </c>
      <c r="D2150" s="82" t="s">
        <v>2589</v>
      </c>
      <c r="E2150" s="83">
        <v>45352.0</v>
      </c>
      <c r="F2150" s="84" t="str">
        <f t="array" ref="F2150">XLOOKUP(G2150,Reference!$F:$F,Reference!$D:$D,"null")</f>
        <v>Makanan dan Pakaian </v>
      </c>
      <c r="G2150" s="85" t="s">
        <v>56</v>
      </c>
      <c r="H2150" s="86">
        <v>103.5</v>
      </c>
      <c r="I2150" s="86">
        <v>103.5</v>
      </c>
      <c r="J2150" s="87">
        <f t="shared" si="2"/>
        <v>0</v>
      </c>
      <c r="K2150" s="84" t="str">
        <f t="shared" si="3"/>
        <v>Stabil</v>
      </c>
      <c r="L2150" s="84">
        <f t="shared" si="4"/>
        <v>0</v>
      </c>
      <c r="M2150" s="88" t="str">
        <f t="shared" si="5"/>
        <v>Perubahan Normal</v>
      </c>
    </row>
    <row r="2151" ht="18.75" customHeight="1">
      <c r="A2151" s="80" t="s">
        <v>550</v>
      </c>
      <c r="B2151" s="81" t="str">
        <f t="shared" si="1"/>
        <v>Kota Sukabumi</v>
      </c>
      <c r="C2151" s="81" t="str">
        <f t="array" ref="C2151">XLOOKUP(B2151,Reference!$A$2:$A$152,Reference!$B$2:$B$152)</f>
        <v>Jawa Barat</v>
      </c>
      <c r="D2151" s="82" t="s">
        <v>2590</v>
      </c>
      <c r="E2151" s="83">
        <v>45352.0</v>
      </c>
      <c r="F2151" s="84" t="str">
        <f t="array" ref="F2151">XLOOKUP(G2151,Reference!$F:$F,Reference!$D:$D,"null")</f>
        <v>Rumah Tangga</v>
      </c>
      <c r="G2151" s="89" t="s">
        <v>89</v>
      </c>
      <c r="H2151" s="90">
        <v>103.16</v>
      </c>
      <c r="I2151" s="90">
        <v>103.16</v>
      </c>
      <c r="J2151" s="87">
        <f t="shared" si="2"/>
        <v>0</v>
      </c>
      <c r="K2151" s="84" t="str">
        <f t="shared" si="3"/>
        <v>Stabil</v>
      </c>
      <c r="L2151" s="91">
        <f t="shared" si="4"/>
        <v>0</v>
      </c>
      <c r="M2151" s="88" t="str">
        <f t="shared" si="5"/>
        <v>Perubahan Normal</v>
      </c>
    </row>
    <row r="2152" ht="18.75" customHeight="1">
      <c r="A2152" s="80" t="s">
        <v>920</v>
      </c>
      <c r="B2152" s="81" t="str">
        <f t="shared" si="1"/>
        <v>Kab Deli Serdang</v>
      </c>
      <c r="C2152" s="81" t="str">
        <f t="array" ref="C2152">XLOOKUP(B2152,Reference!$A$2:$A$152,Reference!$B$2:$B$152)</f>
        <v>Sumatera Utara</v>
      </c>
      <c r="D2152" s="82" t="s">
        <v>2591</v>
      </c>
      <c r="E2152" s="83">
        <v>45352.0</v>
      </c>
      <c r="F2152" s="84" t="str">
        <f t="array" ref="F2152">XLOOKUP(G2152,Reference!$F:$F,Reference!$D:$D,"null")</f>
        <v>Makanan dan Pakaian </v>
      </c>
      <c r="G2152" s="85" t="s">
        <v>48</v>
      </c>
      <c r="H2152" s="86">
        <v>113.32</v>
      </c>
      <c r="I2152" s="86">
        <v>111.35</v>
      </c>
      <c r="J2152" s="87">
        <f t="shared" si="2"/>
        <v>1.769196228</v>
      </c>
      <c r="K2152" s="84" t="str">
        <f t="shared" si="3"/>
        <v>Inflasi Tinggi</v>
      </c>
      <c r="L2152" s="84">
        <f t="shared" si="4"/>
        <v>1.97</v>
      </c>
      <c r="M2152" s="88" t="str">
        <f t="shared" si="5"/>
        <v>Akselerasi Persentase</v>
      </c>
    </row>
    <row r="2153" ht="18.75" customHeight="1">
      <c r="A2153" s="80" t="s">
        <v>524</v>
      </c>
      <c r="B2153" s="81" t="str">
        <f t="shared" si="1"/>
        <v>Kudus</v>
      </c>
      <c r="C2153" s="81" t="str">
        <f t="array" ref="C2153">XLOOKUP(B2153,Reference!$A$2:$A$152,Reference!$B$2:$B$152)</f>
        <v>Jawa Tengah</v>
      </c>
      <c r="D2153" s="82" t="s">
        <v>2592</v>
      </c>
      <c r="E2153" s="83">
        <v>45352.0</v>
      </c>
      <c r="F2153" s="84" t="str">
        <f t="array" ref="F2153">XLOOKUP(G2153,Reference!$F:$F,Reference!$D:$D,"null")</f>
        <v>Rumah Tangga</v>
      </c>
      <c r="G2153" s="85" t="s">
        <v>84</v>
      </c>
      <c r="H2153" s="86">
        <v>101.63</v>
      </c>
      <c r="I2153" s="86">
        <v>101.17</v>
      </c>
      <c r="J2153" s="87">
        <f t="shared" si="2"/>
        <v>0.4546802412</v>
      </c>
      <c r="K2153" s="84" t="str">
        <f t="shared" si="3"/>
        <v>Inflasi Normal</v>
      </c>
      <c r="L2153" s="84">
        <f t="shared" si="4"/>
        <v>0.46</v>
      </c>
      <c r="M2153" s="88" t="str">
        <f t="shared" si="5"/>
        <v>Perubahan Normal</v>
      </c>
    </row>
    <row r="2154" ht="18.75" customHeight="1">
      <c r="A2154" s="80" t="s">
        <v>578</v>
      </c>
      <c r="B2154" s="81" t="str">
        <f t="shared" si="1"/>
        <v>Kab Belitung Timur</v>
      </c>
      <c r="C2154" s="81" t="str">
        <f t="array" ref="C2154">XLOOKUP(B2154,Reference!$A$2:$A$152,Reference!$B$2:$B$152)</f>
        <v>Kepulauan Bangka Belitung</v>
      </c>
      <c r="D2154" s="82" t="s">
        <v>2593</v>
      </c>
      <c r="E2154" s="83">
        <v>45352.0</v>
      </c>
      <c r="F2154" s="84" t="str">
        <f t="array" ref="F2154">XLOOKUP(G2154,Reference!$F:$F,Reference!$D:$D,"null")</f>
        <v>Rumah Tangga</v>
      </c>
      <c r="G2154" s="85" t="s">
        <v>84</v>
      </c>
      <c r="H2154" s="86">
        <v>97.3</v>
      </c>
      <c r="I2154" s="86">
        <v>96.52</v>
      </c>
      <c r="J2154" s="87">
        <f t="shared" si="2"/>
        <v>0.8081226689</v>
      </c>
      <c r="K2154" s="84" t="str">
        <f t="shared" si="3"/>
        <v>Inflasi Tinggi</v>
      </c>
      <c r="L2154" s="84">
        <f t="shared" si="4"/>
        <v>0.78</v>
      </c>
      <c r="M2154" s="88" t="str">
        <f t="shared" si="5"/>
        <v>Akselerasi Persentase</v>
      </c>
    </row>
    <row r="2155" ht="18.75" customHeight="1">
      <c r="A2155" s="80" t="s">
        <v>920</v>
      </c>
      <c r="B2155" s="81" t="str">
        <f t="shared" si="1"/>
        <v>Kab Deli Serdang</v>
      </c>
      <c r="C2155" s="81" t="str">
        <f t="array" ref="C2155">XLOOKUP(B2155,Reference!$A$2:$A$152,Reference!$B$2:$B$152)</f>
        <v>Sumatera Utara</v>
      </c>
      <c r="D2155" s="82" t="s">
        <v>2594</v>
      </c>
      <c r="E2155" s="83">
        <v>45352.0</v>
      </c>
      <c r="F2155" s="84" t="str">
        <f t="array" ref="F2155">XLOOKUP(G2155,Reference!$F:$F,Reference!$D:$D,"null")</f>
        <v>Rekreasi dan Kendaraan</v>
      </c>
      <c r="G2155" s="85" t="s">
        <v>102</v>
      </c>
      <c r="H2155" s="86">
        <v>101.76</v>
      </c>
      <c r="I2155" s="86">
        <v>101.76</v>
      </c>
      <c r="J2155" s="87">
        <f t="shared" si="2"/>
        <v>0</v>
      </c>
      <c r="K2155" s="84" t="str">
        <f t="shared" si="3"/>
        <v>Stabil</v>
      </c>
      <c r="L2155" s="84">
        <f t="shared" si="4"/>
        <v>0</v>
      </c>
      <c r="M2155" s="88" t="str">
        <f t="shared" si="5"/>
        <v>Perubahan Normal</v>
      </c>
    </row>
    <row r="2156" ht="18.75" customHeight="1">
      <c r="A2156" s="80" t="s">
        <v>990</v>
      </c>
      <c r="B2156" s="81" t="str">
        <f t="shared" si="1"/>
        <v>Kab Pandeglang</v>
      </c>
      <c r="C2156" s="81" t="str">
        <f t="array" ref="C2156">XLOOKUP(B2156,Reference!$A$2:$A$152,Reference!$B$2:$B$152)</f>
        <v>Banten</v>
      </c>
      <c r="D2156" s="82" t="s">
        <v>2595</v>
      </c>
      <c r="E2156" s="83">
        <v>45352.0</v>
      </c>
      <c r="F2156" s="84" t="str">
        <f t="array" ref="F2156">XLOOKUP(G2156,Reference!$F:$F,Reference!$D:$D,"null")</f>
        <v>Pendidikan dan Kesehatan</v>
      </c>
      <c r="G2156" s="85" t="s">
        <v>95</v>
      </c>
      <c r="H2156" s="86">
        <v>100.66</v>
      </c>
      <c r="I2156" s="86">
        <v>100.66</v>
      </c>
      <c r="J2156" s="87">
        <f t="shared" si="2"/>
        <v>0</v>
      </c>
      <c r="K2156" s="84" t="str">
        <f t="shared" si="3"/>
        <v>Stabil</v>
      </c>
      <c r="L2156" s="84">
        <f t="shared" si="4"/>
        <v>0</v>
      </c>
      <c r="M2156" s="88" t="str">
        <f t="shared" si="5"/>
        <v>Perubahan Normal</v>
      </c>
    </row>
    <row r="2157" ht="18.75" customHeight="1">
      <c r="A2157" s="80" t="s">
        <v>628</v>
      </c>
      <c r="B2157" s="81" t="str">
        <f t="shared" si="1"/>
        <v>Watampone</v>
      </c>
      <c r="C2157" s="81" t="str">
        <f t="array" ref="C2157">XLOOKUP(B2157,Reference!$A$2:$A$152,Reference!$B$2:$B$152)</f>
        <v>Sulawesi Selatan</v>
      </c>
      <c r="D2157" s="82" t="s">
        <v>2596</v>
      </c>
      <c r="E2157" s="83">
        <v>45323.0</v>
      </c>
      <c r="F2157" s="84" t="str">
        <f t="array" ref="F2157">XLOOKUP(G2157,Reference!$F:$F,Reference!$D:$D,"null")</f>
        <v>Makanan dan Pakaian </v>
      </c>
      <c r="G2157" s="85" t="s">
        <v>64</v>
      </c>
      <c r="H2157" s="86">
        <v>100.24</v>
      </c>
      <c r="I2157" s="86">
        <v>100.24</v>
      </c>
      <c r="J2157" s="87">
        <f t="shared" si="2"/>
        <v>0</v>
      </c>
      <c r="K2157" s="84" t="str">
        <f t="shared" si="3"/>
        <v>Stabil</v>
      </c>
      <c r="L2157" s="84">
        <f t="shared" si="4"/>
        <v>0</v>
      </c>
      <c r="M2157" s="88" t="str">
        <f t="shared" si="5"/>
        <v>Perubahan Normal</v>
      </c>
    </row>
    <row r="2158" ht="18.75" customHeight="1">
      <c r="A2158" s="80" t="s">
        <v>324</v>
      </c>
      <c r="B2158" s="81" t="str">
        <f t="shared" si="1"/>
        <v>Kab Nunukan</v>
      </c>
      <c r="C2158" s="81" t="str">
        <f t="array" ref="C2158">XLOOKUP(B2158,Reference!$A$2:$A$152,Reference!$B$2:$B$152)</f>
        <v>Kalimantan Utara</v>
      </c>
      <c r="D2158" s="82" t="s">
        <v>2597</v>
      </c>
      <c r="E2158" s="83">
        <v>45352.0</v>
      </c>
      <c r="F2158" s="84" t="str">
        <f t="array" ref="F2158">XLOOKUP(G2158,Reference!$F:$F,Reference!$D:$D,"null")</f>
        <v>Rumah Tangga</v>
      </c>
      <c r="G2158" s="85" t="s">
        <v>89</v>
      </c>
      <c r="H2158" s="86">
        <v>96.82</v>
      </c>
      <c r="I2158" s="86">
        <v>96.83</v>
      </c>
      <c r="J2158" s="87">
        <f t="shared" si="2"/>
        <v>-0.01032737788</v>
      </c>
      <c r="K2158" s="84" t="str">
        <f t="shared" si="3"/>
        <v>Deflasi</v>
      </c>
      <c r="L2158" s="84">
        <f t="shared" si="4"/>
        <v>-0.01</v>
      </c>
      <c r="M2158" s="88" t="str">
        <f t="shared" si="5"/>
        <v>Perubahan Normal</v>
      </c>
    </row>
    <row r="2159" ht="18.75" customHeight="1">
      <c r="A2159" s="80" t="s">
        <v>450</v>
      </c>
      <c r="B2159" s="81" t="str">
        <f t="shared" si="1"/>
        <v>Waingapu</v>
      </c>
      <c r="C2159" s="81" t="str">
        <f t="array" ref="C2159">XLOOKUP(B2159,Reference!$A$2:$A$152,Reference!$B$2:$B$152)</f>
        <v>Nusa Tenggara Timur (NTT)</v>
      </c>
      <c r="D2159" s="82" t="s">
        <v>2598</v>
      </c>
      <c r="E2159" s="83">
        <v>45323.0</v>
      </c>
      <c r="F2159" s="84" t="str">
        <f t="array" ref="F2159">XLOOKUP(G2159,Reference!$F:$F,Reference!$D:$D,"null")</f>
        <v>Rumah Tangga</v>
      </c>
      <c r="G2159" s="85" t="s">
        <v>84</v>
      </c>
      <c r="H2159" s="86">
        <v>100.12</v>
      </c>
      <c r="I2159" s="86">
        <v>100.12</v>
      </c>
      <c r="J2159" s="87">
        <f t="shared" si="2"/>
        <v>0</v>
      </c>
      <c r="K2159" s="84" t="str">
        <f t="shared" si="3"/>
        <v>Stabil</v>
      </c>
      <c r="L2159" s="84">
        <f t="shared" si="4"/>
        <v>0</v>
      </c>
      <c r="M2159" s="88" t="str">
        <f t="shared" si="5"/>
        <v>Perubahan Normal</v>
      </c>
    </row>
    <row r="2160" ht="18.75" customHeight="1">
      <c r="A2160" s="80" t="s">
        <v>458</v>
      </c>
      <c r="B2160" s="81" t="str">
        <f t="shared" si="1"/>
        <v>Kota Dumai</v>
      </c>
      <c r="C2160" s="81" t="str">
        <f t="array" ref="C2160">XLOOKUP(B2160,Reference!$A$2:$A$152,Reference!$B$2:$B$152)</f>
        <v>Riau</v>
      </c>
      <c r="D2160" s="82" t="s">
        <v>2599</v>
      </c>
      <c r="E2160" s="83">
        <v>45323.0</v>
      </c>
      <c r="F2160" s="84" t="str">
        <f t="array" ref="F2160">XLOOKUP(G2160,Reference!$F:$F,Reference!$D:$D,"null")</f>
        <v>Rumah Tangga</v>
      </c>
      <c r="G2160" s="85" t="s">
        <v>89</v>
      </c>
      <c r="H2160" s="86">
        <v>101.34</v>
      </c>
      <c r="I2160" s="86">
        <v>101.34</v>
      </c>
      <c r="J2160" s="87">
        <f t="shared" si="2"/>
        <v>0</v>
      </c>
      <c r="K2160" s="84" t="str">
        <f t="shared" si="3"/>
        <v>Stabil</v>
      </c>
      <c r="L2160" s="84">
        <f t="shared" si="4"/>
        <v>0</v>
      </c>
      <c r="M2160" s="88" t="str">
        <f t="shared" si="5"/>
        <v>Perubahan Normal</v>
      </c>
    </row>
    <row r="2161" ht="18.75" customHeight="1">
      <c r="A2161" s="80" t="s">
        <v>586</v>
      </c>
      <c r="B2161" s="81" t="str">
        <f t="shared" si="1"/>
        <v>Kab Karimun</v>
      </c>
      <c r="C2161" s="81" t="str">
        <f t="array" ref="C2161">XLOOKUP(B2161,Reference!$A$2:$A$152,Reference!$B$2:$B$152)</f>
        <v>Kepulauan Riau</v>
      </c>
      <c r="D2161" s="82" t="s">
        <v>2600</v>
      </c>
      <c r="E2161" s="83">
        <v>45352.0</v>
      </c>
      <c r="F2161" s="84" t="str">
        <f t="array" ref="F2161">XLOOKUP(G2161,Reference!$F:$F,Reference!$D:$D,"null")</f>
        <v>Rumah Tangga</v>
      </c>
      <c r="G2161" s="85" t="s">
        <v>80</v>
      </c>
      <c r="H2161" s="86">
        <v>100.91</v>
      </c>
      <c r="I2161" s="86">
        <v>100.91</v>
      </c>
      <c r="J2161" s="87">
        <f t="shared" si="2"/>
        <v>0</v>
      </c>
      <c r="K2161" s="84" t="str">
        <f t="shared" si="3"/>
        <v>Stabil</v>
      </c>
      <c r="L2161" s="84">
        <f t="shared" si="4"/>
        <v>0</v>
      </c>
      <c r="M2161" s="88" t="str">
        <f t="shared" si="5"/>
        <v>Perubahan Normal</v>
      </c>
    </row>
    <row r="2162" ht="18.75" customHeight="1">
      <c r="A2162" s="80" t="s">
        <v>421</v>
      </c>
      <c r="B2162" s="81" t="str">
        <f t="shared" si="1"/>
        <v>Kab Halmahera Tengah</v>
      </c>
      <c r="C2162" s="81" t="str">
        <f t="array" ref="C2162">XLOOKUP(B2162,Reference!$A$2:$A$152,Reference!$B$2:$B$152)</f>
        <v>Maluku Utara</v>
      </c>
      <c r="D2162" s="82" t="s">
        <v>2601</v>
      </c>
      <c r="E2162" s="83">
        <v>45352.0</v>
      </c>
      <c r="F2162" s="84" t="str">
        <f t="array" ref="F2162">XLOOKUP(G2162,Reference!$F:$F,Reference!$D:$D,"null")</f>
        <v>Rekreasi dan Kendaraan</v>
      </c>
      <c r="G2162" s="85" t="s">
        <v>105</v>
      </c>
      <c r="H2162" s="86">
        <v>93.65</v>
      </c>
      <c r="I2162" s="86">
        <v>93.27</v>
      </c>
      <c r="J2162" s="87">
        <f t="shared" si="2"/>
        <v>0.4074193203</v>
      </c>
      <c r="K2162" s="84" t="str">
        <f t="shared" si="3"/>
        <v>Inflasi Normal</v>
      </c>
      <c r="L2162" s="84">
        <f t="shared" si="4"/>
        <v>0.38</v>
      </c>
      <c r="M2162" s="88" t="str">
        <f t="shared" si="5"/>
        <v>Perubahan Normal</v>
      </c>
    </row>
    <row r="2163" ht="18.75" customHeight="1">
      <c r="A2163" s="80" t="s">
        <v>423</v>
      </c>
      <c r="B2163" s="81" t="str">
        <f t="shared" si="1"/>
        <v>Kota Kotamobagu</v>
      </c>
      <c r="C2163" s="81" t="str">
        <f t="array" ref="C2163">XLOOKUP(B2163,Reference!$A$2:$A$152,Reference!$B$2:$B$152)</f>
        <v>Sulawesi Utara</v>
      </c>
      <c r="D2163" s="82" t="s">
        <v>2602</v>
      </c>
      <c r="E2163" s="83">
        <v>45352.0</v>
      </c>
      <c r="F2163" s="84" t="str">
        <f t="array" ref="F2163">XLOOKUP(G2163,Reference!$F:$F,Reference!$D:$D,"null")</f>
        <v>Rumah Tangga</v>
      </c>
      <c r="G2163" s="85" t="s">
        <v>80</v>
      </c>
      <c r="H2163" s="86">
        <v>107.38</v>
      </c>
      <c r="I2163" s="86">
        <v>107.38</v>
      </c>
      <c r="J2163" s="87">
        <f t="shared" si="2"/>
        <v>0</v>
      </c>
      <c r="K2163" s="84" t="str">
        <f t="shared" si="3"/>
        <v>Stabil</v>
      </c>
      <c r="L2163" s="84">
        <f t="shared" si="4"/>
        <v>0</v>
      </c>
      <c r="M2163" s="88" t="str">
        <f t="shared" si="5"/>
        <v>Perubahan Normal</v>
      </c>
    </row>
    <row r="2164" ht="18.75" customHeight="1">
      <c r="A2164" s="80" t="s">
        <v>606</v>
      </c>
      <c r="B2164" s="81" t="str">
        <f t="shared" si="1"/>
        <v>Kota Pare Pare</v>
      </c>
      <c r="C2164" s="81" t="str">
        <f t="array" ref="C2164">XLOOKUP(B2164,Reference!$A$2:$A$152,Reference!$B$2:$B$152)</f>
        <v>Sulawesi Selatan</v>
      </c>
      <c r="D2164" s="82" t="s">
        <v>2603</v>
      </c>
      <c r="E2164" s="83">
        <v>45323.0</v>
      </c>
      <c r="F2164" s="84" t="str">
        <f t="array" ref="F2164">XLOOKUP(G2164,Reference!$F:$F,Reference!$D:$D,"null")</f>
        <v>Pendidikan dan Kesehatan</v>
      </c>
      <c r="G2164" s="85" t="s">
        <v>98</v>
      </c>
      <c r="H2164" s="86">
        <v>102.59</v>
      </c>
      <c r="I2164" s="86">
        <v>102.64</v>
      </c>
      <c r="J2164" s="87">
        <f t="shared" si="2"/>
        <v>-0.04871395168</v>
      </c>
      <c r="K2164" s="84" t="str">
        <f t="shared" si="3"/>
        <v>Deflasi</v>
      </c>
      <c r="L2164" s="84">
        <f t="shared" si="4"/>
        <v>-0.05</v>
      </c>
      <c r="M2164" s="88" t="str">
        <f t="shared" si="5"/>
        <v>Perubahan Normal</v>
      </c>
    </row>
    <row r="2165" ht="18.75" customHeight="1">
      <c r="A2165" s="80" t="s">
        <v>539</v>
      </c>
      <c r="B2165" s="81" t="str">
        <f t="shared" si="1"/>
        <v>Kab Sorong Selatan</v>
      </c>
      <c r="C2165" s="81" t="str">
        <f t="array" ref="C2165">XLOOKUP(B2165,Reference!$A$2:$A$152,Reference!$B$2:$B$152)</f>
        <v>Papua Barat Daya</v>
      </c>
      <c r="D2165" s="82" t="s">
        <v>2604</v>
      </c>
      <c r="E2165" s="83">
        <v>45352.0</v>
      </c>
      <c r="F2165" s="84" t="str">
        <f t="array" ref="F2165">XLOOKUP(G2165,Reference!$F:$F,Reference!$D:$D,"null")</f>
        <v>Rumah Tangga</v>
      </c>
      <c r="G2165" s="85" t="s">
        <v>84</v>
      </c>
      <c r="H2165" s="86">
        <v>105.56</v>
      </c>
      <c r="I2165" s="86">
        <v>106.18</v>
      </c>
      <c r="J2165" s="87">
        <f t="shared" si="2"/>
        <v>-0.5839141081</v>
      </c>
      <c r="K2165" s="84" t="str">
        <f t="shared" si="3"/>
        <v>Deflasi</v>
      </c>
      <c r="L2165" s="84">
        <f t="shared" si="4"/>
        <v>-0.62</v>
      </c>
      <c r="M2165" s="88" t="str">
        <f t="shared" si="5"/>
        <v>Perubahan Normal</v>
      </c>
    </row>
    <row r="2166" ht="18.75" customHeight="1">
      <c r="A2166" s="80" t="s">
        <v>576</v>
      </c>
      <c r="B2166" s="81" t="str">
        <f t="shared" si="1"/>
        <v>Kab Tabanan</v>
      </c>
      <c r="C2166" s="81" t="str">
        <f t="array" ref="C2166">XLOOKUP(B2166,Reference!$A$2:$A$152,Reference!$B$2:$B$152)</f>
        <v>Bali</v>
      </c>
      <c r="D2166" s="82" t="s">
        <v>2605</v>
      </c>
      <c r="E2166" s="83">
        <v>45323.0</v>
      </c>
      <c r="F2166" s="84" t="str">
        <f t="array" ref="F2166">XLOOKUP(G2166,Reference!$F:$F,Reference!$D:$D,"null")</f>
        <v>Rumah Tangga</v>
      </c>
      <c r="G2166" s="85" t="s">
        <v>84</v>
      </c>
      <c r="H2166" s="86">
        <v>103.42</v>
      </c>
      <c r="I2166" s="86">
        <v>103.3</v>
      </c>
      <c r="J2166" s="87">
        <f t="shared" si="2"/>
        <v>0.1161665053</v>
      </c>
      <c r="K2166" s="84" t="str">
        <f t="shared" si="3"/>
        <v>Inflasi Normal</v>
      </c>
      <c r="L2166" s="84">
        <f t="shared" si="4"/>
        <v>0.12</v>
      </c>
      <c r="M2166" s="88" t="str">
        <f t="shared" si="5"/>
        <v>Perubahan Normal</v>
      </c>
    </row>
    <row r="2167" ht="18.75" customHeight="1">
      <c r="A2167" s="80" t="s">
        <v>312</v>
      </c>
      <c r="B2167" s="81" t="str">
        <f t="shared" si="1"/>
        <v>Kab Jayawijaya</v>
      </c>
      <c r="C2167" s="81" t="str">
        <f t="array" ref="C2167">XLOOKUP(B2167,Reference!$A$2:$A$152,Reference!$B$2:$B$152)</f>
        <v>Papua</v>
      </c>
      <c r="D2167" s="82" t="s">
        <v>2606</v>
      </c>
      <c r="E2167" s="83">
        <v>45323.0</v>
      </c>
      <c r="F2167" s="84" t="str">
        <f t="array" ref="F2167">XLOOKUP(G2167,Reference!$F:$F,Reference!$D:$D,"null")</f>
        <v>Pendidikan dan Kesehatan</v>
      </c>
      <c r="G2167" s="85" t="s">
        <v>98</v>
      </c>
      <c r="H2167" s="86">
        <v>97.86</v>
      </c>
      <c r="I2167" s="86">
        <v>97.86</v>
      </c>
      <c r="J2167" s="87">
        <f t="shared" si="2"/>
        <v>0</v>
      </c>
      <c r="K2167" s="84" t="str">
        <f t="shared" si="3"/>
        <v>Stabil</v>
      </c>
      <c r="L2167" s="84">
        <f t="shared" si="4"/>
        <v>0</v>
      </c>
      <c r="M2167" s="88" t="str">
        <f t="shared" si="5"/>
        <v>Perubahan Normal</v>
      </c>
    </row>
    <row r="2168" ht="18.75" customHeight="1">
      <c r="A2168" s="80" t="s">
        <v>532</v>
      </c>
      <c r="B2168" s="81" t="str">
        <f t="shared" si="1"/>
        <v>Kota Palembang</v>
      </c>
      <c r="C2168" s="81" t="str">
        <f t="array" ref="C2168">XLOOKUP(B2168,Reference!$A$2:$A$152,Reference!$B$2:$B$152)</f>
        <v>Sumatera Selatan</v>
      </c>
      <c r="D2168" s="82" t="s">
        <v>2607</v>
      </c>
      <c r="E2168" s="83">
        <v>45323.0</v>
      </c>
      <c r="F2168" s="84" t="str">
        <f t="array" ref="F2168">XLOOKUP(G2168,Reference!$F:$F,Reference!$D:$D,"null")</f>
        <v>Rekreasi dan Kendaraan</v>
      </c>
      <c r="G2168" s="85" t="s">
        <v>102</v>
      </c>
      <c r="H2168" s="86">
        <v>102.15</v>
      </c>
      <c r="I2168" s="86">
        <v>102.2</v>
      </c>
      <c r="J2168" s="87">
        <f t="shared" si="2"/>
        <v>-0.04892367906</v>
      </c>
      <c r="K2168" s="84" t="str">
        <f t="shared" si="3"/>
        <v>Deflasi</v>
      </c>
      <c r="L2168" s="84">
        <f t="shared" si="4"/>
        <v>-0.05</v>
      </c>
      <c r="M2168" s="88" t="str">
        <f t="shared" si="5"/>
        <v>Perubahan Normal</v>
      </c>
    </row>
    <row r="2169" ht="18.75" customHeight="1">
      <c r="A2169" s="80" t="s">
        <v>731</v>
      </c>
      <c r="B2169" s="81" t="str">
        <f t="shared" si="1"/>
        <v>Kab Hulu Sungai Tengah</v>
      </c>
      <c r="C2169" s="81" t="str">
        <f t="array" ref="C2169">XLOOKUP(B2169,Reference!$A$2:$A$152,Reference!$B$2:$B$152)</f>
        <v>Kalimantan Selatan</v>
      </c>
      <c r="D2169" s="82" t="s">
        <v>2608</v>
      </c>
      <c r="E2169" s="83">
        <v>45352.0</v>
      </c>
      <c r="F2169" s="84" t="str">
        <f t="array" ref="F2169">XLOOKUP(G2169,Reference!$F:$F,Reference!$D:$D,"null")</f>
        <v>Rumah Tangga</v>
      </c>
      <c r="G2169" s="85" t="s">
        <v>80</v>
      </c>
      <c r="H2169" s="86">
        <v>100.62</v>
      </c>
      <c r="I2169" s="86">
        <v>100.62</v>
      </c>
      <c r="J2169" s="87">
        <f t="shared" si="2"/>
        <v>0</v>
      </c>
      <c r="K2169" s="84" t="str">
        <f t="shared" si="3"/>
        <v>Stabil</v>
      </c>
      <c r="L2169" s="84">
        <f t="shared" si="4"/>
        <v>0</v>
      </c>
      <c r="M2169" s="88" t="str">
        <f t="shared" si="5"/>
        <v>Perubahan Normal</v>
      </c>
    </row>
    <row r="2170" ht="18.75" customHeight="1">
      <c r="A2170" s="80" t="s">
        <v>1031</v>
      </c>
      <c r="B2170" s="81" t="str">
        <f t="shared" si="1"/>
        <v>Kab Majene</v>
      </c>
      <c r="C2170" s="81" t="str">
        <f t="array" ref="C2170">XLOOKUP(B2170,Reference!$A$2:$A$152,Reference!$B$2:$B$152)</f>
        <v>Sulawesi Barat</v>
      </c>
      <c r="D2170" s="82" t="s">
        <v>2609</v>
      </c>
      <c r="E2170" s="83">
        <v>45323.0</v>
      </c>
      <c r="F2170" s="84" t="str">
        <f t="array" ref="F2170">XLOOKUP(G2170,Reference!$F:$F,Reference!$D:$D,"null")</f>
        <v>Makanan dan Pakaian </v>
      </c>
      <c r="G2170" s="85" t="s">
        <v>48</v>
      </c>
      <c r="H2170" s="86">
        <v>104.4</v>
      </c>
      <c r="I2170" s="86">
        <v>105.93</v>
      </c>
      <c r="J2170" s="87">
        <f t="shared" si="2"/>
        <v>-1.444350042</v>
      </c>
      <c r="K2170" s="84" t="str">
        <f t="shared" si="3"/>
        <v>Deflasi</v>
      </c>
      <c r="L2170" s="84">
        <f t="shared" si="4"/>
        <v>-1.53</v>
      </c>
      <c r="M2170" s="88" t="str">
        <f t="shared" si="5"/>
        <v>Perubahan Normal</v>
      </c>
    </row>
    <row r="2171" ht="18.75" customHeight="1">
      <c r="A2171" s="80" t="s">
        <v>417</v>
      </c>
      <c r="B2171" s="81" t="str">
        <f t="shared" si="1"/>
        <v>Kotabaru</v>
      </c>
      <c r="C2171" s="81" t="str">
        <f t="array" ref="C2171">XLOOKUP(B2171,Reference!$A$2:$A$152,Reference!$B$2:$B$152)</f>
        <v>Kalimantan Selatan</v>
      </c>
      <c r="D2171" s="82" t="s">
        <v>2610</v>
      </c>
      <c r="E2171" s="83">
        <v>45323.0</v>
      </c>
      <c r="F2171" s="84" t="str">
        <f t="array" ref="F2171">XLOOKUP(G2171,Reference!$F:$F,Reference!$D:$D,"null")</f>
        <v>Pendidikan dan Kesehatan</v>
      </c>
      <c r="G2171" s="85" t="s">
        <v>95</v>
      </c>
      <c r="H2171" s="86">
        <v>100.79</v>
      </c>
      <c r="I2171" s="86">
        <v>100.79</v>
      </c>
      <c r="J2171" s="87">
        <f t="shared" si="2"/>
        <v>0</v>
      </c>
      <c r="K2171" s="84" t="str">
        <f t="shared" si="3"/>
        <v>Stabil</v>
      </c>
      <c r="L2171" s="84">
        <f t="shared" si="4"/>
        <v>0</v>
      </c>
      <c r="M2171" s="88" t="str">
        <f t="shared" si="5"/>
        <v>Perubahan Normal</v>
      </c>
    </row>
    <row r="2172" ht="18.75" customHeight="1">
      <c r="A2172" s="80" t="s">
        <v>471</v>
      </c>
      <c r="B2172" s="81" t="str">
        <f t="shared" si="1"/>
        <v>Kab Gunungkidul</v>
      </c>
      <c r="C2172" s="81" t="str">
        <f t="array" ref="C2172">XLOOKUP(B2172,Reference!$A$2:$A$152,Reference!$B$2:$B$152)</f>
        <v>D.I. Yogyakarta</v>
      </c>
      <c r="D2172" s="82" t="s">
        <v>2611</v>
      </c>
      <c r="E2172" s="83">
        <v>45352.0</v>
      </c>
      <c r="F2172" s="84" t="str">
        <f t="array" ref="F2172">XLOOKUP(G2172,Reference!$F:$F,Reference!$D:$D,"null")</f>
        <v>Rekreasi dan Kendaraan</v>
      </c>
      <c r="G2172" s="85" t="s">
        <v>102</v>
      </c>
      <c r="H2172" s="86">
        <v>102.1</v>
      </c>
      <c r="I2172" s="86">
        <v>101.74</v>
      </c>
      <c r="J2172" s="87">
        <f t="shared" si="2"/>
        <v>0.3538431295</v>
      </c>
      <c r="K2172" s="84" t="str">
        <f t="shared" si="3"/>
        <v>Inflasi Normal</v>
      </c>
      <c r="L2172" s="84">
        <f t="shared" si="4"/>
        <v>0.36</v>
      </c>
      <c r="M2172" s="88" t="str">
        <f t="shared" si="5"/>
        <v>Perubahan Normal</v>
      </c>
    </row>
    <row r="2173" ht="18.75" customHeight="1">
      <c r="A2173" s="80" t="s">
        <v>594</v>
      </c>
      <c r="B2173" s="81" t="str">
        <f t="shared" si="1"/>
        <v>Kota Kendari</v>
      </c>
      <c r="C2173" s="81" t="str">
        <f t="array" ref="C2173">XLOOKUP(B2173,Reference!$A$2:$A$152,Reference!$B$2:$B$152)</f>
        <v>Sulawesi Tenggara</v>
      </c>
      <c r="D2173" s="82" t="s">
        <v>2612</v>
      </c>
      <c r="E2173" s="83">
        <v>45323.0</v>
      </c>
      <c r="F2173" s="84" t="str">
        <f t="array" ref="F2173">XLOOKUP(G2173,Reference!$F:$F,Reference!$D:$D,"null")</f>
        <v>Rumah Tangga</v>
      </c>
      <c r="G2173" s="85" t="s">
        <v>80</v>
      </c>
      <c r="H2173" s="86">
        <v>103.06</v>
      </c>
      <c r="I2173" s="86">
        <v>102.19</v>
      </c>
      <c r="J2173" s="87">
        <f t="shared" si="2"/>
        <v>0.8513553185</v>
      </c>
      <c r="K2173" s="84" t="str">
        <f t="shared" si="3"/>
        <v>Inflasi Tinggi</v>
      </c>
      <c r="L2173" s="84">
        <f t="shared" si="4"/>
        <v>0.87</v>
      </c>
      <c r="M2173" s="88" t="str">
        <f t="shared" si="5"/>
        <v>Akselerasi Persentase</v>
      </c>
    </row>
    <row r="2174" ht="18.75" customHeight="1">
      <c r="A2174" s="80" t="s">
        <v>706</v>
      </c>
      <c r="B2174" s="81" t="str">
        <f t="shared" si="1"/>
        <v>Kota Makassar</v>
      </c>
      <c r="C2174" s="81" t="str">
        <f t="array" ref="C2174">XLOOKUP(B2174,Reference!$A$2:$A$152,Reference!$B$2:$B$152)</f>
        <v>Sulawesi Selatan</v>
      </c>
      <c r="D2174" s="82" t="s">
        <v>2613</v>
      </c>
      <c r="E2174" s="83">
        <v>45352.0</v>
      </c>
      <c r="F2174" s="84" t="str">
        <f t="array" ref="F2174">XLOOKUP(G2174,Reference!$F:$F,Reference!$D:$D,"null")</f>
        <v>Rumah Tangga</v>
      </c>
      <c r="G2174" s="85" t="s">
        <v>84</v>
      </c>
      <c r="H2174" s="86">
        <v>100.23</v>
      </c>
      <c r="I2174" s="86">
        <v>100.23</v>
      </c>
      <c r="J2174" s="87">
        <f t="shared" si="2"/>
        <v>0</v>
      </c>
      <c r="K2174" s="84" t="str">
        <f t="shared" si="3"/>
        <v>Stabil</v>
      </c>
      <c r="L2174" s="84">
        <f t="shared" si="4"/>
        <v>0</v>
      </c>
      <c r="M2174" s="88" t="str">
        <f t="shared" si="5"/>
        <v>Perubahan Normal</v>
      </c>
    </row>
    <row r="2175" ht="18.75" customHeight="1">
      <c r="A2175" s="80" t="s">
        <v>548</v>
      </c>
      <c r="B2175" s="81" t="str">
        <f t="shared" si="1"/>
        <v>Kota Metro</v>
      </c>
      <c r="C2175" s="81" t="str">
        <f t="array" ref="C2175">XLOOKUP(B2175,Reference!$A$2:$A$152,Reference!$B$2:$B$152)</f>
        <v>Lampung</v>
      </c>
      <c r="D2175" s="82" t="s">
        <v>2614</v>
      </c>
      <c r="E2175" s="83">
        <v>45352.0</v>
      </c>
      <c r="F2175" s="84" t="str">
        <f t="array" ref="F2175">XLOOKUP(G2175,Reference!$F:$F,Reference!$D:$D,"null")</f>
        <v>Rekreasi dan Kendaraan</v>
      </c>
      <c r="G2175" s="85" t="s">
        <v>102</v>
      </c>
      <c r="H2175" s="86">
        <v>101.56</v>
      </c>
      <c r="I2175" s="86">
        <v>101.56</v>
      </c>
      <c r="J2175" s="87">
        <f t="shared" si="2"/>
        <v>0</v>
      </c>
      <c r="K2175" s="84" t="str">
        <f t="shared" si="3"/>
        <v>Stabil</v>
      </c>
      <c r="L2175" s="84">
        <f t="shared" si="4"/>
        <v>0</v>
      </c>
      <c r="M2175" s="88" t="str">
        <f t="shared" si="5"/>
        <v>Perubahan Normal</v>
      </c>
    </row>
    <row r="2176" ht="18.75" customHeight="1">
      <c r="A2176" s="80" t="s">
        <v>502</v>
      </c>
      <c r="B2176" s="81" t="str">
        <f t="shared" si="1"/>
        <v>Muara Bungo</v>
      </c>
      <c r="C2176" s="81" t="str">
        <f t="array" ref="C2176">XLOOKUP(B2176,Reference!$A$2:$A$152,Reference!$B$2:$B$152)</f>
        <v>Jambi</v>
      </c>
      <c r="D2176" s="82" t="s">
        <v>2615</v>
      </c>
      <c r="E2176" s="83">
        <v>45352.0</v>
      </c>
      <c r="F2176" s="84" t="str">
        <f t="array" ref="F2176">XLOOKUP(G2176,Reference!$F:$F,Reference!$D:$D,"null")</f>
        <v>Pendidikan dan Kesehatan</v>
      </c>
      <c r="G2176" s="85" t="s">
        <v>98</v>
      </c>
      <c r="H2176" s="86">
        <v>106.13</v>
      </c>
      <c r="I2176" s="86">
        <v>106.13</v>
      </c>
      <c r="J2176" s="87">
        <f t="shared" si="2"/>
        <v>0</v>
      </c>
      <c r="K2176" s="84" t="str">
        <f t="shared" si="3"/>
        <v>Stabil</v>
      </c>
      <c r="L2176" s="84">
        <f t="shared" si="4"/>
        <v>0</v>
      </c>
      <c r="M2176" s="88" t="str">
        <f t="shared" si="5"/>
        <v>Perubahan Normal</v>
      </c>
    </row>
    <row r="2177" ht="18.75" customHeight="1">
      <c r="A2177" s="80" t="s">
        <v>699</v>
      </c>
      <c r="B2177" s="81" t="str">
        <f t="shared" si="1"/>
        <v>Mamuju</v>
      </c>
      <c r="C2177" s="81" t="str">
        <f t="array" ref="C2177">XLOOKUP(B2177,Reference!$A$2:$A$152,Reference!$B$2:$B$152)</f>
        <v>Sulawesi Barat</v>
      </c>
      <c r="D2177" s="82" t="s">
        <v>2616</v>
      </c>
      <c r="E2177" s="83">
        <v>45352.0</v>
      </c>
      <c r="F2177" s="84" t="str">
        <f t="array" ref="F2177">XLOOKUP(G2177,Reference!$F:$F,Reference!$D:$D,"null")</f>
        <v>Rekreasi dan Kendaraan</v>
      </c>
      <c r="G2177" s="85" t="s">
        <v>105</v>
      </c>
      <c r="H2177" s="86">
        <v>102.61</v>
      </c>
      <c r="I2177" s="86">
        <v>104.01</v>
      </c>
      <c r="J2177" s="87">
        <f t="shared" si="2"/>
        <v>-1.346024421</v>
      </c>
      <c r="K2177" s="84" t="str">
        <f t="shared" si="3"/>
        <v>Deflasi</v>
      </c>
      <c r="L2177" s="84">
        <f t="shared" si="4"/>
        <v>-1.4</v>
      </c>
      <c r="M2177" s="88" t="str">
        <f t="shared" si="5"/>
        <v>Perubahan Normal</v>
      </c>
    </row>
    <row r="2178" ht="18.75" customHeight="1">
      <c r="A2178" s="80" t="s">
        <v>806</v>
      </c>
      <c r="B2178" s="81" t="str">
        <f t="shared" si="1"/>
        <v>Kab Subang</v>
      </c>
      <c r="C2178" s="81" t="str">
        <f t="array" ref="C2178">XLOOKUP(B2178,Reference!$A$2:$A$152,Reference!$B$2:$B$152)</f>
        <v>Jawa Barat</v>
      </c>
      <c r="D2178" s="82" t="s">
        <v>2617</v>
      </c>
      <c r="E2178" s="83">
        <v>45323.0</v>
      </c>
      <c r="F2178" s="84" t="str">
        <f t="array" ref="F2178">XLOOKUP(G2178,Reference!$F:$F,Reference!$D:$D,"null")</f>
        <v>Pendidikan dan Kesehatan</v>
      </c>
      <c r="G2178" s="85" t="s">
        <v>98</v>
      </c>
      <c r="H2178" s="86">
        <v>105.08</v>
      </c>
      <c r="I2178" s="86">
        <v>105.08</v>
      </c>
      <c r="J2178" s="87">
        <f t="shared" si="2"/>
        <v>0</v>
      </c>
      <c r="K2178" s="84" t="str">
        <f t="shared" si="3"/>
        <v>Stabil</v>
      </c>
      <c r="L2178" s="84">
        <f t="shared" si="4"/>
        <v>0</v>
      </c>
      <c r="M2178" s="88" t="str">
        <f t="shared" si="5"/>
        <v>Perubahan Normal</v>
      </c>
    </row>
    <row r="2179" ht="18.75" customHeight="1">
      <c r="A2179" s="80" t="s">
        <v>1031</v>
      </c>
      <c r="B2179" s="81" t="str">
        <f t="shared" si="1"/>
        <v>Kab Majene</v>
      </c>
      <c r="C2179" s="81" t="str">
        <f t="array" ref="C2179">XLOOKUP(B2179,Reference!$A$2:$A$152,Reference!$B$2:$B$152)</f>
        <v>Sulawesi Barat</v>
      </c>
      <c r="D2179" s="82" t="s">
        <v>2618</v>
      </c>
      <c r="E2179" s="83">
        <v>45352.0</v>
      </c>
      <c r="F2179" s="84" t="str">
        <f t="array" ref="F2179">XLOOKUP(G2179,Reference!$F:$F,Reference!$D:$D,"null")</f>
        <v>Rekreasi dan Kendaraan</v>
      </c>
      <c r="G2179" s="85" t="s">
        <v>102</v>
      </c>
      <c r="H2179" s="86">
        <v>118.68</v>
      </c>
      <c r="I2179" s="86">
        <v>118.47</v>
      </c>
      <c r="J2179" s="87">
        <f t="shared" si="2"/>
        <v>0.1772600658</v>
      </c>
      <c r="K2179" s="84" t="str">
        <f t="shared" si="3"/>
        <v>Inflasi Normal</v>
      </c>
      <c r="L2179" s="84">
        <f t="shared" si="4"/>
        <v>0.21</v>
      </c>
      <c r="M2179" s="88" t="str">
        <f t="shared" si="5"/>
        <v>Perubahan Normal</v>
      </c>
    </row>
    <row r="2180" ht="18.75" customHeight="1">
      <c r="A2180" s="80" t="s">
        <v>505</v>
      </c>
      <c r="B2180" s="81" t="str">
        <f t="shared" si="1"/>
        <v>Kota Denpasar</v>
      </c>
      <c r="C2180" s="81" t="str">
        <f t="array" ref="C2180">XLOOKUP(B2180,Reference!$A$2:$A$152,Reference!$B$2:$B$152)</f>
        <v>Bali</v>
      </c>
      <c r="D2180" s="82" t="s">
        <v>2619</v>
      </c>
      <c r="E2180" s="83">
        <v>45323.0</v>
      </c>
      <c r="F2180" s="84" t="str">
        <f t="array" ref="F2180">XLOOKUP(G2180,Reference!$F:$F,Reference!$D:$D,"null")</f>
        <v>Rumah Tangga</v>
      </c>
      <c r="G2180" s="85" t="s">
        <v>84</v>
      </c>
      <c r="H2180" s="86">
        <v>102.88</v>
      </c>
      <c r="I2180" s="86">
        <v>102.97</v>
      </c>
      <c r="J2180" s="87">
        <f t="shared" si="2"/>
        <v>-0.08740409828</v>
      </c>
      <c r="K2180" s="84" t="str">
        <f t="shared" si="3"/>
        <v>Deflasi</v>
      </c>
      <c r="L2180" s="84">
        <f t="shared" si="4"/>
        <v>-0.09</v>
      </c>
      <c r="M2180" s="88" t="str">
        <f t="shared" si="5"/>
        <v>Perubahan Normal</v>
      </c>
    </row>
    <row r="2181" ht="18.75" customHeight="1">
      <c r="A2181" s="80" t="s">
        <v>490</v>
      </c>
      <c r="B2181" s="81" t="str">
        <f t="shared" si="1"/>
        <v>Kab Kerinci</v>
      </c>
      <c r="C2181" s="81" t="str">
        <f t="array" ref="C2181">XLOOKUP(B2181,Reference!$A$2:$A$152,Reference!$B$2:$B$152)</f>
        <v>Jambi</v>
      </c>
      <c r="D2181" s="82" t="s">
        <v>2620</v>
      </c>
      <c r="E2181" s="83">
        <v>45352.0</v>
      </c>
      <c r="F2181" s="84" t="str">
        <f t="array" ref="F2181">XLOOKUP(G2181,Reference!$F:$F,Reference!$D:$D,"null")</f>
        <v>Pendidikan dan Kesehatan</v>
      </c>
      <c r="G2181" s="85" t="s">
        <v>95</v>
      </c>
      <c r="H2181" s="86">
        <v>101.96</v>
      </c>
      <c r="I2181" s="86">
        <v>101.96</v>
      </c>
      <c r="J2181" s="87">
        <f t="shared" si="2"/>
        <v>0</v>
      </c>
      <c r="K2181" s="84" t="str">
        <f t="shared" si="3"/>
        <v>Stabil</v>
      </c>
      <c r="L2181" s="84">
        <f t="shared" si="4"/>
        <v>0</v>
      </c>
      <c r="M2181" s="88" t="str">
        <f t="shared" si="5"/>
        <v>Perubahan Normal</v>
      </c>
    </row>
    <row r="2182" ht="18.75" customHeight="1">
      <c r="A2182" s="80" t="s">
        <v>515</v>
      </c>
      <c r="B2182" s="81" t="str">
        <f t="shared" si="1"/>
        <v>Kab Gresik</v>
      </c>
      <c r="C2182" s="81" t="str">
        <f t="array" ref="C2182">XLOOKUP(B2182,Reference!$A$2:$A$152,Reference!$B$2:$B$152)</f>
        <v>Jawa Timur</v>
      </c>
      <c r="D2182" s="82" t="s">
        <v>2621</v>
      </c>
      <c r="E2182" s="83">
        <v>45352.0</v>
      </c>
      <c r="F2182" s="84" t="str">
        <f t="array" ref="F2182">XLOOKUP(G2182,Reference!$F:$F,Reference!$D:$D,"null")</f>
        <v>Rekreasi dan Kendaraan</v>
      </c>
      <c r="G2182" s="85" t="s">
        <v>105</v>
      </c>
      <c r="H2182" s="86">
        <v>102.87</v>
      </c>
      <c r="I2182" s="86">
        <v>102.11</v>
      </c>
      <c r="J2182" s="87">
        <f t="shared" si="2"/>
        <v>0.7442953677</v>
      </c>
      <c r="K2182" s="84" t="str">
        <f t="shared" si="3"/>
        <v>Inflasi Tinggi</v>
      </c>
      <c r="L2182" s="84">
        <f t="shared" si="4"/>
        <v>0.76</v>
      </c>
      <c r="M2182" s="88" t="str">
        <f t="shared" si="5"/>
        <v>Akselerasi Persentase</v>
      </c>
    </row>
    <row r="2183" ht="18.75" customHeight="1">
      <c r="A2183" s="80" t="s">
        <v>419</v>
      </c>
      <c r="B2183" s="81" t="str">
        <f t="shared" si="1"/>
        <v>Kota Singkawang</v>
      </c>
      <c r="C2183" s="81" t="str">
        <f t="array" ref="C2183">XLOOKUP(B2183,Reference!$A$2:$A$152,Reference!$B$2:$B$152)</f>
        <v>Kalimantan Barat</v>
      </c>
      <c r="D2183" s="82" t="s">
        <v>2622</v>
      </c>
      <c r="E2183" s="83">
        <v>45352.0</v>
      </c>
      <c r="F2183" s="84" t="str">
        <f t="array" ref="F2183">XLOOKUP(G2183,Reference!$F:$F,Reference!$D:$D,"null")</f>
        <v>Makanan dan Pakaian </v>
      </c>
      <c r="G2183" s="85" t="s">
        <v>48</v>
      </c>
      <c r="H2183" s="86">
        <v>107.34</v>
      </c>
      <c r="I2183" s="86">
        <v>105.82</v>
      </c>
      <c r="J2183" s="87">
        <f t="shared" si="2"/>
        <v>1.436401436</v>
      </c>
      <c r="K2183" s="84" t="str">
        <f t="shared" si="3"/>
        <v>Inflasi Tinggi</v>
      </c>
      <c r="L2183" s="84">
        <f t="shared" si="4"/>
        <v>1.52</v>
      </c>
      <c r="M2183" s="88" t="str">
        <f t="shared" si="5"/>
        <v>Akselerasi Persentase</v>
      </c>
    </row>
    <row r="2184" ht="18.75" customHeight="1">
      <c r="A2184" s="80" t="s">
        <v>515</v>
      </c>
      <c r="B2184" s="81" t="str">
        <f t="shared" si="1"/>
        <v>Kab Gresik</v>
      </c>
      <c r="C2184" s="81" t="str">
        <f t="array" ref="C2184">XLOOKUP(B2184,Reference!$A$2:$A$152,Reference!$B$2:$B$152)</f>
        <v>Jawa Timur</v>
      </c>
      <c r="D2184" s="82" t="s">
        <v>2623</v>
      </c>
      <c r="E2184" s="83">
        <v>45352.0</v>
      </c>
      <c r="F2184" s="84" t="str">
        <f t="array" ref="F2184">XLOOKUP(G2184,Reference!$F:$F,Reference!$D:$D,"null")</f>
        <v>Rumah Tangga</v>
      </c>
      <c r="G2184" s="85" t="s">
        <v>84</v>
      </c>
      <c r="H2184" s="86">
        <v>99.6</v>
      </c>
      <c r="I2184" s="86">
        <v>99.6</v>
      </c>
      <c r="J2184" s="87">
        <f t="shared" si="2"/>
        <v>0</v>
      </c>
      <c r="K2184" s="84" t="str">
        <f t="shared" si="3"/>
        <v>Stabil</v>
      </c>
      <c r="L2184" s="84">
        <f t="shared" si="4"/>
        <v>0</v>
      </c>
      <c r="M2184" s="88" t="str">
        <f t="shared" si="5"/>
        <v>Perubahan Normal</v>
      </c>
    </row>
    <row r="2185" ht="18.75" customHeight="1">
      <c r="A2185" s="80" t="s">
        <v>616</v>
      </c>
      <c r="B2185" s="81" t="str">
        <f t="shared" si="1"/>
        <v>Kab Sorong</v>
      </c>
      <c r="C2185" s="81" t="str">
        <f t="array" ref="C2185">XLOOKUP(B2185,Reference!$A$2:$A$152,Reference!$B$2:$B$152)</f>
        <v>Papua Barat Daya</v>
      </c>
      <c r="D2185" s="82" t="s">
        <v>2624</v>
      </c>
      <c r="E2185" s="83">
        <v>45323.0</v>
      </c>
      <c r="F2185" s="84" t="str">
        <f t="array" ref="F2185">XLOOKUP(G2185,Reference!$F:$F,Reference!$D:$D,"null")</f>
        <v>Makanan dan Pakaian </v>
      </c>
      <c r="G2185" s="85" t="s">
        <v>56</v>
      </c>
      <c r="H2185" s="86">
        <v>100.9</v>
      </c>
      <c r="I2185" s="86">
        <v>100.83</v>
      </c>
      <c r="J2185" s="87">
        <f t="shared" si="2"/>
        <v>0.0694237826</v>
      </c>
      <c r="K2185" s="84" t="str">
        <f t="shared" si="3"/>
        <v>Inflasi Normal</v>
      </c>
      <c r="L2185" s="84">
        <f t="shared" si="4"/>
        <v>0.07</v>
      </c>
      <c r="M2185" s="88" t="str">
        <f t="shared" si="5"/>
        <v>Perubahan Normal</v>
      </c>
    </row>
    <row r="2186" ht="18.75" customHeight="1">
      <c r="A2186" s="92" t="s">
        <v>473</v>
      </c>
      <c r="B2186" s="81" t="str">
        <f t="shared" si="1"/>
        <v>Kab Wajo</v>
      </c>
      <c r="C2186" s="81" t="str">
        <f t="array" ref="C2186">XLOOKUP(B2186,Reference!$A$2:$A$152,Reference!$B$2:$B$152)</f>
        <v>Sulawesi Selatan</v>
      </c>
      <c r="D2186" s="82" t="s">
        <v>2625</v>
      </c>
      <c r="E2186" s="83">
        <v>45352.0</v>
      </c>
      <c r="F2186" s="84" t="str">
        <f t="array" ref="F2186">XLOOKUP(G2186,Reference!$F:$F,Reference!$D:$D,"null")</f>
        <v>Rekreasi dan Kendaraan</v>
      </c>
      <c r="G2186" s="85" t="s">
        <v>105</v>
      </c>
      <c r="H2186" s="86">
        <v>102.65</v>
      </c>
      <c r="I2186" s="86">
        <v>101.83</v>
      </c>
      <c r="J2186" s="87">
        <f t="shared" si="2"/>
        <v>0.8052636748</v>
      </c>
      <c r="K2186" s="84" t="str">
        <f t="shared" si="3"/>
        <v>Inflasi Tinggi</v>
      </c>
      <c r="L2186" s="84">
        <f t="shared" si="4"/>
        <v>0.82</v>
      </c>
      <c r="M2186" s="88" t="str">
        <f t="shared" si="5"/>
        <v>Akselerasi Persentase</v>
      </c>
    </row>
    <row r="2187" ht="18.75" customHeight="1">
      <c r="A2187" s="80" t="s">
        <v>934</v>
      </c>
      <c r="B2187" s="81" t="str">
        <f t="shared" si="1"/>
        <v>Kab Kolaka</v>
      </c>
      <c r="C2187" s="81" t="str">
        <f t="array" ref="C2187">XLOOKUP(B2187,Reference!$A$2:$A$152,Reference!$B$2:$B$152)</f>
        <v>Sulawesi Tenggara</v>
      </c>
      <c r="D2187" s="82" t="s">
        <v>2626</v>
      </c>
      <c r="E2187" s="83">
        <v>45352.0</v>
      </c>
      <c r="F2187" s="84" t="str">
        <f t="array" ref="F2187">XLOOKUP(G2187,Reference!$F:$F,Reference!$D:$D,"null")</f>
        <v>Rumah Tangga</v>
      </c>
      <c r="G2187" s="85" t="s">
        <v>80</v>
      </c>
      <c r="H2187" s="86">
        <v>100.83</v>
      </c>
      <c r="I2187" s="86">
        <v>100.83</v>
      </c>
      <c r="J2187" s="87">
        <f t="shared" si="2"/>
        <v>0</v>
      </c>
      <c r="K2187" s="84" t="str">
        <f t="shared" si="3"/>
        <v>Stabil</v>
      </c>
      <c r="L2187" s="84">
        <f t="shared" si="4"/>
        <v>0</v>
      </c>
      <c r="M2187" s="88" t="str">
        <f t="shared" si="5"/>
        <v>Perubahan Normal</v>
      </c>
    </row>
    <row r="2188" ht="18.75" customHeight="1">
      <c r="A2188" s="80" t="s">
        <v>389</v>
      </c>
      <c r="B2188" s="81" t="str">
        <f t="shared" si="1"/>
        <v>Tembilahan</v>
      </c>
      <c r="C2188" s="81" t="str">
        <f t="array" ref="C2188">XLOOKUP(B2188,Reference!$A$2:$A$152,Reference!$B$2:$B$152)</f>
        <v>Riau</v>
      </c>
      <c r="D2188" s="82" t="s">
        <v>2627</v>
      </c>
      <c r="E2188" s="83">
        <v>45352.0</v>
      </c>
      <c r="F2188" s="84" t="str">
        <f t="array" ref="F2188">XLOOKUP(G2188,Reference!$F:$F,Reference!$D:$D,"null")</f>
        <v>Pendidikan dan Kesehatan</v>
      </c>
      <c r="G2188" s="85" t="s">
        <v>98</v>
      </c>
      <c r="H2188" s="86">
        <v>101.12</v>
      </c>
      <c r="I2188" s="86">
        <v>100.76</v>
      </c>
      <c r="J2188" s="87">
        <f t="shared" si="2"/>
        <v>0.3572846368</v>
      </c>
      <c r="K2188" s="84" t="str">
        <f t="shared" si="3"/>
        <v>Inflasi Normal</v>
      </c>
      <c r="L2188" s="84">
        <f t="shared" si="4"/>
        <v>0.36</v>
      </c>
      <c r="M2188" s="88" t="str">
        <f t="shared" si="5"/>
        <v>Perubahan Normal</v>
      </c>
    </row>
    <row r="2189" ht="18.75" customHeight="1">
      <c r="A2189" s="80" t="s">
        <v>740</v>
      </c>
      <c r="B2189" s="81" t="str">
        <f t="shared" si="1"/>
        <v>Kota Gunungsitoli</v>
      </c>
      <c r="C2189" s="81" t="str">
        <f t="array" ref="C2189">XLOOKUP(B2189,Reference!$A$2:$A$152,Reference!$B$2:$B$152)</f>
        <v>Sumatera Utara</v>
      </c>
      <c r="D2189" s="82" t="s">
        <v>2628</v>
      </c>
      <c r="E2189" s="83">
        <v>45323.0</v>
      </c>
      <c r="F2189" s="84" t="str">
        <f t="array" ref="F2189">XLOOKUP(G2189,Reference!$F:$F,Reference!$D:$D,"null")</f>
        <v>Rumah Tangga</v>
      </c>
      <c r="G2189" s="85" t="s">
        <v>89</v>
      </c>
      <c r="H2189" s="86">
        <v>100.27</v>
      </c>
      <c r="I2189" s="86">
        <v>100.27</v>
      </c>
      <c r="J2189" s="87">
        <f t="shared" si="2"/>
        <v>0</v>
      </c>
      <c r="K2189" s="84" t="str">
        <f t="shared" si="3"/>
        <v>Stabil</v>
      </c>
      <c r="L2189" s="84">
        <f t="shared" si="4"/>
        <v>0</v>
      </c>
      <c r="M2189" s="88" t="str">
        <f t="shared" si="5"/>
        <v>Perubahan Normal</v>
      </c>
    </row>
    <row r="2190" ht="18.75" customHeight="1">
      <c r="A2190" s="80" t="s">
        <v>529</v>
      </c>
      <c r="B2190" s="81" t="str">
        <f t="shared" si="1"/>
        <v>Kota Yogyakarta</v>
      </c>
      <c r="C2190" s="81" t="str">
        <f t="array" ref="C2190">XLOOKUP(B2190,Reference!$A$2:$A$152,Reference!$B$2:$B$152)</f>
        <v>D.I. Yogyakarta</v>
      </c>
      <c r="D2190" s="82" t="s">
        <v>2629</v>
      </c>
      <c r="E2190" s="83">
        <v>45352.0</v>
      </c>
      <c r="F2190" s="84" t="str">
        <f t="array" ref="F2190">XLOOKUP(G2190,Reference!$F:$F,Reference!$D:$D,"null")</f>
        <v>Pendidikan dan Kesehatan</v>
      </c>
      <c r="G2190" s="85" t="s">
        <v>98</v>
      </c>
      <c r="H2190" s="86">
        <v>107.0</v>
      </c>
      <c r="I2190" s="86">
        <v>106.62</v>
      </c>
      <c r="J2190" s="87">
        <f t="shared" si="2"/>
        <v>0.3564059276</v>
      </c>
      <c r="K2190" s="84" t="str">
        <f t="shared" si="3"/>
        <v>Inflasi Normal</v>
      </c>
      <c r="L2190" s="84">
        <f t="shared" si="4"/>
        <v>0.38</v>
      </c>
      <c r="M2190" s="88" t="str">
        <f t="shared" si="5"/>
        <v>Perubahan Normal</v>
      </c>
    </row>
    <row r="2191" ht="18.75" customHeight="1">
      <c r="A2191" s="80" t="s">
        <v>308</v>
      </c>
      <c r="B2191" s="81" t="str">
        <f t="shared" si="1"/>
        <v>Kab Sukamara</v>
      </c>
      <c r="C2191" s="81" t="str">
        <f t="array" ref="C2191">XLOOKUP(B2191,Reference!$A$2:$A$152,Reference!$B$2:$B$152)</f>
        <v>Kalimantan Tengah</v>
      </c>
      <c r="D2191" s="82" t="s">
        <v>2630</v>
      </c>
      <c r="E2191" s="83">
        <v>45323.0</v>
      </c>
      <c r="F2191" s="84" t="str">
        <f t="array" ref="F2191">XLOOKUP(G2191,Reference!$F:$F,Reference!$D:$D,"null")</f>
        <v>Rumah Tangga</v>
      </c>
      <c r="G2191" s="85" t="s">
        <v>80</v>
      </c>
      <c r="H2191" s="86">
        <v>100.34</v>
      </c>
      <c r="I2191" s="86">
        <v>100.34</v>
      </c>
      <c r="J2191" s="87">
        <f t="shared" si="2"/>
        <v>0</v>
      </c>
      <c r="K2191" s="84" t="str">
        <f t="shared" si="3"/>
        <v>Stabil</v>
      </c>
      <c r="L2191" s="84">
        <f t="shared" si="4"/>
        <v>0</v>
      </c>
      <c r="M2191" s="88" t="str">
        <f t="shared" si="5"/>
        <v>Perubahan Normal</v>
      </c>
    </row>
    <row r="2192" ht="18.75" customHeight="1">
      <c r="A2192" s="80" t="s">
        <v>606</v>
      </c>
      <c r="B2192" s="81" t="str">
        <f t="shared" si="1"/>
        <v>Kota Pare Pare</v>
      </c>
      <c r="C2192" s="81" t="str">
        <f t="array" ref="C2192">XLOOKUP(B2192,Reference!$A$2:$A$152,Reference!$B$2:$B$152)</f>
        <v>Sulawesi Selatan</v>
      </c>
      <c r="D2192" s="82" t="s">
        <v>2631</v>
      </c>
      <c r="E2192" s="83">
        <v>45352.0</v>
      </c>
      <c r="F2192" s="84" t="str">
        <f t="array" ref="F2192">XLOOKUP(G2192,Reference!$F:$F,Reference!$D:$D,"null")</f>
        <v>Rekreasi dan Kendaraan</v>
      </c>
      <c r="G2192" s="85" t="s">
        <v>105</v>
      </c>
      <c r="H2192" s="86">
        <v>105.57</v>
      </c>
      <c r="I2192" s="86">
        <v>105.41</v>
      </c>
      <c r="J2192" s="87">
        <f t="shared" si="2"/>
        <v>0.1517882554</v>
      </c>
      <c r="K2192" s="84" t="str">
        <f t="shared" si="3"/>
        <v>Inflasi Normal</v>
      </c>
      <c r="L2192" s="84">
        <f t="shared" si="4"/>
        <v>0.16</v>
      </c>
      <c r="M2192" s="88" t="str">
        <f t="shared" si="5"/>
        <v>Perubahan Normal</v>
      </c>
    </row>
    <row r="2193" ht="18.75" customHeight="1">
      <c r="A2193" s="80" t="s">
        <v>512</v>
      </c>
      <c r="B2193" s="81" t="str">
        <f t="shared" si="1"/>
        <v>Kota Palu</v>
      </c>
      <c r="C2193" s="81" t="str">
        <f t="array" ref="C2193">XLOOKUP(B2193,Reference!$A$2:$A$152,Reference!$B$2:$B$152)</f>
        <v>Sulawesi Tengah</v>
      </c>
      <c r="D2193" s="82" t="s">
        <v>2632</v>
      </c>
      <c r="E2193" s="83">
        <v>45323.0</v>
      </c>
      <c r="F2193" s="84" t="str">
        <f t="array" ref="F2193">XLOOKUP(G2193,Reference!$F:$F,Reference!$D:$D,"null")</f>
        <v>Makanan dan Pakaian </v>
      </c>
      <c r="G2193" s="85" t="s">
        <v>56</v>
      </c>
      <c r="H2193" s="86">
        <v>102.75</v>
      </c>
      <c r="I2193" s="86">
        <v>102.82</v>
      </c>
      <c r="J2193" s="87">
        <f t="shared" si="2"/>
        <v>-0.06808014005</v>
      </c>
      <c r="K2193" s="84" t="str">
        <f t="shared" si="3"/>
        <v>Deflasi</v>
      </c>
      <c r="L2193" s="84">
        <f t="shared" si="4"/>
        <v>-0.07</v>
      </c>
      <c r="M2193" s="88" t="str">
        <f t="shared" si="5"/>
        <v>Perubahan Normal</v>
      </c>
    </row>
    <row r="2194" ht="18.75" customHeight="1">
      <c r="A2194" s="80" t="s">
        <v>300</v>
      </c>
      <c r="B2194" s="81" t="str">
        <f t="shared" si="1"/>
        <v>Sintang</v>
      </c>
      <c r="C2194" s="81" t="str">
        <f t="array" ref="C2194">XLOOKUP(B2194,Reference!$A$2:$A$152,Reference!$B$2:$B$152)</f>
        <v>Kalimantan Barat</v>
      </c>
      <c r="D2194" s="82" t="s">
        <v>2633</v>
      </c>
      <c r="E2194" s="83">
        <v>45323.0</v>
      </c>
      <c r="F2194" s="84" t="str">
        <f t="array" ref="F2194">XLOOKUP(G2194,Reference!$F:$F,Reference!$D:$D,"null")</f>
        <v>Pendidikan dan Kesehatan</v>
      </c>
      <c r="G2194" s="85" t="s">
        <v>98</v>
      </c>
      <c r="H2194" s="86">
        <v>104.8</v>
      </c>
      <c r="I2194" s="86">
        <v>105.23</v>
      </c>
      <c r="J2194" s="87">
        <f t="shared" si="2"/>
        <v>-0.408628718</v>
      </c>
      <c r="K2194" s="84" t="str">
        <f t="shared" si="3"/>
        <v>Deflasi</v>
      </c>
      <c r="L2194" s="84">
        <f t="shared" si="4"/>
        <v>-0.43</v>
      </c>
      <c r="M2194" s="88" t="str">
        <f t="shared" si="5"/>
        <v>Perubahan Normal</v>
      </c>
    </row>
    <row r="2195" ht="18.75" customHeight="1">
      <c r="A2195" s="80" t="s">
        <v>346</v>
      </c>
      <c r="B2195" s="81" t="str">
        <f t="shared" si="1"/>
        <v>Kab Timor Tengah Selatan</v>
      </c>
      <c r="C2195" s="81" t="str">
        <f t="array" ref="C2195">XLOOKUP(B2195,Reference!$A$2:$A$152,Reference!$B$2:$B$152)</f>
        <v>Nusa Tenggara Timur (NTT)</v>
      </c>
      <c r="D2195" s="82" t="s">
        <v>2634</v>
      </c>
      <c r="E2195" s="83">
        <v>45352.0</v>
      </c>
      <c r="F2195" s="84" t="str">
        <f t="array" ref="F2195">XLOOKUP(G2195,Reference!$F:$F,Reference!$D:$D,"null")</f>
        <v>Rumah Tangga</v>
      </c>
      <c r="G2195" s="85" t="s">
        <v>89</v>
      </c>
      <c r="H2195" s="86">
        <v>101.3</v>
      </c>
      <c r="I2195" s="86">
        <v>99.87</v>
      </c>
      <c r="J2195" s="87">
        <f t="shared" si="2"/>
        <v>1.43186142</v>
      </c>
      <c r="K2195" s="84" t="str">
        <f t="shared" si="3"/>
        <v>Inflasi Tinggi</v>
      </c>
      <c r="L2195" s="84">
        <f t="shared" si="4"/>
        <v>1.43</v>
      </c>
      <c r="M2195" s="88" t="str">
        <f t="shared" si="5"/>
        <v>Akselerasi Persentase</v>
      </c>
    </row>
    <row r="2196" ht="18.75" customHeight="1">
      <c r="A2196" s="80" t="s">
        <v>628</v>
      </c>
      <c r="B2196" s="81" t="str">
        <f t="shared" si="1"/>
        <v>Watampone</v>
      </c>
      <c r="C2196" s="81" t="str">
        <f t="array" ref="C2196">XLOOKUP(B2196,Reference!$A$2:$A$152,Reference!$B$2:$B$152)</f>
        <v>Sulawesi Selatan</v>
      </c>
      <c r="D2196" s="82" t="s">
        <v>2635</v>
      </c>
      <c r="E2196" s="83">
        <v>45352.0</v>
      </c>
      <c r="F2196" s="84" t="str">
        <f t="array" ref="F2196">XLOOKUP(G2196,Reference!$F:$F,Reference!$D:$D,"null")</f>
        <v>Pendidikan dan Kesehatan</v>
      </c>
      <c r="G2196" s="85" t="s">
        <v>95</v>
      </c>
      <c r="H2196" s="86">
        <v>100.1</v>
      </c>
      <c r="I2196" s="86">
        <v>100.1</v>
      </c>
      <c r="J2196" s="87">
        <f t="shared" si="2"/>
        <v>0</v>
      </c>
      <c r="K2196" s="84" t="str">
        <f t="shared" si="3"/>
        <v>Stabil</v>
      </c>
      <c r="L2196" s="84">
        <f t="shared" si="4"/>
        <v>0</v>
      </c>
      <c r="M2196" s="88" t="str">
        <f t="shared" si="5"/>
        <v>Perubahan Normal</v>
      </c>
    </row>
    <row r="2197" ht="18.75" customHeight="1">
      <c r="A2197" s="80" t="s">
        <v>349</v>
      </c>
      <c r="B2197" s="81" t="str">
        <f t="shared" si="1"/>
        <v>Kota Banjarmasin</v>
      </c>
      <c r="C2197" s="81" t="str">
        <f t="array" ref="C2197">XLOOKUP(B2197,Reference!$A$2:$A$152,Reference!$B$2:$B$152)</f>
        <v>Kalimantan Selatan</v>
      </c>
      <c r="D2197" s="82" t="s">
        <v>2636</v>
      </c>
      <c r="E2197" s="83">
        <v>45323.0</v>
      </c>
      <c r="F2197" s="84" t="str">
        <f t="array" ref="F2197">XLOOKUP(G2197,Reference!$F:$F,Reference!$D:$D,"null")</f>
        <v>Rumah Tangga</v>
      </c>
      <c r="G2197" s="85" t="s">
        <v>84</v>
      </c>
      <c r="H2197" s="86">
        <v>100.2</v>
      </c>
      <c r="I2197" s="86">
        <v>100.21</v>
      </c>
      <c r="J2197" s="87">
        <f t="shared" si="2"/>
        <v>-0.009979044008</v>
      </c>
      <c r="K2197" s="84" t="str">
        <f t="shared" si="3"/>
        <v>Deflasi</v>
      </c>
      <c r="L2197" s="84">
        <f t="shared" si="4"/>
        <v>-0.01</v>
      </c>
      <c r="M2197" s="88" t="str">
        <f t="shared" si="5"/>
        <v>Perubahan Normal</v>
      </c>
    </row>
    <row r="2198" ht="18.75" customHeight="1">
      <c r="A2198" s="80" t="s">
        <v>586</v>
      </c>
      <c r="B2198" s="81" t="str">
        <f t="shared" si="1"/>
        <v>Kab Karimun</v>
      </c>
      <c r="C2198" s="81" t="str">
        <f t="array" ref="C2198">XLOOKUP(B2198,Reference!$A$2:$A$152,Reference!$B$2:$B$152)</f>
        <v>Kepulauan Riau</v>
      </c>
      <c r="D2198" s="82" t="s">
        <v>2637</v>
      </c>
      <c r="E2198" s="83">
        <v>45323.0</v>
      </c>
      <c r="F2198" s="84" t="str">
        <f t="array" ref="F2198">XLOOKUP(G2198,Reference!$F:$F,Reference!$D:$D,"null")</f>
        <v>Pendidikan dan Kesehatan</v>
      </c>
      <c r="G2198" s="85" t="s">
        <v>95</v>
      </c>
      <c r="H2198" s="86">
        <v>100.0</v>
      </c>
      <c r="I2198" s="86">
        <v>100.0</v>
      </c>
      <c r="J2198" s="87">
        <f t="shared" si="2"/>
        <v>0</v>
      </c>
      <c r="K2198" s="84" t="str">
        <f t="shared" si="3"/>
        <v>Stabil</v>
      </c>
      <c r="L2198" s="84">
        <f t="shared" si="4"/>
        <v>0</v>
      </c>
      <c r="M2198" s="88" t="str">
        <f t="shared" si="5"/>
        <v>Perubahan Normal</v>
      </c>
    </row>
    <row r="2199" ht="18.75" customHeight="1">
      <c r="A2199" s="80" t="s">
        <v>990</v>
      </c>
      <c r="B2199" s="81" t="str">
        <f t="shared" si="1"/>
        <v>Kab Pandeglang</v>
      </c>
      <c r="C2199" s="81" t="str">
        <f t="array" ref="C2199">XLOOKUP(B2199,Reference!$A$2:$A$152,Reference!$B$2:$B$152)</f>
        <v>Banten</v>
      </c>
      <c r="D2199" s="82" t="s">
        <v>2638</v>
      </c>
      <c r="E2199" s="83">
        <v>45323.0</v>
      </c>
      <c r="F2199" s="84" t="str">
        <f t="array" ref="F2199">XLOOKUP(G2199,Reference!$F:$F,Reference!$D:$D,"null")</f>
        <v>Makanan dan Pakaian </v>
      </c>
      <c r="G2199" s="85" t="s">
        <v>64</v>
      </c>
      <c r="H2199" s="86">
        <v>102.61</v>
      </c>
      <c r="I2199" s="86">
        <v>102.51</v>
      </c>
      <c r="J2199" s="87">
        <f t="shared" si="2"/>
        <v>0.09755145839</v>
      </c>
      <c r="K2199" s="84" t="str">
        <f t="shared" si="3"/>
        <v>Inflasi Normal</v>
      </c>
      <c r="L2199" s="84">
        <f t="shared" si="4"/>
        <v>0.1</v>
      </c>
      <c r="M2199" s="88" t="str">
        <f t="shared" si="5"/>
        <v>Perubahan Normal</v>
      </c>
    </row>
    <row r="2200" ht="18.75" customHeight="1">
      <c r="A2200" s="80" t="s">
        <v>342</v>
      </c>
      <c r="B2200" s="81" t="str">
        <f t="shared" si="1"/>
        <v>Kab Bandung</v>
      </c>
      <c r="C2200" s="81" t="str">
        <f t="array" ref="C2200">XLOOKUP(B2200,Reference!$A$2:$A$152,Reference!$B$2:$B$152)</f>
        <v>Jawa Barat</v>
      </c>
      <c r="D2200" s="82" t="s">
        <v>2639</v>
      </c>
      <c r="E2200" s="83">
        <v>45323.0</v>
      </c>
      <c r="F2200" s="84" t="str">
        <f t="array" ref="F2200">XLOOKUP(G2200,Reference!$F:$F,Reference!$D:$D,"null")</f>
        <v>Pendidikan dan Kesehatan</v>
      </c>
      <c r="G2200" s="85" t="s">
        <v>98</v>
      </c>
      <c r="H2200" s="86">
        <v>102.99</v>
      </c>
      <c r="I2200" s="86">
        <v>102.99</v>
      </c>
      <c r="J2200" s="87">
        <f t="shared" si="2"/>
        <v>0</v>
      </c>
      <c r="K2200" s="84" t="str">
        <f t="shared" si="3"/>
        <v>Stabil</v>
      </c>
      <c r="L2200" s="84">
        <f t="shared" si="4"/>
        <v>0</v>
      </c>
      <c r="M2200" s="88" t="str">
        <f t="shared" si="5"/>
        <v>Perubahan Normal</v>
      </c>
    </row>
    <row r="2201" ht="18.75" customHeight="1">
      <c r="A2201" s="80" t="s">
        <v>631</v>
      </c>
      <c r="B2201" s="81" t="str">
        <f t="shared" si="1"/>
        <v>Kab Toli Toli</v>
      </c>
      <c r="C2201" s="81" t="str">
        <f t="array" ref="C2201">XLOOKUP(B2201,Reference!$A$2:$A$152,Reference!$B$2:$B$152)</f>
        <v>Sulawesi Tengah</v>
      </c>
      <c r="D2201" s="82" t="s">
        <v>2640</v>
      </c>
      <c r="E2201" s="83">
        <v>45352.0</v>
      </c>
      <c r="F2201" s="84" t="str">
        <f t="array" ref="F2201">XLOOKUP(G2201,Reference!$F:$F,Reference!$D:$D,"null")</f>
        <v>Rumah Tangga</v>
      </c>
      <c r="G2201" s="85" t="s">
        <v>89</v>
      </c>
      <c r="H2201" s="86">
        <v>85.45</v>
      </c>
      <c r="I2201" s="86">
        <v>85.45</v>
      </c>
      <c r="J2201" s="87">
        <f t="shared" si="2"/>
        <v>0</v>
      </c>
      <c r="K2201" s="84" t="str">
        <f t="shared" si="3"/>
        <v>Stabil</v>
      </c>
      <c r="L2201" s="84">
        <f t="shared" si="4"/>
        <v>0</v>
      </c>
      <c r="M2201" s="88" t="str">
        <f t="shared" si="5"/>
        <v>Perubahan Normal</v>
      </c>
    </row>
    <row r="2202" ht="18.75" customHeight="1">
      <c r="A2202" s="80" t="s">
        <v>539</v>
      </c>
      <c r="B2202" s="81" t="str">
        <f t="shared" si="1"/>
        <v>Kab Sorong Selatan</v>
      </c>
      <c r="C2202" s="81" t="str">
        <f t="array" ref="C2202">XLOOKUP(B2202,Reference!$A$2:$A$152,Reference!$B$2:$B$152)</f>
        <v>Papua Barat Daya</v>
      </c>
      <c r="D2202" s="82" t="s">
        <v>2641</v>
      </c>
      <c r="E2202" s="83">
        <v>45323.0</v>
      </c>
      <c r="F2202" s="84" t="str">
        <f t="array" ref="F2202">XLOOKUP(G2202,Reference!$F:$F,Reference!$D:$D,"null")</f>
        <v>Rumah Tangga</v>
      </c>
      <c r="G2202" s="85" t="s">
        <v>80</v>
      </c>
      <c r="H2202" s="86">
        <v>100.0</v>
      </c>
      <c r="I2202" s="86">
        <v>100.0</v>
      </c>
      <c r="J2202" s="87">
        <f t="shared" si="2"/>
        <v>0</v>
      </c>
      <c r="K2202" s="84" t="str">
        <f t="shared" si="3"/>
        <v>Stabil</v>
      </c>
      <c r="L2202" s="84">
        <f t="shared" si="4"/>
        <v>0</v>
      </c>
      <c r="M2202" s="88" t="str">
        <f t="shared" si="5"/>
        <v>Perubahan Normal</v>
      </c>
    </row>
    <row r="2203" ht="18.75" customHeight="1">
      <c r="A2203" s="80" t="s">
        <v>1282</v>
      </c>
      <c r="B2203" s="81" t="str">
        <f t="shared" si="1"/>
        <v>Kota Bima</v>
      </c>
      <c r="C2203" s="81" t="str">
        <f t="array" ref="C2203">XLOOKUP(B2203,Reference!$A$2:$A$152,Reference!$B$2:$B$152)</f>
        <v>Nusa Tenggara Barat (NTB)</v>
      </c>
      <c r="D2203" s="82" t="s">
        <v>2642</v>
      </c>
      <c r="E2203" s="83">
        <v>45323.0</v>
      </c>
      <c r="F2203" s="84" t="str">
        <f t="array" ref="F2203">XLOOKUP(G2203,Reference!$F:$F,Reference!$D:$D,"null")</f>
        <v>Pendidikan dan Kesehatan</v>
      </c>
      <c r="G2203" s="85" t="s">
        <v>98</v>
      </c>
      <c r="H2203" s="86">
        <v>102.51</v>
      </c>
      <c r="I2203" s="86">
        <v>102.41</v>
      </c>
      <c r="J2203" s="87">
        <f t="shared" si="2"/>
        <v>0.09764671419</v>
      </c>
      <c r="K2203" s="84" t="str">
        <f t="shared" si="3"/>
        <v>Inflasi Normal</v>
      </c>
      <c r="L2203" s="84">
        <f t="shared" si="4"/>
        <v>0.1</v>
      </c>
      <c r="M2203" s="88" t="str">
        <f t="shared" si="5"/>
        <v>Perubahan Normal</v>
      </c>
    </row>
    <row r="2204" ht="18.75" customHeight="1">
      <c r="A2204" s="80" t="s">
        <v>417</v>
      </c>
      <c r="B2204" s="81" t="str">
        <f t="shared" si="1"/>
        <v>Kotabaru</v>
      </c>
      <c r="C2204" s="81" t="str">
        <f t="array" ref="C2204">XLOOKUP(B2204,Reference!$A$2:$A$152,Reference!$B$2:$B$152)</f>
        <v>Kalimantan Selatan</v>
      </c>
      <c r="D2204" s="82" t="s">
        <v>2643</v>
      </c>
      <c r="E2204" s="83">
        <v>45352.0</v>
      </c>
      <c r="F2204" s="84" t="str">
        <f t="array" ref="F2204">XLOOKUP(G2204,Reference!$F:$F,Reference!$D:$D,"null")</f>
        <v>Pendidikan dan Kesehatan</v>
      </c>
      <c r="G2204" s="85" t="s">
        <v>95</v>
      </c>
      <c r="H2204" s="86">
        <v>100.79</v>
      </c>
      <c r="I2204" s="86">
        <v>100.79</v>
      </c>
      <c r="J2204" s="87">
        <f t="shared" si="2"/>
        <v>0</v>
      </c>
      <c r="K2204" s="84" t="str">
        <f t="shared" si="3"/>
        <v>Stabil</v>
      </c>
      <c r="L2204" s="84">
        <f t="shared" si="4"/>
        <v>0</v>
      </c>
      <c r="M2204" s="88" t="str">
        <f t="shared" si="5"/>
        <v>Perubahan Normal</v>
      </c>
    </row>
    <row r="2205" ht="18.75" customHeight="1">
      <c r="A2205" s="80" t="s">
        <v>414</v>
      </c>
      <c r="B2205" s="81" t="str">
        <f t="shared" si="1"/>
        <v>Kota Bandung</v>
      </c>
      <c r="C2205" s="81" t="str">
        <f t="array" ref="C2205">XLOOKUP(B2205,Reference!$A$2:$A$152,Reference!$B$2:$B$152)</f>
        <v>Jawa Barat</v>
      </c>
      <c r="D2205" s="82" t="s">
        <v>2644</v>
      </c>
      <c r="E2205" s="83">
        <v>45323.0</v>
      </c>
      <c r="F2205" s="84" t="str">
        <f t="array" ref="F2205">XLOOKUP(G2205,Reference!$F:$F,Reference!$D:$D,"null")</f>
        <v>Makanan dan Pakaian </v>
      </c>
      <c r="G2205" s="89" t="s">
        <v>72</v>
      </c>
      <c r="H2205" s="90">
        <v>102.44</v>
      </c>
      <c r="I2205" s="90">
        <v>102.13</v>
      </c>
      <c r="J2205" s="87">
        <f t="shared" si="2"/>
        <v>0.3035347107</v>
      </c>
      <c r="K2205" s="84" t="str">
        <f t="shared" si="3"/>
        <v>Inflasi Normal</v>
      </c>
      <c r="L2205" s="91">
        <f t="shared" si="4"/>
        <v>0.31</v>
      </c>
      <c r="M2205" s="88" t="str">
        <f t="shared" si="5"/>
        <v>Perubahan Normal</v>
      </c>
    </row>
    <row r="2206" ht="18.75" customHeight="1">
      <c r="A2206" s="80" t="s">
        <v>462</v>
      </c>
      <c r="B2206" s="81" t="str">
        <f t="shared" si="1"/>
        <v>Kota Probolinggo</v>
      </c>
      <c r="C2206" s="81" t="str">
        <f t="array" ref="C2206">XLOOKUP(B2206,Reference!$A$2:$A$152,Reference!$B$2:$B$152)</f>
        <v>Jawa Timur</v>
      </c>
      <c r="D2206" s="82" t="s">
        <v>2645</v>
      </c>
      <c r="E2206" s="83">
        <v>45352.0</v>
      </c>
      <c r="F2206" s="84" t="str">
        <f t="array" ref="F2206">XLOOKUP(G2206,Reference!$F:$F,Reference!$D:$D,"null")</f>
        <v>Makanan dan Pakaian </v>
      </c>
      <c r="G2206" s="85" t="s">
        <v>64</v>
      </c>
      <c r="H2206" s="86">
        <v>104.13</v>
      </c>
      <c r="I2206" s="86">
        <v>104.0</v>
      </c>
      <c r="J2206" s="87">
        <f t="shared" si="2"/>
        <v>0.125</v>
      </c>
      <c r="K2206" s="84" t="str">
        <f t="shared" si="3"/>
        <v>Inflasi Normal</v>
      </c>
      <c r="L2206" s="84">
        <f t="shared" si="4"/>
        <v>0.13</v>
      </c>
      <c r="M2206" s="88" t="str">
        <f t="shared" si="5"/>
        <v>Perubahan Normal</v>
      </c>
    </row>
    <row r="2207" ht="18.75" customHeight="1">
      <c r="A2207" s="80" t="s">
        <v>367</v>
      </c>
      <c r="B2207" s="81" t="str">
        <f t="shared" si="1"/>
        <v>Kota Jambi</v>
      </c>
      <c r="C2207" s="81" t="str">
        <f t="array" ref="C2207">XLOOKUP(B2207,Reference!$A$2:$A$152,Reference!$B$2:$B$152)</f>
        <v>Jambi</v>
      </c>
      <c r="D2207" s="82" t="s">
        <v>2646</v>
      </c>
      <c r="E2207" s="83">
        <v>45323.0</v>
      </c>
      <c r="F2207" s="84" t="str">
        <f t="array" ref="F2207">XLOOKUP(G2207,Reference!$F:$F,Reference!$D:$D,"null")</f>
        <v>Makanan dan Pakaian </v>
      </c>
      <c r="G2207" s="85" t="s">
        <v>72</v>
      </c>
      <c r="H2207" s="86">
        <v>100.42</v>
      </c>
      <c r="I2207" s="86">
        <v>100.42</v>
      </c>
      <c r="J2207" s="87">
        <f t="shared" si="2"/>
        <v>0</v>
      </c>
      <c r="K2207" s="84" t="str">
        <f t="shared" si="3"/>
        <v>Stabil</v>
      </c>
      <c r="L2207" s="84">
        <f t="shared" si="4"/>
        <v>0</v>
      </c>
      <c r="M2207" s="88" t="str">
        <f t="shared" si="5"/>
        <v>Perubahan Normal</v>
      </c>
    </row>
    <row r="2208" ht="18.75" customHeight="1">
      <c r="A2208" s="80" t="s">
        <v>360</v>
      </c>
      <c r="B2208" s="81" t="str">
        <f t="shared" si="1"/>
        <v>Kab Wonosobo</v>
      </c>
      <c r="C2208" s="81" t="str">
        <f t="array" ref="C2208">XLOOKUP(B2208,Reference!$A$2:$A$152,Reference!$B$2:$B$152)</f>
        <v>Jawa Tengah</v>
      </c>
      <c r="D2208" s="82" t="s">
        <v>2647</v>
      </c>
      <c r="E2208" s="83">
        <v>45323.0</v>
      </c>
      <c r="F2208" s="84" t="str">
        <f t="array" ref="F2208">XLOOKUP(G2208,Reference!$F:$F,Reference!$D:$D,"null")</f>
        <v>Rekreasi dan Kendaraan</v>
      </c>
      <c r="G2208" s="85" t="s">
        <v>105</v>
      </c>
      <c r="H2208" s="86">
        <v>102.76</v>
      </c>
      <c r="I2208" s="86">
        <v>102.76</v>
      </c>
      <c r="J2208" s="87">
        <f t="shared" si="2"/>
        <v>0</v>
      </c>
      <c r="K2208" s="84" t="str">
        <f t="shared" si="3"/>
        <v>Stabil</v>
      </c>
      <c r="L2208" s="84">
        <f t="shared" si="4"/>
        <v>0</v>
      </c>
      <c r="M2208" s="88" t="str">
        <f t="shared" si="5"/>
        <v>Perubahan Normal</v>
      </c>
    </row>
    <row r="2209" ht="18.75" customHeight="1">
      <c r="A2209" s="80" t="s">
        <v>740</v>
      </c>
      <c r="B2209" s="81" t="str">
        <f t="shared" si="1"/>
        <v>Kota Gunungsitoli</v>
      </c>
      <c r="C2209" s="81" t="str">
        <f t="array" ref="C2209">XLOOKUP(B2209,Reference!$A$2:$A$152,Reference!$B$2:$B$152)</f>
        <v>Sumatera Utara</v>
      </c>
      <c r="D2209" s="82" t="s">
        <v>2648</v>
      </c>
      <c r="E2209" s="83">
        <v>45352.0</v>
      </c>
      <c r="F2209" s="84" t="str">
        <f t="array" ref="F2209">XLOOKUP(G2209,Reference!$F:$F,Reference!$D:$D,"null")</f>
        <v>Makanan dan Pakaian </v>
      </c>
      <c r="G2209" s="85" t="s">
        <v>72</v>
      </c>
      <c r="H2209" s="86">
        <v>102.16</v>
      </c>
      <c r="I2209" s="86">
        <v>102.16</v>
      </c>
      <c r="J2209" s="87">
        <f t="shared" si="2"/>
        <v>0</v>
      </c>
      <c r="K2209" s="84" t="str">
        <f t="shared" si="3"/>
        <v>Stabil</v>
      </c>
      <c r="L2209" s="84">
        <f t="shared" si="4"/>
        <v>0</v>
      </c>
      <c r="M2209" s="88" t="str">
        <f t="shared" si="5"/>
        <v>Perubahan Normal</v>
      </c>
    </row>
    <row r="2210" ht="18.75" customHeight="1">
      <c r="A2210" s="80" t="s">
        <v>454</v>
      </c>
      <c r="B2210" s="81" t="str">
        <f t="shared" si="1"/>
        <v>Kab Ketapang</v>
      </c>
      <c r="C2210" s="81" t="str">
        <f t="array" ref="C2210">XLOOKUP(B2210,Reference!$A$2:$A$152,Reference!$B$2:$B$152)</f>
        <v>Kalimantan Barat</v>
      </c>
      <c r="D2210" s="82" t="s">
        <v>2649</v>
      </c>
      <c r="E2210" s="83">
        <v>45352.0</v>
      </c>
      <c r="F2210" s="84" t="str">
        <f t="array" ref="F2210">XLOOKUP(G2210,Reference!$F:$F,Reference!$D:$D,"null")</f>
        <v>Makanan dan Pakaian </v>
      </c>
      <c r="G2210" s="89" t="s">
        <v>72</v>
      </c>
      <c r="H2210" s="90">
        <v>100.0</v>
      </c>
      <c r="I2210" s="90">
        <v>100.0</v>
      </c>
      <c r="J2210" s="87">
        <f t="shared" si="2"/>
        <v>0</v>
      </c>
      <c r="K2210" s="84" t="str">
        <f t="shared" si="3"/>
        <v>Stabil</v>
      </c>
      <c r="L2210" s="91">
        <f t="shared" si="4"/>
        <v>0</v>
      </c>
      <c r="M2210" s="88" t="str">
        <f t="shared" si="5"/>
        <v>Perubahan Normal</v>
      </c>
    </row>
    <row r="2211" ht="18.75" customHeight="1">
      <c r="A2211" s="80" t="s">
        <v>965</v>
      </c>
      <c r="B2211" s="81" t="str">
        <f t="shared" si="1"/>
        <v>Kab Konawe</v>
      </c>
      <c r="C2211" s="81" t="str">
        <f t="array" ref="C2211">XLOOKUP(B2211,Reference!$A$2:$A$152,Reference!$B$2:$B$152)</f>
        <v>Sulawesi Tenggara</v>
      </c>
      <c r="D2211" s="82" t="s">
        <v>2650</v>
      </c>
      <c r="E2211" s="83">
        <v>45352.0</v>
      </c>
      <c r="F2211" s="84" t="str">
        <f t="array" ref="F2211">XLOOKUP(G2211,Reference!$F:$F,Reference!$D:$D,"null")</f>
        <v>Rekreasi dan Kendaraan</v>
      </c>
      <c r="G2211" s="85" t="s">
        <v>105</v>
      </c>
      <c r="H2211" s="86">
        <v>103.84</v>
      </c>
      <c r="I2211" s="86">
        <v>103.84</v>
      </c>
      <c r="J2211" s="87">
        <f t="shared" si="2"/>
        <v>0</v>
      </c>
      <c r="K2211" s="84" t="str">
        <f t="shared" si="3"/>
        <v>Stabil</v>
      </c>
      <c r="L2211" s="84">
        <f t="shared" si="4"/>
        <v>0</v>
      </c>
      <c r="M2211" s="88" t="str">
        <f t="shared" si="5"/>
        <v>Perubahan Normal</v>
      </c>
    </row>
    <row r="2212" ht="18.75" customHeight="1">
      <c r="A2212" s="80" t="s">
        <v>378</v>
      </c>
      <c r="B2212" s="81" t="str">
        <f t="shared" si="1"/>
        <v>Kab Berau</v>
      </c>
      <c r="C2212" s="81" t="str">
        <f t="array" ref="C2212">XLOOKUP(B2212,Reference!$A$2:$A$152,Reference!$B$2:$B$152)</f>
        <v>Kalimantan Timur</v>
      </c>
      <c r="D2212" s="82" t="s">
        <v>2651</v>
      </c>
      <c r="E2212" s="83">
        <v>45352.0</v>
      </c>
      <c r="F2212" s="84" t="str">
        <f t="array" ref="F2212">XLOOKUP(G2212,Reference!$F:$F,Reference!$D:$D,"null")</f>
        <v>Rekreasi dan Kendaraan</v>
      </c>
      <c r="G2212" s="85" t="s">
        <v>105</v>
      </c>
      <c r="H2212" s="86">
        <v>103.04</v>
      </c>
      <c r="I2212" s="86">
        <v>103.01</v>
      </c>
      <c r="J2212" s="87">
        <f t="shared" si="2"/>
        <v>0.02912338608</v>
      </c>
      <c r="K2212" s="84" t="str">
        <f t="shared" si="3"/>
        <v>Inflasi Normal</v>
      </c>
      <c r="L2212" s="84">
        <f t="shared" si="4"/>
        <v>0.03</v>
      </c>
      <c r="M2212" s="88" t="str">
        <f t="shared" si="5"/>
        <v>Perubahan Normal</v>
      </c>
    </row>
    <row r="2213" ht="18.75" customHeight="1">
      <c r="A2213" s="80" t="s">
        <v>517</v>
      </c>
      <c r="B2213" s="81" t="str">
        <f t="shared" si="1"/>
        <v>Kota Kupang</v>
      </c>
      <c r="C2213" s="81" t="str">
        <f t="array" ref="C2213">XLOOKUP(B2213,Reference!$A$2:$A$152,Reference!$B$2:$B$152)</f>
        <v>Nusa Tenggara Timur (NTT)</v>
      </c>
      <c r="D2213" s="82" t="s">
        <v>2652</v>
      </c>
      <c r="E2213" s="83">
        <v>45352.0</v>
      </c>
      <c r="F2213" s="84" t="str">
        <f t="array" ref="F2213">XLOOKUP(G2213,Reference!$F:$F,Reference!$D:$D,"null")</f>
        <v>Makanan dan Pakaian </v>
      </c>
      <c r="G2213" s="85" t="s">
        <v>72</v>
      </c>
      <c r="H2213" s="86">
        <v>100.33</v>
      </c>
      <c r="I2213" s="86">
        <v>100.33</v>
      </c>
      <c r="J2213" s="87">
        <f t="shared" si="2"/>
        <v>0</v>
      </c>
      <c r="K2213" s="84" t="str">
        <f t="shared" si="3"/>
        <v>Stabil</v>
      </c>
      <c r="L2213" s="84">
        <f t="shared" si="4"/>
        <v>0</v>
      </c>
      <c r="M2213" s="88" t="str">
        <f t="shared" si="5"/>
        <v>Perubahan Normal</v>
      </c>
    </row>
    <row r="2214" ht="18.75" customHeight="1">
      <c r="A2214" s="80" t="s">
        <v>318</v>
      </c>
      <c r="B2214" s="81" t="str">
        <f t="shared" si="1"/>
        <v>Tanjung</v>
      </c>
      <c r="C2214" s="81" t="str">
        <f t="array" ref="C2214">XLOOKUP(B2214,Reference!$A$2:$A$152,Reference!$B$2:$B$152)</f>
        <v>Kalimantan Selatan</v>
      </c>
      <c r="D2214" s="82" t="s">
        <v>2653</v>
      </c>
      <c r="E2214" s="83">
        <v>45323.0</v>
      </c>
      <c r="F2214" s="84" t="str">
        <f t="array" ref="F2214">XLOOKUP(G2214,Reference!$F:$F,Reference!$D:$D,"null")</f>
        <v>Rumah Tangga</v>
      </c>
      <c r="G2214" s="85" t="s">
        <v>89</v>
      </c>
      <c r="H2214" s="86">
        <v>105.87</v>
      </c>
      <c r="I2214" s="86">
        <v>105.21</v>
      </c>
      <c r="J2214" s="87">
        <f t="shared" si="2"/>
        <v>0.627316795</v>
      </c>
      <c r="K2214" s="84" t="str">
        <f t="shared" si="3"/>
        <v>Inflasi Tinggi</v>
      </c>
      <c r="L2214" s="84">
        <f t="shared" si="4"/>
        <v>0.66</v>
      </c>
      <c r="M2214" s="88" t="str">
        <f t="shared" si="5"/>
        <v>Akselerasi Persentase</v>
      </c>
    </row>
    <row r="2215" ht="18.75" customHeight="1">
      <c r="A2215" s="80" t="s">
        <v>485</v>
      </c>
      <c r="B2215" s="81" t="str">
        <f t="shared" si="1"/>
        <v>Banyuwangi</v>
      </c>
      <c r="C2215" s="81" t="str">
        <f t="array" ref="C2215">XLOOKUP(B2215,Reference!$A$2:$A$152,Reference!$B$2:$B$152)</f>
        <v>Jawa Timur</v>
      </c>
      <c r="D2215" s="82" t="s">
        <v>2654</v>
      </c>
      <c r="E2215" s="83">
        <v>45352.0</v>
      </c>
      <c r="F2215" s="84" t="str">
        <f t="array" ref="F2215">XLOOKUP(G2215,Reference!$F:$F,Reference!$D:$D,"null")</f>
        <v>Pendidikan dan Kesehatan</v>
      </c>
      <c r="G2215" s="85" t="s">
        <v>95</v>
      </c>
      <c r="H2215" s="86">
        <v>104.36</v>
      </c>
      <c r="I2215" s="86">
        <v>104.36</v>
      </c>
      <c r="J2215" s="87">
        <f t="shared" si="2"/>
        <v>0</v>
      </c>
      <c r="K2215" s="84" t="str">
        <f t="shared" si="3"/>
        <v>Stabil</v>
      </c>
      <c r="L2215" s="84">
        <f t="shared" si="4"/>
        <v>0</v>
      </c>
      <c r="M2215" s="88" t="str">
        <f t="shared" si="5"/>
        <v>Perubahan Normal</v>
      </c>
    </row>
    <row r="2216" ht="18.75" customHeight="1">
      <c r="A2216" s="80" t="s">
        <v>634</v>
      </c>
      <c r="B2216" s="81" t="str">
        <f t="shared" si="1"/>
        <v>Kota Depok</v>
      </c>
      <c r="C2216" s="81" t="str">
        <f t="array" ref="C2216">XLOOKUP(B2216,Reference!$A$2:$A$152,Reference!$B$2:$B$152)</f>
        <v>Jawa Barat</v>
      </c>
      <c r="D2216" s="82" t="s">
        <v>2655</v>
      </c>
      <c r="E2216" s="83">
        <v>45323.0</v>
      </c>
      <c r="F2216" s="84" t="str">
        <f t="array" ref="F2216">XLOOKUP(G2216,Reference!$F:$F,Reference!$D:$D,"null")</f>
        <v>Rekreasi dan Kendaraan</v>
      </c>
      <c r="G2216" s="85" t="s">
        <v>105</v>
      </c>
      <c r="H2216" s="86">
        <v>100.59</v>
      </c>
      <c r="I2216" s="86">
        <v>100.59</v>
      </c>
      <c r="J2216" s="87">
        <f t="shared" si="2"/>
        <v>0</v>
      </c>
      <c r="K2216" s="84" t="str">
        <f t="shared" si="3"/>
        <v>Stabil</v>
      </c>
      <c r="L2216" s="84">
        <f t="shared" si="4"/>
        <v>0</v>
      </c>
      <c r="M2216" s="88" t="str">
        <f t="shared" si="5"/>
        <v>Perubahan Normal</v>
      </c>
    </row>
    <row r="2217" ht="18.75" customHeight="1">
      <c r="A2217" s="80" t="s">
        <v>329</v>
      </c>
      <c r="B2217" s="81" t="str">
        <f t="shared" si="1"/>
        <v>Kab Penajam Paser Utara</v>
      </c>
      <c r="C2217" s="81" t="str">
        <f t="array" ref="C2217">XLOOKUP(B2217,Reference!$A$2:$A$152,Reference!$B$2:$B$152)</f>
        <v>Kalimantan Timur</v>
      </c>
      <c r="D2217" s="82" t="s">
        <v>2656</v>
      </c>
      <c r="E2217" s="83">
        <v>45352.0</v>
      </c>
      <c r="F2217" s="84" t="str">
        <f t="array" ref="F2217">XLOOKUP(G2217,Reference!$F:$F,Reference!$D:$D,"null")</f>
        <v>Makanan dan Pakaian </v>
      </c>
      <c r="G2217" s="85" t="s">
        <v>64</v>
      </c>
      <c r="H2217" s="86">
        <v>104.5</v>
      </c>
      <c r="I2217" s="86">
        <v>104.5</v>
      </c>
      <c r="J2217" s="87">
        <f t="shared" si="2"/>
        <v>0</v>
      </c>
      <c r="K2217" s="84" t="str">
        <f t="shared" si="3"/>
        <v>Stabil</v>
      </c>
      <c r="L2217" s="84">
        <f t="shared" si="4"/>
        <v>0</v>
      </c>
      <c r="M2217" s="88" t="str">
        <f t="shared" si="5"/>
        <v>Perubahan Normal</v>
      </c>
    </row>
    <row r="2218" ht="18.75" customHeight="1">
      <c r="A2218" s="80" t="s">
        <v>663</v>
      </c>
      <c r="B2218" s="81" t="str">
        <f t="shared" si="1"/>
        <v>Kota Serang</v>
      </c>
      <c r="C2218" s="81" t="str">
        <f t="array" ref="C2218">XLOOKUP(B2218,Reference!$A$2:$A$152,Reference!$B$2:$B$152)</f>
        <v>Banten</v>
      </c>
      <c r="D2218" s="82" t="s">
        <v>2657</v>
      </c>
      <c r="E2218" s="83">
        <v>45323.0</v>
      </c>
      <c r="F2218" s="84" t="str">
        <f t="array" ref="F2218">XLOOKUP(G2218,Reference!$F:$F,Reference!$D:$D,"null")</f>
        <v>Rekreasi dan Kendaraan</v>
      </c>
      <c r="G2218" s="85" t="s">
        <v>105</v>
      </c>
      <c r="H2218" s="86">
        <v>105.86</v>
      </c>
      <c r="I2218" s="86">
        <v>105.86</v>
      </c>
      <c r="J2218" s="87">
        <f t="shared" si="2"/>
        <v>0</v>
      </c>
      <c r="K2218" s="84" t="str">
        <f t="shared" si="3"/>
        <v>Stabil</v>
      </c>
      <c r="L2218" s="84">
        <f t="shared" si="4"/>
        <v>0</v>
      </c>
      <c r="M2218" s="88" t="str">
        <f t="shared" si="5"/>
        <v>Perubahan Normal</v>
      </c>
    </row>
    <row r="2219" ht="18.75" customHeight="1">
      <c r="A2219" s="80" t="s">
        <v>355</v>
      </c>
      <c r="B2219" s="81" t="str">
        <f t="shared" si="1"/>
        <v>Kota Gorontalo</v>
      </c>
      <c r="C2219" s="81" t="str">
        <f t="array" ref="C2219">XLOOKUP(B2219,Reference!$A$2:$A$152,Reference!$B$2:$B$152)</f>
        <v>Gorontalo</v>
      </c>
      <c r="D2219" s="82" t="s">
        <v>2658</v>
      </c>
      <c r="E2219" s="83">
        <v>45323.0</v>
      </c>
      <c r="F2219" s="84" t="str">
        <f t="array" ref="F2219">XLOOKUP(G2219,Reference!$F:$F,Reference!$D:$D,"null")</f>
        <v>Rumah Tangga</v>
      </c>
      <c r="G2219" s="85" t="s">
        <v>84</v>
      </c>
      <c r="H2219" s="86">
        <v>100.24</v>
      </c>
      <c r="I2219" s="86">
        <v>100.16</v>
      </c>
      <c r="J2219" s="87">
        <f t="shared" si="2"/>
        <v>0.07987220447</v>
      </c>
      <c r="K2219" s="84" t="str">
        <f t="shared" si="3"/>
        <v>Inflasi Normal</v>
      </c>
      <c r="L2219" s="84">
        <f t="shared" si="4"/>
        <v>0.08</v>
      </c>
      <c r="M2219" s="88" t="str">
        <f t="shared" si="5"/>
        <v>Perubahan Normal</v>
      </c>
    </row>
    <row r="2220" ht="18.75" customHeight="1">
      <c r="A2220" s="80" t="s">
        <v>370</v>
      </c>
      <c r="B2220" s="81" t="str">
        <f t="shared" si="1"/>
        <v>Jember</v>
      </c>
      <c r="C2220" s="81" t="str">
        <f t="array" ref="C2220">XLOOKUP(B2220,Reference!$A$2:$A$152,Reference!$B$2:$B$152)</f>
        <v>Jawa Timur</v>
      </c>
      <c r="D2220" s="82" t="s">
        <v>2659</v>
      </c>
      <c r="E2220" s="83">
        <v>45323.0</v>
      </c>
      <c r="F2220" s="84" t="str">
        <f t="array" ref="F2220">XLOOKUP(G2220,Reference!$F:$F,Reference!$D:$D,"null")</f>
        <v>Makanan dan Pakaian </v>
      </c>
      <c r="G2220" s="85" t="s">
        <v>48</v>
      </c>
      <c r="H2220" s="86">
        <v>110.13</v>
      </c>
      <c r="I2220" s="86">
        <v>108.4</v>
      </c>
      <c r="J2220" s="87">
        <f t="shared" si="2"/>
        <v>1.595940959</v>
      </c>
      <c r="K2220" s="84" t="str">
        <f t="shared" si="3"/>
        <v>Inflasi Tinggi</v>
      </c>
      <c r="L2220" s="84">
        <f t="shared" si="4"/>
        <v>1.73</v>
      </c>
      <c r="M2220" s="88" t="str">
        <f t="shared" si="5"/>
        <v>Akselerasi Persentase</v>
      </c>
    </row>
    <row r="2221" ht="18.75" customHeight="1">
      <c r="A2221" s="80" t="s">
        <v>382</v>
      </c>
      <c r="B2221" s="81" t="str">
        <f t="shared" si="1"/>
        <v>Kab Ngada</v>
      </c>
      <c r="C2221" s="81" t="str">
        <f t="array" ref="C2221">XLOOKUP(B2221,Reference!$A$2:$A$152,Reference!$B$2:$B$152)</f>
        <v>Nusa Tenggara Timur (NTT)</v>
      </c>
      <c r="D2221" s="82" t="s">
        <v>2660</v>
      </c>
      <c r="E2221" s="83">
        <v>45323.0</v>
      </c>
      <c r="F2221" s="84" t="str">
        <f t="array" ref="F2221">XLOOKUP(G2221,Reference!$F:$F,Reference!$D:$D,"null")</f>
        <v>Rumah Tangga</v>
      </c>
      <c r="G2221" s="85" t="s">
        <v>89</v>
      </c>
      <c r="H2221" s="86">
        <v>95.98</v>
      </c>
      <c r="I2221" s="86">
        <v>95.98</v>
      </c>
      <c r="J2221" s="87">
        <f t="shared" si="2"/>
        <v>0</v>
      </c>
      <c r="K2221" s="84" t="str">
        <f t="shared" si="3"/>
        <v>Stabil</v>
      </c>
      <c r="L2221" s="84">
        <f t="shared" si="4"/>
        <v>0</v>
      </c>
      <c r="M2221" s="88" t="str">
        <f t="shared" si="5"/>
        <v>Perubahan Normal</v>
      </c>
    </row>
    <row r="2222" ht="18.75" customHeight="1">
      <c r="A2222" s="80" t="s">
        <v>478</v>
      </c>
      <c r="B2222" s="81" t="str">
        <f t="shared" si="1"/>
        <v>Kab Maluku Tengah</v>
      </c>
      <c r="C2222" s="81" t="str">
        <f t="array" ref="C2222">XLOOKUP(B2222,Reference!$A$2:$A$152,Reference!$B$2:$B$152)</f>
        <v>Maluku</v>
      </c>
      <c r="D2222" s="82" t="s">
        <v>2661</v>
      </c>
      <c r="E2222" s="83">
        <v>45323.0</v>
      </c>
      <c r="F2222" s="84" t="str">
        <f t="array" ref="F2222">XLOOKUP(G2222,Reference!$F:$F,Reference!$D:$D,"null")</f>
        <v>Rekreasi dan Kendaraan</v>
      </c>
      <c r="G2222" s="85" t="s">
        <v>105</v>
      </c>
      <c r="H2222" s="86">
        <v>100.75</v>
      </c>
      <c r="I2222" s="86">
        <v>100.35</v>
      </c>
      <c r="J2222" s="87">
        <f t="shared" si="2"/>
        <v>0.3986048829</v>
      </c>
      <c r="K2222" s="84" t="str">
        <f t="shared" si="3"/>
        <v>Inflasi Normal</v>
      </c>
      <c r="L2222" s="84">
        <f t="shared" si="4"/>
        <v>0.4</v>
      </c>
      <c r="M2222" s="88" t="str">
        <f t="shared" si="5"/>
        <v>Perubahan Normal</v>
      </c>
    </row>
    <row r="2223" ht="18.75" customHeight="1">
      <c r="A2223" s="80" t="s">
        <v>573</v>
      </c>
      <c r="B2223" s="81" t="str">
        <f t="shared" si="1"/>
        <v>Kota Palangkaraya</v>
      </c>
      <c r="C2223" s="81" t="str">
        <f t="array" ref="C2223">XLOOKUP(B2223,Reference!$A$2:$A$152,Reference!$B$2:$B$152)</f>
        <v>Kalimantan Tengah</v>
      </c>
      <c r="D2223" s="82" t="s">
        <v>2662</v>
      </c>
      <c r="E2223" s="83">
        <v>45323.0</v>
      </c>
      <c r="F2223" s="84" t="str">
        <f t="array" ref="F2223">XLOOKUP(G2223,Reference!$F:$F,Reference!$D:$D,"null")</f>
        <v>Makanan dan Pakaian </v>
      </c>
      <c r="G2223" s="89" t="s">
        <v>64</v>
      </c>
      <c r="H2223" s="90">
        <v>100.26</v>
      </c>
      <c r="I2223" s="90">
        <v>100.27</v>
      </c>
      <c r="J2223" s="87">
        <f t="shared" si="2"/>
        <v>-0.009973072704</v>
      </c>
      <c r="K2223" s="84" t="str">
        <f t="shared" si="3"/>
        <v>Deflasi</v>
      </c>
      <c r="L2223" s="91">
        <f t="shared" si="4"/>
        <v>-0.01</v>
      </c>
      <c r="M2223" s="88" t="str">
        <f t="shared" si="5"/>
        <v>Perubahan Normal</v>
      </c>
    </row>
    <row r="2224" ht="18.75" customHeight="1">
      <c r="A2224" s="80" t="s">
        <v>706</v>
      </c>
      <c r="B2224" s="81" t="str">
        <f t="shared" si="1"/>
        <v>Kota Makassar</v>
      </c>
      <c r="C2224" s="81" t="str">
        <f t="array" ref="C2224">XLOOKUP(B2224,Reference!$A$2:$A$152,Reference!$B$2:$B$152)</f>
        <v>Sulawesi Selatan</v>
      </c>
      <c r="D2224" s="82" t="s">
        <v>2663</v>
      </c>
      <c r="E2224" s="83">
        <v>45352.0</v>
      </c>
      <c r="F2224" s="84" t="str">
        <f t="array" ref="F2224">XLOOKUP(G2224,Reference!$F:$F,Reference!$D:$D,"null")</f>
        <v>Rekreasi dan Kendaraan</v>
      </c>
      <c r="G2224" s="85" t="s">
        <v>102</v>
      </c>
      <c r="H2224" s="86">
        <v>102.89</v>
      </c>
      <c r="I2224" s="86">
        <v>102.9</v>
      </c>
      <c r="J2224" s="87">
        <f t="shared" si="2"/>
        <v>-0.009718172983</v>
      </c>
      <c r="K2224" s="84" t="str">
        <f t="shared" si="3"/>
        <v>Deflasi</v>
      </c>
      <c r="L2224" s="84">
        <f t="shared" si="4"/>
        <v>-0.01</v>
      </c>
      <c r="M2224" s="88" t="str">
        <f t="shared" si="5"/>
        <v>Perubahan Normal</v>
      </c>
    </row>
    <row r="2225" ht="18.75" customHeight="1">
      <c r="A2225" s="80" t="s">
        <v>397</v>
      </c>
      <c r="B2225" s="81" t="str">
        <f t="shared" si="1"/>
        <v>Kota Pematangsiantar</v>
      </c>
      <c r="C2225" s="81" t="str">
        <f t="array" ref="C2225">XLOOKUP(B2225,Reference!$A$2:$A$152,Reference!$B$2:$B$152)</f>
        <v>Sumatera Utara</v>
      </c>
      <c r="D2225" s="82" t="s">
        <v>2664</v>
      </c>
      <c r="E2225" s="83">
        <v>45323.0</v>
      </c>
      <c r="F2225" s="84" t="str">
        <f t="array" ref="F2225">XLOOKUP(G2225,Reference!$F:$F,Reference!$D:$D,"null")</f>
        <v>Rumah Tangga</v>
      </c>
      <c r="G2225" s="89" t="s">
        <v>89</v>
      </c>
      <c r="H2225" s="90">
        <v>110.84</v>
      </c>
      <c r="I2225" s="90">
        <v>110.84</v>
      </c>
      <c r="J2225" s="87">
        <f t="shared" si="2"/>
        <v>0</v>
      </c>
      <c r="K2225" s="84" t="str">
        <f t="shared" si="3"/>
        <v>Stabil</v>
      </c>
      <c r="L2225" s="91">
        <f t="shared" si="4"/>
        <v>0</v>
      </c>
      <c r="M2225" s="88" t="str">
        <f t="shared" si="5"/>
        <v>Perubahan Normal</v>
      </c>
    </row>
    <row r="2226" ht="18.75" customHeight="1">
      <c r="A2226" s="80" t="s">
        <v>473</v>
      </c>
      <c r="B2226" s="81" t="str">
        <f t="shared" si="1"/>
        <v>Kab Wajo</v>
      </c>
      <c r="C2226" s="81" t="str">
        <f t="array" ref="C2226">XLOOKUP(B2226,Reference!$A$2:$A$152,Reference!$B$2:$B$152)</f>
        <v>Sulawesi Selatan</v>
      </c>
      <c r="D2226" s="82" t="s">
        <v>2665</v>
      </c>
      <c r="E2226" s="83">
        <v>45352.0</v>
      </c>
      <c r="F2226" s="84" t="str">
        <f t="array" ref="F2226">XLOOKUP(G2226,Reference!$F:$F,Reference!$D:$D,"null")</f>
        <v>Rumah Tangga</v>
      </c>
      <c r="G2226" s="85" t="s">
        <v>89</v>
      </c>
      <c r="H2226" s="86">
        <v>104.58</v>
      </c>
      <c r="I2226" s="86">
        <v>104.6</v>
      </c>
      <c r="J2226" s="87">
        <f t="shared" si="2"/>
        <v>-0.01912045889</v>
      </c>
      <c r="K2226" s="84" t="str">
        <f t="shared" si="3"/>
        <v>Deflasi</v>
      </c>
      <c r="L2226" s="84">
        <f t="shared" si="4"/>
        <v>-0.02</v>
      </c>
      <c r="M2226" s="88" t="str">
        <f t="shared" si="5"/>
        <v>Perubahan Normal</v>
      </c>
    </row>
    <row r="2227" ht="18.75" customHeight="1">
      <c r="A2227" s="80" t="s">
        <v>550</v>
      </c>
      <c r="B2227" s="81" t="str">
        <f t="shared" si="1"/>
        <v>Kota Sukabumi</v>
      </c>
      <c r="C2227" s="81" t="str">
        <f t="array" ref="C2227">XLOOKUP(B2227,Reference!$A$2:$A$152,Reference!$B$2:$B$152)</f>
        <v>Jawa Barat</v>
      </c>
      <c r="D2227" s="82" t="s">
        <v>2666</v>
      </c>
      <c r="E2227" s="83">
        <v>45323.0</v>
      </c>
      <c r="F2227" s="84" t="str">
        <f t="array" ref="F2227">XLOOKUP(G2227,Reference!$F:$F,Reference!$D:$D,"null")</f>
        <v>Makanan dan Pakaian </v>
      </c>
      <c r="G2227" s="85" t="s">
        <v>56</v>
      </c>
      <c r="H2227" s="86">
        <v>105.33</v>
      </c>
      <c r="I2227" s="86">
        <v>104.76</v>
      </c>
      <c r="J2227" s="87">
        <f t="shared" si="2"/>
        <v>0.5441008018</v>
      </c>
      <c r="K2227" s="84" t="str">
        <f t="shared" si="3"/>
        <v>Inflasi Tinggi</v>
      </c>
      <c r="L2227" s="84">
        <f t="shared" si="4"/>
        <v>0.57</v>
      </c>
      <c r="M2227" s="88" t="str">
        <f t="shared" si="5"/>
        <v>Akselerasi Persentase</v>
      </c>
    </row>
    <row r="2228" ht="18.75" customHeight="1">
      <c r="A2228" s="80" t="s">
        <v>351</v>
      </c>
      <c r="B2228" s="81" t="str">
        <f t="shared" si="1"/>
        <v>Kota Balikpapan</v>
      </c>
      <c r="C2228" s="81" t="str">
        <f t="array" ref="C2228">XLOOKUP(B2228,Reference!$A$2:$A$152,Reference!$B$2:$B$152)</f>
        <v>Kalimantan Timur</v>
      </c>
      <c r="D2228" s="82" t="s">
        <v>2667</v>
      </c>
      <c r="E2228" s="83">
        <v>45352.0</v>
      </c>
      <c r="F2228" s="84" t="str">
        <f t="array" ref="F2228">XLOOKUP(G2228,Reference!$F:$F,Reference!$D:$D,"null")</f>
        <v>Pendidikan dan Kesehatan</v>
      </c>
      <c r="G2228" s="85" t="s">
        <v>98</v>
      </c>
      <c r="H2228" s="86">
        <v>105.35</v>
      </c>
      <c r="I2228" s="86">
        <v>105.64</v>
      </c>
      <c r="J2228" s="87">
        <f t="shared" si="2"/>
        <v>-0.2745172283</v>
      </c>
      <c r="K2228" s="84" t="str">
        <f t="shared" si="3"/>
        <v>Deflasi</v>
      </c>
      <c r="L2228" s="84">
        <f t="shared" si="4"/>
        <v>-0.29</v>
      </c>
      <c r="M2228" s="88" t="str">
        <f t="shared" si="5"/>
        <v>Perubahan Normal</v>
      </c>
    </row>
    <row r="2229" ht="18.75" customHeight="1">
      <c r="A2229" s="80" t="s">
        <v>1282</v>
      </c>
      <c r="B2229" s="81" t="str">
        <f t="shared" si="1"/>
        <v>Kota Bima</v>
      </c>
      <c r="C2229" s="81" t="str">
        <f t="array" ref="C2229">XLOOKUP(B2229,Reference!$A$2:$A$152,Reference!$B$2:$B$152)</f>
        <v>Nusa Tenggara Barat (NTB)</v>
      </c>
      <c r="D2229" s="82" t="s">
        <v>2668</v>
      </c>
      <c r="E2229" s="83">
        <v>45323.0</v>
      </c>
      <c r="F2229" s="84" t="str">
        <f t="array" ref="F2229">XLOOKUP(G2229,Reference!$F:$F,Reference!$D:$D,"null")</f>
        <v>Rumah Tangga</v>
      </c>
      <c r="G2229" s="85" t="s">
        <v>80</v>
      </c>
      <c r="H2229" s="86">
        <v>100.85</v>
      </c>
      <c r="I2229" s="86">
        <v>100.85</v>
      </c>
      <c r="J2229" s="87">
        <f t="shared" si="2"/>
        <v>0</v>
      </c>
      <c r="K2229" s="84" t="str">
        <f t="shared" si="3"/>
        <v>Stabil</v>
      </c>
      <c r="L2229" s="84">
        <f t="shared" si="4"/>
        <v>0</v>
      </c>
      <c r="M2229" s="88" t="str">
        <f t="shared" si="5"/>
        <v>Perubahan Normal</v>
      </c>
    </row>
    <row r="2230" ht="18.75" customHeight="1">
      <c r="A2230" s="80" t="s">
        <v>300</v>
      </c>
      <c r="B2230" s="81" t="str">
        <f t="shared" si="1"/>
        <v>Sintang</v>
      </c>
      <c r="C2230" s="81" t="str">
        <f t="array" ref="C2230">XLOOKUP(B2230,Reference!$A$2:$A$152,Reference!$B$2:$B$152)</f>
        <v>Kalimantan Barat</v>
      </c>
      <c r="D2230" s="82" t="s">
        <v>2669</v>
      </c>
      <c r="E2230" s="83">
        <v>45323.0</v>
      </c>
      <c r="F2230" s="84" t="str">
        <f t="array" ref="F2230">XLOOKUP(G2230,Reference!$F:$F,Reference!$D:$D,"null")</f>
        <v>Rumah Tangga</v>
      </c>
      <c r="G2230" s="85" t="s">
        <v>80</v>
      </c>
      <c r="H2230" s="86">
        <v>100.13</v>
      </c>
      <c r="I2230" s="86">
        <v>100.13</v>
      </c>
      <c r="J2230" s="87">
        <f t="shared" si="2"/>
        <v>0</v>
      </c>
      <c r="K2230" s="84" t="str">
        <f t="shared" si="3"/>
        <v>Stabil</v>
      </c>
      <c r="L2230" s="84">
        <f t="shared" si="4"/>
        <v>0</v>
      </c>
      <c r="M2230" s="88" t="str">
        <f t="shared" si="5"/>
        <v>Perubahan Normal</v>
      </c>
    </row>
    <row r="2231" ht="18.75" customHeight="1">
      <c r="A2231" s="80" t="s">
        <v>485</v>
      </c>
      <c r="B2231" s="81" t="str">
        <f t="shared" si="1"/>
        <v>Banyuwangi</v>
      </c>
      <c r="C2231" s="81" t="str">
        <f t="array" ref="C2231">XLOOKUP(B2231,Reference!$A$2:$A$152,Reference!$B$2:$B$152)</f>
        <v>Jawa Timur</v>
      </c>
      <c r="D2231" s="82" t="s">
        <v>2670</v>
      </c>
      <c r="E2231" s="83">
        <v>45323.0</v>
      </c>
      <c r="F2231" s="84" t="str">
        <f t="array" ref="F2231">XLOOKUP(G2231,Reference!$F:$F,Reference!$D:$D,"null")</f>
        <v>Rekreasi dan Kendaraan</v>
      </c>
      <c r="G2231" s="85" t="s">
        <v>105</v>
      </c>
      <c r="H2231" s="86">
        <v>107.8</v>
      </c>
      <c r="I2231" s="86">
        <v>107.8</v>
      </c>
      <c r="J2231" s="87">
        <f t="shared" si="2"/>
        <v>0</v>
      </c>
      <c r="K2231" s="84" t="str">
        <f t="shared" si="3"/>
        <v>Stabil</v>
      </c>
      <c r="L2231" s="84">
        <f t="shared" si="4"/>
        <v>0</v>
      </c>
      <c r="M2231" s="88" t="str">
        <f t="shared" si="5"/>
        <v>Perubahan Normal</v>
      </c>
    </row>
    <row r="2232" ht="18.75" customHeight="1">
      <c r="A2232" s="80" t="s">
        <v>654</v>
      </c>
      <c r="B2232" s="81" t="str">
        <f t="shared" si="1"/>
        <v>Kab Aceh Tengah</v>
      </c>
      <c r="C2232" s="81" t="str">
        <f t="array" ref="C2232">XLOOKUP(B2232,Reference!$A$2:$A$152,Reference!$B$2:$B$152)</f>
        <v>Aceh</v>
      </c>
      <c r="D2232" s="82" t="s">
        <v>2671</v>
      </c>
      <c r="E2232" s="83">
        <v>45352.0</v>
      </c>
      <c r="F2232" s="84" t="str">
        <f t="array" ref="F2232">XLOOKUP(G2232,Reference!$F:$F,Reference!$D:$D,"null")</f>
        <v>Pendidikan dan Kesehatan</v>
      </c>
      <c r="G2232" s="89" t="s">
        <v>95</v>
      </c>
      <c r="H2232" s="90">
        <v>102.26</v>
      </c>
      <c r="I2232" s="90">
        <v>102.26</v>
      </c>
      <c r="J2232" s="87">
        <f t="shared" si="2"/>
        <v>0</v>
      </c>
      <c r="K2232" s="84" t="str">
        <f t="shared" si="3"/>
        <v>Stabil</v>
      </c>
      <c r="L2232" s="91">
        <f t="shared" si="4"/>
        <v>0</v>
      </c>
      <c r="M2232" s="88" t="str">
        <f t="shared" si="5"/>
        <v>Perubahan Normal</v>
      </c>
    </row>
    <row r="2233" ht="18.75" customHeight="1">
      <c r="A2233" s="80" t="s">
        <v>358</v>
      </c>
      <c r="B2233" s="81" t="str">
        <f t="shared" si="1"/>
        <v>Kab Minahasa Utara</v>
      </c>
      <c r="C2233" s="81" t="str">
        <f t="array" ref="C2233">XLOOKUP(B2233,Reference!$A$2:$A$152,Reference!$B$2:$B$152)</f>
        <v>Sulawesi Utara</v>
      </c>
      <c r="D2233" s="82" t="s">
        <v>2672</v>
      </c>
      <c r="E2233" s="83">
        <v>45323.0</v>
      </c>
      <c r="F2233" s="84" t="str">
        <f t="array" ref="F2233">XLOOKUP(G2233,Reference!$F:$F,Reference!$D:$D,"null")</f>
        <v>Rekreasi dan Kendaraan</v>
      </c>
      <c r="G2233" s="89" t="s">
        <v>105</v>
      </c>
      <c r="H2233" s="90">
        <v>102.22</v>
      </c>
      <c r="I2233" s="90">
        <v>102.22</v>
      </c>
      <c r="J2233" s="87">
        <f t="shared" si="2"/>
        <v>0</v>
      </c>
      <c r="K2233" s="84" t="str">
        <f t="shared" si="3"/>
        <v>Stabil</v>
      </c>
      <c r="L2233" s="91">
        <f t="shared" si="4"/>
        <v>0</v>
      </c>
      <c r="M2233" s="88" t="str">
        <f t="shared" si="5"/>
        <v>Perubahan Normal</v>
      </c>
    </row>
    <row r="2234" ht="18.75" customHeight="1">
      <c r="A2234" s="80" t="s">
        <v>524</v>
      </c>
      <c r="B2234" s="81" t="str">
        <f t="shared" si="1"/>
        <v>Kudus</v>
      </c>
      <c r="C2234" s="81" t="str">
        <f t="array" ref="C2234">XLOOKUP(B2234,Reference!$A$2:$A$152,Reference!$B$2:$B$152)</f>
        <v>Jawa Tengah</v>
      </c>
      <c r="D2234" s="82" t="s">
        <v>2673</v>
      </c>
      <c r="E2234" s="83">
        <v>45323.0</v>
      </c>
      <c r="F2234" s="84" t="str">
        <f t="array" ref="F2234">XLOOKUP(G2234,Reference!$F:$F,Reference!$D:$D,"null")</f>
        <v>Rumah Tangga</v>
      </c>
      <c r="G2234" s="85" t="s">
        <v>89</v>
      </c>
      <c r="H2234" s="86">
        <v>101.68</v>
      </c>
      <c r="I2234" s="86">
        <v>101.68</v>
      </c>
      <c r="J2234" s="87">
        <f t="shared" si="2"/>
        <v>0</v>
      </c>
      <c r="K2234" s="84" t="str">
        <f t="shared" si="3"/>
        <v>Stabil</v>
      </c>
      <c r="L2234" s="84">
        <f t="shared" si="4"/>
        <v>0</v>
      </c>
      <c r="M2234" s="88" t="str">
        <f t="shared" si="5"/>
        <v>Perubahan Normal</v>
      </c>
    </row>
    <row r="2235" ht="18.75" customHeight="1">
      <c r="A2235" s="80" t="s">
        <v>925</v>
      </c>
      <c r="B2235" s="81" t="str">
        <f t="shared" si="1"/>
        <v>Kota Jakarta</v>
      </c>
      <c r="C2235" s="81" t="str">
        <f t="array" ref="C2235">XLOOKUP(B2235,Reference!$A$2:$A$152,Reference!$B$2:$B$152)</f>
        <v>DKI Jakarta</v>
      </c>
      <c r="D2235" s="82" t="s">
        <v>2674</v>
      </c>
      <c r="E2235" s="83">
        <v>45352.0</v>
      </c>
      <c r="F2235" s="84" t="str">
        <f t="array" ref="F2235">XLOOKUP(G2235,Reference!$F:$F,Reference!$D:$D,"null")</f>
        <v>Pendidikan dan Kesehatan</v>
      </c>
      <c r="G2235" s="85" t="s">
        <v>98</v>
      </c>
      <c r="H2235" s="86">
        <v>105.15</v>
      </c>
      <c r="I2235" s="86">
        <v>104.75</v>
      </c>
      <c r="J2235" s="87">
        <f t="shared" si="2"/>
        <v>0.3818615752</v>
      </c>
      <c r="K2235" s="84" t="str">
        <f t="shared" si="3"/>
        <v>Inflasi Normal</v>
      </c>
      <c r="L2235" s="84">
        <f t="shared" si="4"/>
        <v>0.4</v>
      </c>
      <c r="M2235" s="88" t="str">
        <f t="shared" si="5"/>
        <v>Perubahan Normal</v>
      </c>
    </row>
    <row r="2236" ht="18.75" customHeight="1">
      <c r="A2236" s="80" t="s">
        <v>445</v>
      </c>
      <c r="B2236" s="81" t="str">
        <f t="shared" si="1"/>
        <v>Kab Bangka Barat</v>
      </c>
      <c r="C2236" s="81" t="str">
        <f t="array" ref="C2236">XLOOKUP(B2236,Reference!$A$2:$A$152,Reference!$B$2:$B$152)</f>
        <v>Kepulauan Bangka Belitung</v>
      </c>
      <c r="D2236" s="82" t="s">
        <v>2675</v>
      </c>
      <c r="E2236" s="83">
        <v>45323.0</v>
      </c>
      <c r="F2236" s="84" t="str">
        <f t="array" ref="F2236">XLOOKUP(G2236,Reference!$F:$F,Reference!$D:$D,"null")</f>
        <v>Pendidikan dan Kesehatan</v>
      </c>
      <c r="G2236" s="85" t="s">
        <v>98</v>
      </c>
      <c r="H2236" s="86">
        <v>99.5</v>
      </c>
      <c r="I2236" s="86">
        <v>99.5</v>
      </c>
      <c r="J2236" s="87">
        <f t="shared" si="2"/>
        <v>0</v>
      </c>
      <c r="K2236" s="84" t="str">
        <f t="shared" si="3"/>
        <v>Stabil</v>
      </c>
      <c r="L2236" s="84">
        <f t="shared" si="4"/>
        <v>0</v>
      </c>
      <c r="M2236" s="88" t="str">
        <f t="shared" si="5"/>
        <v>Perubahan Normal</v>
      </c>
    </row>
    <row r="2237" ht="18.75" customHeight="1">
      <c r="A2237" s="80" t="s">
        <v>965</v>
      </c>
      <c r="B2237" s="81" t="str">
        <f t="shared" si="1"/>
        <v>Kab Konawe</v>
      </c>
      <c r="C2237" s="81" t="str">
        <f t="array" ref="C2237">XLOOKUP(B2237,Reference!$A$2:$A$152,Reference!$B$2:$B$152)</f>
        <v>Sulawesi Tenggara</v>
      </c>
      <c r="D2237" s="82" t="s">
        <v>2676</v>
      </c>
      <c r="E2237" s="83">
        <v>45352.0</v>
      </c>
      <c r="F2237" s="84" t="str">
        <f t="array" ref="F2237">XLOOKUP(G2237,Reference!$F:$F,Reference!$D:$D,"null")</f>
        <v>Rekreasi dan Kendaraan</v>
      </c>
      <c r="G2237" s="85" t="s">
        <v>102</v>
      </c>
      <c r="H2237" s="86">
        <v>104.98</v>
      </c>
      <c r="I2237" s="86">
        <v>104.98</v>
      </c>
      <c r="J2237" s="87">
        <f t="shared" si="2"/>
        <v>0</v>
      </c>
      <c r="K2237" s="84" t="str">
        <f t="shared" si="3"/>
        <v>Stabil</v>
      </c>
      <c r="L2237" s="84">
        <f t="shared" si="4"/>
        <v>0</v>
      </c>
      <c r="M2237" s="88" t="str">
        <f t="shared" si="5"/>
        <v>Perubahan Normal</v>
      </c>
    </row>
    <row r="2238" ht="18.75" customHeight="1">
      <c r="A2238" s="80" t="s">
        <v>529</v>
      </c>
      <c r="B2238" s="81" t="str">
        <f t="shared" si="1"/>
        <v>Kota Yogyakarta</v>
      </c>
      <c r="C2238" s="81" t="str">
        <f t="array" ref="C2238">XLOOKUP(B2238,Reference!$A$2:$A$152,Reference!$B$2:$B$152)</f>
        <v>D.I. Yogyakarta</v>
      </c>
      <c r="D2238" s="82" t="s">
        <v>2677</v>
      </c>
      <c r="E2238" s="83">
        <v>45352.0</v>
      </c>
      <c r="F2238" s="84" t="str">
        <f t="array" ref="F2238">XLOOKUP(G2238,Reference!$F:$F,Reference!$D:$D,"null")</f>
        <v>Pendidikan dan Kesehatan</v>
      </c>
      <c r="G2238" s="85" t="s">
        <v>95</v>
      </c>
      <c r="H2238" s="86">
        <v>105.82</v>
      </c>
      <c r="I2238" s="86">
        <v>105.82</v>
      </c>
      <c r="J2238" s="87">
        <f t="shared" si="2"/>
        <v>0</v>
      </c>
      <c r="K2238" s="84" t="str">
        <f t="shared" si="3"/>
        <v>Stabil</v>
      </c>
      <c r="L2238" s="84">
        <f t="shared" si="4"/>
        <v>0</v>
      </c>
      <c r="M2238" s="88" t="str">
        <f t="shared" si="5"/>
        <v>Perubahan Normal</v>
      </c>
    </row>
    <row r="2239" ht="18.75" customHeight="1">
      <c r="A2239" s="80" t="s">
        <v>468</v>
      </c>
      <c r="B2239" s="81" t="str">
        <f t="shared" si="1"/>
        <v>Timika</v>
      </c>
      <c r="C2239" s="81" t="str">
        <f t="array" ref="C2239">XLOOKUP(B2239,Reference!$A$2:$A$152,Reference!$B$2:$B$152)</f>
        <v>Papua</v>
      </c>
      <c r="D2239" s="82" t="s">
        <v>2678</v>
      </c>
      <c r="E2239" s="83">
        <v>45352.0</v>
      </c>
      <c r="F2239" s="84" t="str">
        <f t="array" ref="F2239">XLOOKUP(G2239,Reference!$F:$F,Reference!$D:$D,"null")</f>
        <v>Makanan dan Pakaian </v>
      </c>
      <c r="G2239" s="85" t="s">
        <v>64</v>
      </c>
      <c r="H2239" s="86">
        <v>101.59</v>
      </c>
      <c r="I2239" s="86">
        <v>101.48</v>
      </c>
      <c r="J2239" s="87">
        <f t="shared" si="2"/>
        <v>0.108395743</v>
      </c>
      <c r="K2239" s="84" t="str">
        <f t="shared" si="3"/>
        <v>Inflasi Normal</v>
      </c>
      <c r="L2239" s="84">
        <f t="shared" si="4"/>
        <v>0.11</v>
      </c>
      <c r="M2239" s="88" t="str">
        <f t="shared" si="5"/>
        <v>Perubahan Normal</v>
      </c>
    </row>
    <row r="2240" ht="18.75" customHeight="1">
      <c r="A2240" s="80" t="s">
        <v>663</v>
      </c>
      <c r="B2240" s="81" t="str">
        <f t="shared" si="1"/>
        <v>Kota Serang</v>
      </c>
      <c r="C2240" s="81" t="str">
        <f t="array" ref="C2240">XLOOKUP(B2240,Reference!$A$2:$A$152,Reference!$B$2:$B$152)</f>
        <v>Banten</v>
      </c>
      <c r="D2240" s="82" t="s">
        <v>2679</v>
      </c>
      <c r="E2240" s="83">
        <v>45323.0</v>
      </c>
      <c r="F2240" s="84" t="str">
        <f t="array" ref="F2240">XLOOKUP(G2240,Reference!$F:$F,Reference!$D:$D,"null")</f>
        <v>Makanan dan Pakaian </v>
      </c>
      <c r="G2240" s="85" t="s">
        <v>72</v>
      </c>
      <c r="H2240" s="86">
        <v>100.47</v>
      </c>
      <c r="I2240" s="86">
        <v>100.33</v>
      </c>
      <c r="J2240" s="87">
        <f t="shared" si="2"/>
        <v>0.1395395196</v>
      </c>
      <c r="K2240" s="84" t="str">
        <f t="shared" si="3"/>
        <v>Inflasi Normal</v>
      </c>
      <c r="L2240" s="84">
        <f t="shared" si="4"/>
        <v>0.14</v>
      </c>
      <c r="M2240" s="88" t="str">
        <f t="shared" si="5"/>
        <v>Perubahan Normal</v>
      </c>
    </row>
    <row r="2241" ht="18.75" customHeight="1">
      <c r="A2241" s="80" t="s">
        <v>382</v>
      </c>
      <c r="B2241" s="81" t="str">
        <f t="shared" si="1"/>
        <v>Kab Ngada</v>
      </c>
      <c r="C2241" s="81" t="str">
        <f t="array" ref="C2241">XLOOKUP(B2241,Reference!$A$2:$A$152,Reference!$B$2:$B$152)</f>
        <v>Nusa Tenggara Timur (NTT)</v>
      </c>
      <c r="D2241" s="82" t="s">
        <v>2680</v>
      </c>
      <c r="E2241" s="83">
        <v>45352.0</v>
      </c>
      <c r="F2241" s="84" t="str">
        <f t="array" ref="F2241">XLOOKUP(G2241,Reference!$F:$F,Reference!$D:$D,"null")</f>
        <v>Rekreasi dan Kendaraan</v>
      </c>
      <c r="G2241" s="85" t="s">
        <v>105</v>
      </c>
      <c r="H2241" s="86">
        <v>94.72</v>
      </c>
      <c r="I2241" s="86">
        <v>94.72</v>
      </c>
      <c r="J2241" s="87">
        <f t="shared" si="2"/>
        <v>0</v>
      </c>
      <c r="K2241" s="84" t="str">
        <f t="shared" si="3"/>
        <v>Stabil</v>
      </c>
      <c r="L2241" s="84">
        <f t="shared" si="4"/>
        <v>0</v>
      </c>
      <c r="M2241" s="88" t="str">
        <f t="shared" si="5"/>
        <v>Perubahan Normal</v>
      </c>
    </row>
    <row r="2242" ht="18.75" customHeight="1">
      <c r="A2242" s="80" t="s">
        <v>822</v>
      </c>
      <c r="B2242" s="81" t="str">
        <f t="shared" si="1"/>
        <v>Kota Pontianak</v>
      </c>
      <c r="C2242" s="81" t="str">
        <f t="array" ref="C2242">XLOOKUP(B2242,Reference!$A$2:$A$152,Reference!$B$2:$B$152)</f>
        <v>Kalimantan Barat</v>
      </c>
      <c r="D2242" s="82" t="s">
        <v>2681</v>
      </c>
      <c r="E2242" s="83">
        <v>45323.0</v>
      </c>
      <c r="F2242" s="84" t="str">
        <f t="array" ref="F2242">XLOOKUP(G2242,Reference!$F:$F,Reference!$D:$D,"null")</f>
        <v>Makanan dan Pakaian </v>
      </c>
      <c r="G2242" s="85" t="s">
        <v>48</v>
      </c>
      <c r="H2242" s="86">
        <v>106.22</v>
      </c>
      <c r="I2242" s="86">
        <v>106.27</v>
      </c>
      <c r="J2242" s="87">
        <f t="shared" si="2"/>
        <v>-0.04704996707</v>
      </c>
      <c r="K2242" s="84" t="str">
        <f t="shared" si="3"/>
        <v>Deflasi</v>
      </c>
      <c r="L2242" s="84">
        <f t="shared" si="4"/>
        <v>-0.05</v>
      </c>
      <c r="M2242" s="88" t="str">
        <f t="shared" si="5"/>
        <v>Perubahan Normal</v>
      </c>
    </row>
    <row r="2243" ht="18.75" customHeight="1">
      <c r="A2243" s="80" t="s">
        <v>431</v>
      </c>
      <c r="B2243" s="81" t="str">
        <f t="shared" si="1"/>
        <v>Kota Ternate</v>
      </c>
      <c r="C2243" s="81" t="str">
        <f t="array" ref="C2243">XLOOKUP(B2243,Reference!$A$2:$A$152,Reference!$B$2:$B$152)</f>
        <v>Maluku Utara</v>
      </c>
      <c r="D2243" s="82" t="s">
        <v>2682</v>
      </c>
      <c r="E2243" s="83">
        <v>45323.0</v>
      </c>
      <c r="F2243" s="84" t="str">
        <f t="array" ref="F2243">XLOOKUP(G2243,Reference!$F:$F,Reference!$D:$D,"null")</f>
        <v>Rumah Tangga</v>
      </c>
      <c r="G2243" s="85" t="s">
        <v>89</v>
      </c>
      <c r="H2243" s="86">
        <v>100.76</v>
      </c>
      <c r="I2243" s="86">
        <v>100.76</v>
      </c>
      <c r="J2243" s="87">
        <f t="shared" si="2"/>
        <v>0</v>
      </c>
      <c r="K2243" s="84" t="str">
        <f t="shared" si="3"/>
        <v>Stabil</v>
      </c>
      <c r="L2243" s="84">
        <f t="shared" si="4"/>
        <v>0</v>
      </c>
      <c r="M2243" s="88" t="str">
        <f t="shared" si="5"/>
        <v>Perubahan Normal</v>
      </c>
    </row>
    <row r="2244" ht="18.75" customHeight="1">
      <c r="A2244" s="80" t="s">
        <v>423</v>
      </c>
      <c r="B2244" s="81" t="str">
        <f t="shared" si="1"/>
        <v>Kota Kotamobagu</v>
      </c>
      <c r="C2244" s="81" t="str">
        <f t="array" ref="C2244">XLOOKUP(B2244,Reference!$A$2:$A$152,Reference!$B$2:$B$152)</f>
        <v>Sulawesi Utara</v>
      </c>
      <c r="D2244" s="82" t="s">
        <v>2683</v>
      </c>
      <c r="E2244" s="83">
        <v>45352.0</v>
      </c>
      <c r="F2244" s="84" t="str">
        <f t="array" ref="F2244">XLOOKUP(G2244,Reference!$F:$F,Reference!$D:$D,"null")</f>
        <v>Makanan dan Pakaian </v>
      </c>
      <c r="G2244" s="85" t="s">
        <v>72</v>
      </c>
      <c r="H2244" s="86">
        <v>99.51</v>
      </c>
      <c r="I2244" s="86">
        <v>99.51</v>
      </c>
      <c r="J2244" s="87">
        <f t="shared" si="2"/>
        <v>0</v>
      </c>
      <c r="K2244" s="84" t="str">
        <f t="shared" si="3"/>
        <v>Stabil</v>
      </c>
      <c r="L2244" s="84">
        <f t="shared" si="4"/>
        <v>0</v>
      </c>
      <c r="M2244" s="88" t="str">
        <f t="shared" si="5"/>
        <v>Perubahan Normal</v>
      </c>
    </row>
    <row r="2245" ht="18.75" customHeight="1">
      <c r="A2245" s="80" t="s">
        <v>628</v>
      </c>
      <c r="B2245" s="81" t="str">
        <f t="shared" si="1"/>
        <v>Watampone</v>
      </c>
      <c r="C2245" s="81" t="str">
        <f t="array" ref="C2245">XLOOKUP(B2245,Reference!$A$2:$A$152,Reference!$B$2:$B$152)</f>
        <v>Sulawesi Selatan</v>
      </c>
      <c r="D2245" s="82" t="s">
        <v>2684</v>
      </c>
      <c r="E2245" s="83">
        <v>45352.0</v>
      </c>
      <c r="F2245" s="84" t="str">
        <f t="array" ref="F2245">XLOOKUP(G2245,Reference!$F:$F,Reference!$D:$D,"null")</f>
        <v>Rekreasi dan Kendaraan</v>
      </c>
      <c r="G2245" s="85" t="s">
        <v>102</v>
      </c>
      <c r="H2245" s="86">
        <v>100.0</v>
      </c>
      <c r="I2245" s="86">
        <v>100.0</v>
      </c>
      <c r="J2245" s="87">
        <f t="shared" si="2"/>
        <v>0</v>
      </c>
      <c r="K2245" s="84" t="str">
        <f t="shared" si="3"/>
        <v>Stabil</v>
      </c>
      <c r="L2245" s="84">
        <f t="shared" si="4"/>
        <v>0</v>
      </c>
      <c r="M2245" s="88" t="str">
        <f t="shared" si="5"/>
        <v>Perubahan Normal</v>
      </c>
    </row>
    <row r="2246" ht="18.75" customHeight="1">
      <c r="A2246" s="80" t="s">
        <v>473</v>
      </c>
      <c r="B2246" s="81" t="str">
        <f t="shared" si="1"/>
        <v>Kab Wajo</v>
      </c>
      <c r="C2246" s="81" t="str">
        <f t="array" ref="C2246">XLOOKUP(B2246,Reference!$A$2:$A$152,Reference!$B$2:$B$152)</f>
        <v>Sulawesi Selatan</v>
      </c>
      <c r="D2246" s="82" t="s">
        <v>2685</v>
      </c>
      <c r="E2246" s="83">
        <v>45352.0</v>
      </c>
      <c r="F2246" s="84" t="str">
        <f t="array" ref="F2246">XLOOKUP(G2246,Reference!$F:$F,Reference!$D:$D,"null")</f>
        <v>Rumah Tangga</v>
      </c>
      <c r="G2246" s="85" t="s">
        <v>84</v>
      </c>
      <c r="H2246" s="86">
        <v>99.62</v>
      </c>
      <c r="I2246" s="86">
        <v>99.54</v>
      </c>
      <c r="J2246" s="87">
        <f t="shared" si="2"/>
        <v>0.08036970062</v>
      </c>
      <c r="K2246" s="84" t="str">
        <f t="shared" si="3"/>
        <v>Inflasi Normal</v>
      </c>
      <c r="L2246" s="84">
        <f t="shared" si="4"/>
        <v>0.08</v>
      </c>
      <c r="M2246" s="88" t="str">
        <f t="shared" si="5"/>
        <v>Perubahan Normal</v>
      </c>
    </row>
    <row r="2247" ht="18.75" customHeight="1">
      <c r="A2247" s="80" t="s">
        <v>558</v>
      </c>
      <c r="B2247" s="81" t="str">
        <f t="shared" si="1"/>
        <v>Kab Kapuas</v>
      </c>
      <c r="C2247" s="81" t="str">
        <f t="array" ref="C2247">XLOOKUP(B2247,Reference!$A$2:$A$152,Reference!$B$2:$B$152)</f>
        <v>Kalimantan Tengah</v>
      </c>
      <c r="D2247" s="82" t="s">
        <v>2686</v>
      </c>
      <c r="E2247" s="83">
        <v>45323.0</v>
      </c>
      <c r="F2247" s="84" t="str">
        <f t="array" ref="F2247">XLOOKUP(G2247,Reference!$F:$F,Reference!$D:$D,"null")</f>
        <v>Rumah Tangga</v>
      </c>
      <c r="G2247" s="85" t="s">
        <v>89</v>
      </c>
      <c r="H2247" s="86">
        <v>103.97</v>
      </c>
      <c r="I2247" s="86">
        <v>104.94</v>
      </c>
      <c r="J2247" s="87">
        <f t="shared" si="2"/>
        <v>-0.9243377168</v>
      </c>
      <c r="K2247" s="84" t="str">
        <f t="shared" si="3"/>
        <v>Deflasi</v>
      </c>
      <c r="L2247" s="84">
        <f t="shared" si="4"/>
        <v>-0.97</v>
      </c>
      <c r="M2247" s="88" t="str">
        <f t="shared" si="5"/>
        <v>Perubahan Normal</v>
      </c>
    </row>
    <row r="2248" ht="18.75" customHeight="1">
      <c r="A2248" s="80" t="s">
        <v>497</v>
      </c>
      <c r="B2248" s="81" t="str">
        <f t="shared" si="1"/>
        <v>Tanjung Pandan</v>
      </c>
      <c r="C2248" s="81" t="str">
        <f t="array" ref="C2248">XLOOKUP(B2248,Reference!$A$2:$A$152,Reference!$B$2:$B$152)</f>
        <v>Kepulauan Bangka Belitung</v>
      </c>
      <c r="D2248" s="82" t="s">
        <v>2687</v>
      </c>
      <c r="E2248" s="83">
        <v>45323.0</v>
      </c>
      <c r="F2248" s="84" t="str">
        <f t="array" ref="F2248">XLOOKUP(G2248,Reference!$F:$F,Reference!$D:$D,"null")</f>
        <v>Rumah Tangga</v>
      </c>
      <c r="G2248" s="89" t="s">
        <v>89</v>
      </c>
      <c r="H2248" s="90">
        <v>100.31</v>
      </c>
      <c r="I2248" s="90">
        <v>100.31</v>
      </c>
      <c r="J2248" s="87">
        <f t="shared" si="2"/>
        <v>0</v>
      </c>
      <c r="K2248" s="84" t="str">
        <f t="shared" si="3"/>
        <v>Stabil</v>
      </c>
      <c r="L2248" s="91">
        <f t="shared" si="4"/>
        <v>0</v>
      </c>
      <c r="M2248" s="88" t="str">
        <f t="shared" si="5"/>
        <v>Perubahan Normal</v>
      </c>
    </row>
    <row r="2249" ht="18.75" customHeight="1">
      <c r="A2249" s="80" t="s">
        <v>497</v>
      </c>
      <c r="B2249" s="81" t="str">
        <f t="shared" si="1"/>
        <v>Tanjung Pandan</v>
      </c>
      <c r="C2249" s="81" t="str">
        <f t="array" ref="C2249">XLOOKUP(B2249,Reference!$A$2:$A$152,Reference!$B$2:$B$152)</f>
        <v>Kepulauan Bangka Belitung</v>
      </c>
      <c r="D2249" s="82" t="s">
        <v>2688</v>
      </c>
      <c r="E2249" s="83">
        <v>45352.0</v>
      </c>
      <c r="F2249" s="84" t="str">
        <f t="array" ref="F2249">XLOOKUP(G2249,Reference!$F:$F,Reference!$D:$D,"null")</f>
        <v>Pendidikan dan Kesehatan</v>
      </c>
      <c r="G2249" s="85" t="s">
        <v>98</v>
      </c>
      <c r="H2249" s="86">
        <v>103.19</v>
      </c>
      <c r="I2249" s="86">
        <v>103.19</v>
      </c>
      <c r="J2249" s="87">
        <f t="shared" si="2"/>
        <v>0</v>
      </c>
      <c r="K2249" s="84" t="str">
        <f t="shared" si="3"/>
        <v>Stabil</v>
      </c>
      <c r="L2249" s="84">
        <f t="shared" si="4"/>
        <v>0</v>
      </c>
      <c r="M2249" s="88" t="str">
        <f t="shared" si="5"/>
        <v>Perubahan Normal</v>
      </c>
    </row>
    <row r="2250" ht="18.75" customHeight="1">
      <c r="A2250" s="80" t="s">
        <v>399</v>
      </c>
      <c r="B2250" s="81" t="str">
        <f t="shared" si="1"/>
        <v>Sampit</v>
      </c>
      <c r="C2250" s="81" t="str">
        <f t="array" ref="C2250">XLOOKUP(B2250,Reference!$A$2:$A$152,Reference!$B$2:$B$152)</f>
        <v>Kalimantan Tengah</v>
      </c>
      <c r="D2250" s="82" t="s">
        <v>2689</v>
      </c>
      <c r="E2250" s="83">
        <v>45352.0</v>
      </c>
      <c r="F2250" s="84" t="str">
        <f t="array" ref="F2250">XLOOKUP(G2250,Reference!$F:$F,Reference!$D:$D,"null")</f>
        <v>Rumah Tangga</v>
      </c>
      <c r="G2250" s="85" t="s">
        <v>89</v>
      </c>
      <c r="H2250" s="86">
        <v>100.0</v>
      </c>
      <c r="I2250" s="86">
        <v>100.0</v>
      </c>
      <c r="J2250" s="87">
        <f t="shared" si="2"/>
        <v>0</v>
      </c>
      <c r="K2250" s="84" t="str">
        <f t="shared" si="3"/>
        <v>Stabil</v>
      </c>
      <c r="L2250" s="84">
        <f t="shared" si="4"/>
        <v>0</v>
      </c>
      <c r="M2250" s="88" t="str">
        <f t="shared" si="5"/>
        <v>Perubahan Normal</v>
      </c>
    </row>
    <row r="2251" ht="18.75" customHeight="1">
      <c r="A2251" s="80" t="s">
        <v>372</v>
      </c>
      <c r="B2251" s="81" t="str">
        <f t="shared" si="1"/>
        <v>Kota Tanjung Pinang</v>
      </c>
      <c r="C2251" s="81" t="str">
        <f t="array" ref="C2251">XLOOKUP(B2251,Reference!$A$2:$A$152,Reference!$B$2:$B$152)</f>
        <v>Kepulauan Riau</v>
      </c>
      <c r="D2251" s="82" t="s">
        <v>2690</v>
      </c>
      <c r="E2251" s="83">
        <v>45323.0</v>
      </c>
      <c r="F2251" s="84" t="str">
        <f t="array" ref="F2251">XLOOKUP(G2251,Reference!$F:$F,Reference!$D:$D,"null")</f>
        <v>Rekreasi dan Kendaraan</v>
      </c>
      <c r="G2251" s="85" t="s">
        <v>102</v>
      </c>
      <c r="H2251" s="86">
        <v>100.74</v>
      </c>
      <c r="I2251" s="86">
        <v>100.58</v>
      </c>
      <c r="J2251" s="87">
        <f t="shared" si="2"/>
        <v>0.1590773514</v>
      </c>
      <c r="K2251" s="84" t="str">
        <f t="shared" si="3"/>
        <v>Inflasi Normal</v>
      </c>
      <c r="L2251" s="84">
        <f t="shared" si="4"/>
        <v>0.16</v>
      </c>
      <c r="M2251" s="88" t="str">
        <f t="shared" si="5"/>
        <v>Perubahan Normal</v>
      </c>
    </row>
    <row r="2252" ht="18.75" customHeight="1">
      <c r="A2252" s="80" t="s">
        <v>586</v>
      </c>
      <c r="B2252" s="81" t="str">
        <f t="shared" si="1"/>
        <v>Kab Karimun</v>
      </c>
      <c r="C2252" s="81" t="str">
        <f t="array" ref="C2252">XLOOKUP(B2252,Reference!$A$2:$A$152,Reference!$B$2:$B$152)</f>
        <v>Kepulauan Riau</v>
      </c>
      <c r="D2252" s="82" t="s">
        <v>2691</v>
      </c>
      <c r="E2252" s="83">
        <v>45352.0</v>
      </c>
      <c r="F2252" s="84" t="str">
        <f t="array" ref="F2252">XLOOKUP(G2252,Reference!$F:$F,Reference!$D:$D,"null")</f>
        <v>Rekreasi dan Kendaraan</v>
      </c>
      <c r="G2252" s="85" t="s">
        <v>102</v>
      </c>
      <c r="H2252" s="86">
        <v>103.21</v>
      </c>
      <c r="I2252" s="86">
        <v>103.21</v>
      </c>
      <c r="J2252" s="87">
        <f t="shared" si="2"/>
        <v>0</v>
      </c>
      <c r="K2252" s="84" t="str">
        <f t="shared" si="3"/>
        <v>Stabil</v>
      </c>
      <c r="L2252" s="84">
        <f t="shared" si="4"/>
        <v>0</v>
      </c>
      <c r="M2252" s="88" t="str">
        <f t="shared" si="5"/>
        <v>Perubahan Normal</v>
      </c>
    </row>
    <row r="2253" ht="18.75" customHeight="1">
      <c r="A2253" s="80" t="s">
        <v>391</v>
      </c>
      <c r="B2253" s="81" t="str">
        <f t="shared" si="1"/>
        <v>Kota Batam</v>
      </c>
      <c r="C2253" s="81" t="str">
        <f t="array" ref="C2253">XLOOKUP(B2253,Reference!$A$2:$A$152,Reference!$B$2:$B$152)</f>
        <v>Kepulauan Riau</v>
      </c>
      <c r="D2253" s="82" t="s">
        <v>2692</v>
      </c>
      <c r="E2253" s="83">
        <v>45352.0</v>
      </c>
      <c r="F2253" s="84" t="str">
        <f t="array" ref="F2253">XLOOKUP(G2253,Reference!$F:$F,Reference!$D:$D,"null")</f>
        <v>Makanan dan Pakaian </v>
      </c>
      <c r="G2253" s="89" t="s">
        <v>56</v>
      </c>
      <c r="H2253" s="90">
        <v>107.14</v>
      </c>
      <c r="I2253" s="90">
        <v>107.14</v>
      </c>
      <c r="J2253" s="87">
        <f t="shared" si="2"/>
        <v>0</v>
      </c>
      <c r="K2253" s="84" t="str">
        <f t="shared" si="3"/>
        <v>Stabil</v>
      </c>
      <c r="L2253" s="91">
        <f t="shared" si="4"/>
        <v>0</v>
      </c>
      <c r="M2253" s="88" t="str">
        <f t="shared" si="5"/>
        <v>Perubahan Normal</v>
      </c>
    </row>
    <row r="2254" ht="18.75" customHeight="1">
      <c r="A2254" s="80" t="s">
        <v>990</v>
      </c>
      <c r="B2254" s="81" t="str">
        <f t="shared" si="1"/>
        <v>Kab Pandeglang</v>
      </c>
      <c r="C2254" s="81" t="str">
        <f t="array" ref="C2254">XLOOKUP(B2254,Reference!$A$2:$A$152,Reference!$B$2:$B$152)</f>
        <v>Banten</v>
      </c>
      <c r="D2254" s="82" t="s">
        <v>2693</v>
      </c>
      <c r="E2254" s="83">
        <v>45323.0</v>
      </c>
      <c r="F2254" s="84" t="str">
        <f t="array" ref="F2254">XLOOKUP(G2254,Reference!$F:$F,Reference!$D:$D,"null")</f>
        <v>Makanan dan Pakaian </v>
      </c>
      <c r="G2254" s="85" t="s">
        <v>56</v>
      </c>
      <c r="H2254" s="86">
        <v>103.63</v>
      </c>
      <c r="I2254" s="86">
        <v>103.41</v>
      </c>
      <c r="J2254" s="87">
        <f t="shared" si="2"/>
        <v>0.2127453825</v>
      </c>
      <c r="K2254" s="84" t="str">
        <f t="shared" si="3"/>
        <v>Inflasi Normal</v>
      </c>
      <c r="L2254" s="84">
        <f t="shared" si="4"/>
        <v>0.22</v>
      </c>
      <c r="M2254" s="88" t="str">
        <f t="shared" si="5"/>
        <v>Perubahan Normal</v>
      </c>
    </row>
    <row r="2255" ht="18.75" customHeight="1">
      <c r="A2255" s="80" t="s">
        <v>502</v>
      </c>
      <c r="B2255" s="81" t="str">
        <f t="shared" si="1"/>
        <v>Muara Bungo</v>
      </c>
      <c r="C2255" s="81" t="str">
        <f t="array" ref="C2255">XLOOKUP(B2255,Reference!$A$2:$A$152,Reference!$B$2:$B$152)</f>
        <v>Jambi</v>
      </c>
      <c r="D2255" s="82" t="s">
        <v>2694</v>
      </c>
      <c r="E2255" s="83">
        <v>45323.0</v>
      </c>
      <c r="F2255" s="84" t="str">
        <f t="array" ref="F2255">XLOOKUP(G2255,Reference!$F:$F,Reference!$D:$D,"null")</f>
        <v>Rekreasi dan Kendaraan</v>
      </c>
      <c r="G2255" s="85" t="s">
        <v>102</v>
      </c>
      <c r="H2255" s="86">
        <v>105.88</v>
      </c>
      <c r="I2255" s="86">
        <v>105.63</v>
      </c>
      <c r="J2255" s="87">
        <f t="shared" si="2"/>
        <v>0.236675187</v>
      </c>
      <c r="K2255" s="84" t="str">
        <f t="shared" si="3"/>
        <v>Inflasi Normal</v>
      </c>
      <c r="L2255" s="84">
        <f t="shared" si="4"/>
        <v>0.25</v>
      </c>
      <c r="M2255" s="88" t="str">
        <f t="shared" si="5"/>
        <v>Perubahan Normal</v>
      </c>
    </row>
    <row r="2256" ht="18.75" customHeight="1">
      <c r="A2256" s="80" t="s">
        <v>404</v>
      </c>
      <c r="B2256" s="81" t="str">
        <f t="shared" si="1"/>
        <v>Kab Mesuji</v>
      </c>
      <c r="C2256" s="81" t="str">
        <f t="array" ref="C2256">XLOOKUP(B2256,Reference!$A$2:$A$152,Reference!$B$2:$B$152)</f>
        <v>Lampung</v>
      </c>
      <c r="D2256" s="82" t="s">
        <v>2695</v>
      </c>
      <c r="E2256" s="83">
        <v>45323.0</v>
      </c>
      <c r="F2256" s="84" t="str">
        <f t="array" ref="F2256">XLOOKUP(G2256,Reference!$F:$F,Reference!$D:$D,"null")</f>
        <v>Rumah Tangga</v>
      </c>
      <c r="G2256" s="85" t="s">
        <v>80</v>
      </c>
      <c r="H2256" s="86">
        <v>101.16</v>
      </c>
      <c r="I2256" s="86">
        <v>100.56</v>
      </c>
      <c r="J2256" s="87">
        <f t="shared" si="2"/>
        <v>0.5966587112</v>
      </c>
      <c r="K2256" s="84" t="str">
        <f t="shared" si="3"/>
        <v>Inflasi Tinggi</v>
      </c>
      <c r="L2256" s="84">
        <f t="shared" si="4"/>
        <v>0.6</v>
      </c>
      <c r="M2256" s="88" t="str">
        <f t="shared" si="5"/>
        <v>Akselerasi Persentase</v>
      </c>
    </row>
    <row r="2257" ht="18.75" customHeight="1">
      <c r="A2257" s="80" t="s">
        <v>762</v>
      </c>
      <c r="B2257" s="81" t="str">
        <f t="shared" si="1"/>
        <v>Kota Pangkal Pinang</v>
      </c>
      <c r="C2257" s="81" t="str">
        <f t="array" ref="C2257">XLOOKUP(B2257,Reference!$A$2:$A$152,Reference!$B$2:$B$152)</f>
        <v>Kepulauan Bangka Belitung</v>
      </c>
      <c r="D2257" s="82" t="s">
        <v>2696</v>
      </c>
      <c r="E2257" s="83">
        <v>45323.0</v>
      </c>
      <c r="F2257" s="84" t="str">
        <f t="array" ref="F2257">XLOOKUP(G2257,Reference!$F:$F,Reference!$D:$D,"null")</f>
        <v>Pendidikan dan Kesehatan</v>
      </c>
      <c r="G2257" s="85" t="s">
        <v>98</v>
      </c>
      <c r="H2257" s="86">
        <v>103.14</v>
      </c>
      <c r="I2257" s="86">
        <v>103.19</v>
      </c>
      <c r="J2257" s="87">
        <f t="shared" si="2"/>
        <v>-0.04845430759</v>
      </c>
      <c r="K2257" s="84" t="str">
        <f t="shared" si="3"/>
        <v>Deflasi</v>
      </c>
      <c r="L2257" s="84">
        <f t="shared" si="4"/>
        <v>-0.05</v>
      </c>
      <c r="M2257" s="88" t="str">
        <f t="shared" si="5"/>
        <v>Perubahan Normal</v>
      </c>
    </row>
    <row r="2258" ht="18.75" customHeight="1">
      <c r="A2258" s="80" t="s">
        <v>672</v>
      </c>
      <c r="B2258" s="81" t="str">
        <f t="shared" si="1"/>
        <v>Kab Ogan Komering Ilir</v>
      </c>
      <c r="C2258" s="81" t="str">
        <f t="array" ref="C2258">XLOOKUP(B2258,Reference!$A$2:$A$152,Reference!$B$2:$B$152)</f>
        <v>Sumatera Selatan</v>
      </c>
      <c r="D2258" s="82" t="s">
        <v>2697</v>
      </c>
      <c r="E2258" s="83">
        <v>45323.0</v>
      </c>
      <c r="F2258" s="84" t="str">
        <f t="array" ref="F2258">XLOOKUP(G2258,Reference!$F:$F,Reference!$D:$D,"null")</f>
        <v>Rumah Tangga</v>
      </c>
      <c r="G2258" s="85" t="s">
        <v>89</v>
      </c>
      <c r="H2258" s="86">
        <v>104.7</v>
      </c>
      <c r="I2258" s="86">
        <v>104.7</v>
      </c>
      <c r="J2258" s="87">
        <f t="shared" si="2"/>
        <v>0</v>
      </c>
      <c r="K2258" s="84" t="str">
        <f t="shared" si="3"/>
        <v>Stabil</v>
      </c>
      <c r="L2258" s="84">
        <f t="shared" si="4"/>
        <v>0</v>
      </c>
      <c r="M2258" s="88" t="str">
        <f t="shared" si="5"/>
        <v>Perubahan Normal</v>
      </c>
    </row>
    <row r="2259" ht="18.75" customHeight="1">
      <c r="A2259" s="80" t="s">
        <v>331</v>
      </c>
      <c r="B2259" s="81" t="str">
        <f t="shared" si="1"/>
        <v>Kota Lhokseumawe</v>
      </c>
      <c r="C2259" s="81" t="str">
        <f t="array" ref="C2259">XLOOKUP(B2259,Reference!$A$2:$A$152,Reference!$B$2:$B$152)</f>
        <v>Aceh</v>
      </c>
      <c r="D2259" s="82" t="s">
        <v>2698</v>
      </c>
      <c r="E2259" s="83">
        <v>45323.0</v>
      </c>
      <c r="F2259" s="84" t="str">
        <f t="array" ref="F2259">XLOOKUP(G2259,Reference!$F:$F,Reference!$D:$D,"null")</f>
        <v>Makanan dan Pakaian </v>
      </c>
      <c r="G2259" s="85" t="s">
        <v>72</v>
      </c>
      <c r="H2259" s="86">
        <v>117.23</v>
      </c>
      <c r="I2259" s="86">
        <v>117.23</v>
      </c>
      <c r="J2259" s="87">
        <f t="shared" si="2"/>
        <v>0</v>
      </c>
      <c r="K2259" s="84" t="str">
        <f t="shared" si="3"/>
        <v>Stabil</v>
      </c>
      <c r="L2259" s="84">
        <f t="shared" si="4"/>
        <v>0</v>
      </c>
      <c r="M2259" s="88" t="str">
        <f t="shared" si="5"/>
        <v>Perubahan Normal</v>
      </c>
    </row>
    <row r="2260" ht="18.75" customHeight="1">
      <c r="A2260" s="80" t="s">
        <v>384</v>
      </c>
      <c r="B2260" s="81" t="str">
        <f t="shared" si="1"/>
        <v>Kab Lebak</v>
      </c>
      <c r="C2260" s="81" t="str">
        <f t="array" ref="C2260">XLOOKUP(B2260,Reference!$A$2:$A$152,Reference!$B$2:$B$152)</f>
        <v>Banten</v>
      </c>
      <c r="D2260" s="82" t="s">
        <v>2699</v>
      </c>
      <c r="E2260" s="83">
        <v>45323.0</v>
      </c>
      <c r="F2260" s="84" t="str">
        <f t="array" ref="F2260">XLOOKUP(G2260,Reference!$F:$F,Reference!$D:$D,"null")</f>
        <v>Makanan dan Pakaian </v>
      </c>
      <c r="G2260" s="85" t="s">
        <v>48</v>
      </c>
      <c r="H2260" s="86">
        <v>109.24</v>
      </c>
      <c r="I2260" s="86">
        <v>107.86</v>
      </c>
      <c r="J2260" s="87">
        <f t="shared" si="2"/>
        <v>1.279436306</v>
      </c>
      <c r="K2260" s="84" t="str">
        <f t="shared" si="3"/>
        <v>Inflasi Tinggi</v>
      </c>
      <c r="L2260" s="84">
        <f t="shared" si="4"/>
        <v>1.38</v>
      </c>
      <c r="M2260" s="88" t="str">
        <f t="shared" si="5"/>
        <v>Akselerasi Persentase</v>
      </c>
    </row>
    <row r="2261" ht="18.75" customHeight="1">
      <c r="A2261" s="80" t="s">
        <v>335</v>
      </c>
      <c r="B2261" s="81" t="str">
        <f t="shared" si="1"/>
        <v>Kab Wonogiri</v>
      </c>
      <c r="C2261" s="81" t="str">
        <f t="array" ref="C2261">XLOOKUP(B2261,Reference!$A$2:$A$152,Reference!$B$2:$B$152)</f>
        <v>Jawa Tengah</v>
      </c>
      <c r="D2261" s="82" t="s">
        <v>2700</v>
      </c>
      <c r="E2261" s="83">
        <v>45352.0</v>
      </c>
      <c r="F2261" s="84" t="str">
        <f t="array" ref="F2261">XLOOKUP(G2261,Reference!$F:$F,Reference!$D:$D,"null")</f>
        <v>Rumah Tangga</v>
      </c>
      <c r="G2261" s="85" t="s">
        <v>84</v>
      </c>
      <c r="H2261" s="86">
        <v>101.53</v>
      </c>
      <c r="I2261" s="86">
        <v>101.66</v>
      </c>
      <c r="J2261" s="87">
        <f t="shared" si="2"/>
        <v>-0.1278772379</v>
      </c>
      <c r="K2261" s="84" t="str">
        <f t="shared" si="3"/>
        <v>Deflasi</v>
      </c>
      <c r="L2261" s="84">
        <f t="shared" si="4"/>
        <v>-0.13</v>
      </c>
      <c r="M2261" s="88" t="str">
        <f t="shared" si="5"/>
        <v>Perubahan Normal</v>
      </c>
    </row>
    <row r="2262" ht="18.75" customHeight="1">
      <c r="A2262" s="80" t="s">
        <v>329</v>
      </c>
      <c r="B2262" s="81" t="str">
        <f t="shared" si="1"/>
        <v>Kab Penajam Paser Utara</v>
      </c>
      <c r="C2262" s="81" t="str">
        <f t="array" ref="C2262">XLOOKUP(B2262,Reference!$A$2:$A$152,Reference!$B$2:$B$152)</f>
        <v>Kalimantan Timur</v>
      </c>
      <c r="D2262" s="82" t="s">
        <v>2701</v>
      </c>
      <c r="E2262" s="83">
        <v>45323.0</v>
      </c>
      <c r="F2262" s="84" t="str">
        <f t="array" ref="F2262">XLOOKUP(G2262,Reference!$F:$F,Reference!$D:$D,"null")</f>
        <v>Rekreasi dan Kendaraan</v>
      </c>
      <c r="G2262" s="85" t="s">
        <v>105</v>
      </c>
      <c r="H2262" s="86">
        <v>107.8</v>
      </c>
      <c r="I2262" s="86">
        <v>107.8</v>
      </c>
      <c r="J2262" s="87">
        <f t="shared" si="2"/>
        <v>0</v>
      </c>
      <c r="K2262" s="84" t="str">
        <f t="shared" si="3"/>
        <v>Stabil</v>
      </c>
      <c r="L2262" s="84">
        <f t="shared" si="4"/>
        <v>0</v>
      </c>
      <c r="M2262" s="88" t="str">
        <f t="shared" si="5"/>
        <v>Perubahan Normal</v>
      </c>
    </row>
    <row r="2263" ht="18.75" customHeight="1">
      <c r="A2263" s="80" t="s">
        <v>508</v>
      </c>
      <c r="B2263" s="81" t="str">
        <f t="shared" si="1"/>
        <v>Kab Minahasa Selatan</v>
      </c>
      <c r="C2263" s="81" t="str">
        <f t="array" ref="C2263">XLOOKUP(B2263,Reference!$A$2:$A$152,Reference!$B$2:$B$152)</f>
        <v>Sulawesi Utara</v>
      </c>
      <c r="D2263" s="82" t="s">
        <v>2702</v>
      </c>
      <c r="E2263" s="83">
        <v>45323.0</v>
      </c>
      <c r="F2263" s="84" t="str">
        <f t="array" ref="F2263">XLOOKUP(G2263,Reference!$F:$F,Reference!$D:$D,"null")</f>
        <v>Rumah Tangga</v>
      </c>
      <c r="G2263" s="85" t="s">
        <v>89</v>
      </c>
      <c r="H2263" s="86">
        <v>100.83</v>
      </c>
      <c r="I2263" s="86">
        <v>100.83</v>
      </c>
      <c r="J2263" s="87">
        <f t="shared" si="2"/>
        <v>0</v>
      </c>
      <c r="K2263" s="84" t="str">
        <f t="shared" si="3"/>
        <v>Stabil</v>
      </c>
      <c r="L2263" s="84">
        <f t="shared" si="4"/>
        <v>0</v>
      </c>
      <c r="M2263" s="88" t="str">
        <f t="shared" si="5"/>
        <v>Perubahan Normal</v>
      </c>
    </row>
    <row r="2264" ht="18.75" customHeight="1">
      <c r="A2264" s="80" t="s">
        <v>905</v>
      </c>
      <c r="B2264" s="81" t="str">
        <f t="shared" si="1"/>
        <v>Kota Ambon</v>
      </c>
      <c r="C2264" s="81" t="str">
        <f t="array" ref="C2264">XLOOKUP(B2264,Reference!$A$2:$A$152,Reference!$B$2:$B$152)</f>
        <v>Maluku</v>
      </c>
      <c r="D2264" s="82" t="s">
        <v>2703</v>
      </c>
      <c r="E2264" s="83">
        <v>45352.0</v>
      </c>
      <c r="F2264" s="84" t="str">
        <f t="array" ref="F2264">XLOOKUP(G2264,Reference!$F:$F,Reference!$D:$D,"null")</f>
        <v>Makanan dan Pakaian </v>
      </c>
      <c r="G2264" s="85" t="s">
        <v>64</v>
      </c>
      <c r="H2264" s="86">
        <v>103.55</v>
      </c>
      <c r="I2264" s="86">
        <v>103.27</v>
      </c>
      <c r="J2264" s="87">
        <f t="shared" si="2"/>
        <v>0.2711339208</v>
      </c>
      <c r="K2264" s="84" t="str">
        <f t="shared" si="3"/>
        <v>Inflasi Normal</v>
      </c>
      <c r="L2264" s="84">
        <f t="shared" si="4"/>
        <v>0.28</v>
      </c>
      <c r="M2264" s="88" t="str">
        <f t="shared" si="5"/>
        <v>Perubahan Normal</v>
      </c>
    </row>
    <row r="2265" ht="18.75" customHeight="1">
      <c r="A2265" s="80" t="s">
        <v>382</v>
      </c>
      <c r="B2265" s="81" t="str">
        <f t="shared" si="1"/>
        <v>Kab Ngada</v>
      </c>
      <c r="C2265" s="81" t="str">
        <f t="array" ref="C2265">XLOOKUP(B2265,Reference!$A$2:$A$152,Reference!$B$2:$B$152)</f>
        <v>Nusa Tenggara Timur (NTT)</v>
      </c>
      <c r="D2265" s="82" t="s">
        <v>2704</v>
      </c>
      <c r="E2265" s="83">
        <v>45323.0</v>
      </c>
      <c r="F2265" s="84" t="str">
        <f t="array" ref="F2265">XLOOKUP(G2265,Reference!$F:$F,Reference!$D:$D,"null")</f>
        <v>Makanan dan Pakaian </v>
      </c>
      <c r="G2265" s="85" t="s">
        <v>56</v>
      </c>
      <c r="H2265" s="86">
        <v>99.79</v>
      </c>
      <c r="I2265" s="86">
        <v>99.59</v>
      </c>
      <c r="J2265" s="87">
        <f t="shared" si="2"/>
        <v>0.2008233758</v>
      </c>
      <c r="K2265" s="84" t="str">
        <f t="shared" si="3"/>
        <v>Inflasi Normal</v>
      </c>
      <c r="L2265" s="84">
        <f t="shared" si="4"/>
        <v>0.2</v>
      </c>
      <c r="M2265" s="88" t="str">
        <f t="shared" si="5"/>
        <v>Perubahan Normal</v>
      </c>
    </row>
    <row r="2266" ht="18.75" customHeight="1">
      <c r="A2266" s="80" t="s">
        <v>312</v>
      </c>
      <c r="B2266" s="81" t="str">
        <f t="shared" si="1"/>
        <v>Kab Jayawijaya</v>
      </c>
      <c r="C2266" s="81" t="str">
        <f t="array" ref="C2266">XLOOKUP(B2266,Reference!$A$2:$A$152,Reference!$B$2:$B$152)</f>
        <v>Papua</v>
      </c>
      <c r="D2266" s="82" t="s">
        <v>2705</v>
      </c>
      <c r="E2266" s="83">
        <v>45352.0</v>
      </c>
      <c r="F2266" s="84" t="str">
        <f t="array" ref="F2266">XLOOKUP(G2266,Reference!$F:$F,Reference!$D:$D,"null")</f>
        <v>Rekreasi dan Kendaraan</v>
      </c>
      <c r="G2266" s="85" t="s">
        <v>105</v>
      </c>
      <c r="H2266" s="86">
        <v>99.82</v>
      </c>
      <c r="I2266" s="86">
        <v>99.77</v>
      </c>
      <c r="J2266" s="87">
        <f t="shared" si="2"/>
        <v>0.05011526511</v>
      </c>
      <c r="K2266" s="84" t="str">
        <f t="shared" si="3"/>
        <v>Inflasi Normal</v>
      </c>
      <c r="L2266" s="84">
        <f t="shared" si="4"/>
        <v>0.05</v>
      </c>
      <c r="M2266" s="88" t="str">
        <f t="shared" si="5"/>
        <v>Perubahan Normal</v>
      </c>
    </row>
    <row r="2267" ht="18.75" customHeight="1">
      <c r="A2267" s="80" t="s">
        <v>460</v>
      </c>
      <c r="B2267" s="81" t="str">
        <f t="shared" si="1"/>
        <v>Kab Kayong Utara</v>
      </c>
      <c r="C2267" s="81" t="str">
        <f t="array" ref="C2267">XLOOKUP(B2267,Reference!$A$2:$A$152,Reference!$B$2:$B$152)</f>
        <v>Kalimantan Barat</v>
      </c>
      <c r="D2267" s="82" t="s">
        <v>2706</v>
      </c>
      <c r="E2267" s="83">
        <v>45323.0</v>
      </c>
      <c r="F2267" s="84" t="str">
        <f t="array" ref="F2267">XLOOKUP(G2267,Reference!$F:$F,Reference!$D:$D,"null")</f>
        <v>Rekreasi dan Kendaraan</v>
      </c>
      <c r="G2267" s="85" t="s">
        <v>105</v>
      </c>
      <c r="H2267" s="86">
        <v>103.6</v>
      </c>
      <c r="I2267" s="86">
        <v>103.6</v>
      </c>
      <c r="J2267" s="87">
        <f t="shared" si="2"/>
        <v>0</v>
      </c>
      <c r="K2267" s="84" t="str">
        <f t="shared" si="3"/>
        <v>Stabil</v>
      </c>
      <c r="L2267" s="84">
        <f t="shared" si="4"/>
        <v>0</v>
      </c>
      <c r="M2267" s="88" t="str">
        <f t="shared" si="5"/>
        <v>Perubahan Normal</v>
      </c>
    </row>
    <row r="2268" ht="18.75" customHeight="1">
      <c r="A2268" s="80" t="s">
        <v>628</v>
      </c>
      <c r="B2268" s="81" t="str">
        <f t="shared" si="1"/>
        <v>Watampone</v>
      </c>
      <c r="C2268" s="81" t="str">
        <f t="array" ref="C2268">XLOOKUP(B2268,Reference!$A$2:$A$152,Reference!$B$2:$B$152)</f>
        <v>Sulawesi Selatan</v>
      </c>
      <c r="D2268" s="82" t="s">
        <v>2707</v>
      </c>
      <c r="E2268" s="83">
        <v>45323.0</v>
      </c>
      <c r="F2268" s="84" t="str">
        <f t="array" ref="F2268">XLOOKUP(G2268,Reference!$F:$F,Reference!$D:$D,"null")</f>
        <v>Rumah Tangga</v>
      </c>
      <c r="G2268" s="85" t="s">
        <v>84</v>
      </c>
      <c r="H2268" s="86">
        <v>101.63</v>
      </c>
      <c r="I2268" s="86">
        <v>101.84</v>
      </c>
      <c r="J2268" s="87">
        <f t="shared" si="2"/>
        <v>-0.206205813</v>
      </c>
      <c r="K2268" s="84" t="str">
        <f t="shared" si="3"/>
        <v>Deflasi</v>
      </c>
      <c r="L2268" s="84">
        <f t="shared" si="4"/>
        <v>-0.21</v>
      </c>
      <c r="M2268" s="88" t="str">
        <f t="shared" si="5"/>
        <v>Perubahan Normal</v>
      </c>
    </row>
    <row r="2269" ht="18.75" customHeight="1">
      <c r="A2269" s="80" t="s">
        <v>316</v>
      </c>
      <c r="B2269" s="81" t="str">
        <f t="shared" si="1"/>
        <v>Singaraja</v>
      </c>
      <c r="C2269" s="81" t="str">
        <f t="array" ref="C2269">XLOOKUP(B2269,Reference!$A$2:$A$152,Reference!$B$2:$B$152)</f>
        <v>Bali</v>
      </c>
      <c r="D2269" s="82" t="s">
        <v>2708</v>
      </c>
      <c r="E2269" s="83">
        <v>45352.0</v>
      </c>
      <c r="F2269" s="84" t="str">
        <f t="array" ref="F2269">XLOOKUP(G2269,Reference!$F:$F,Reference!$D:$D,"null")</f>
        <v>Rekreasi dan Kendaraan</v>
      </c>
      <c r="G2269" s="85" t="s">
        <v>105</v>
      </c>
      <c r="H2269" s="86">
        <v>106.11</v>
      </c>
      <c r="I2269" s="86">
        <v>105.96</v>
      </c>
      <c r="J2269" s="87">
        <f t="shared" si="2"/>
        <v>0.1415628539</v>
      </c>
      <c r="K2269" s="84" t="str">
        <f t="shared" si="3"/>
        <v>Inflasi Normal</v>
      </c>
      <c r="L2269" s="84">
        <f t="shared" si="4"/>
        <v>0.15</v>
      </c>
      <c r="M2269" s="88" t="str">
        <f t="shared" si="5"/>
        <v>Perubahan Normal</v>
      </c>
    </row>
    <row r="2270" ht="18.75" customHeight="1">
      <c r="A2270" s="80" t="s">
        <v>318</v>
      </c>
      <c r="B2270" s="81" t="str">
        <f t="shared" si="1"/>
        <v>Tanjung</v>
      </c>
      <c r="C2270" s="81" t="str">
        <f t="array" ref="C2270">XLOOKUP(B2270,Reference!$A$2:$A$152,Reference!$B$2:$B$152)</f>
        <v>Kalimantan Selatan</v>
      </c>
      <c r="D2270" s="82" t="s">
        <v>2709</v>
      </c>
      <c r="E2270" s="83">
        <v>45352.0</v>
      </c>
      <c r="F2270" s="84" t="str">
        <f t="array" ref="F2270">XLOOKUP(G2270,Reference!$F:$F,Reference!$D:$D,"null")</f>
        <v>Rekreasi dan Kendaraan</v>
      </c>
      <c r="G2270" s="85" t="s">
        <v>102</v>
      </c>
      <c r="H2270" s="86">
        <v>103.32</v>
      </c>
      <c r="I2270" s="86">
        <v>103.32</v>
      </c>
      <c r="J2270" s="87">
        <f t="shared" si="2"/>
        <v>0</v>
      </c>
      <c r="K2270" s="84" t="str">
        <f t="shared" si="3"/>
        <v>Stabil</v>
      </c>
      <c r="L2270" s="84">
        <f t="shared" si="4"/>
        <v>0</v>
      </c>
      <c r="M2270" s="88" t="str">
        <f t="shared" si="5"/>
        <v>Perubahan Normal</v>
      </c>
    </row>
    <row r="2271" ht="18.75" customHeight="1">
      <c r="A2271" s="80" t="s">
        <v>517</v>
      </c>
      <c r="B2271" s="81" t="str">
        <f t="shared" si="1"/>
        <v>Kota Kupang</v>
      </c>
      <c r="C2271" s="81" t="str">
        <f t="array" ref="C2271">XLOOKUP(B2271,Reference!$A$2:$A$152,Reference!$B$2:$B$152)</f>
        <v>Nusa Tenggara Timur (NTT)</v>
      </c>
      <c r="D2271" s="82" t="s">
        <v>2710</v>
      </c>
      <c r="E2271" s="83">
        <v>45352.0</v>
      </c>
      <c r="F2271" s="84" t="str">
        <f t="array" ref="F2271">XLOOKUP(G2271,Reference!$F:$F,Reference!$D:$D,"null")</f>
        <v>Rekreasi dan Kendaraan</v>
      </c>
      <c r="G2271" s="85" t="s">
        <v>102</v>
      </c>
      <c r="H2271" s="86">
        <v>100.56</v>
      </c>
      <c r="I2271" s="86">
        <v>100.51</v>
      </c>
      <c r="J2271" s="87">
        <f t="shared" si="2"/>
        <v>0.0497462939</v>
      </c>
      <c r="K2271" s="84" t="str">
        <f t="shared" si="3"/>
        <v>Inflasi Normal</v>
      </c>
      <c r="L2271" s="84">
        <f t="shared" si="4"/>
        <v>0.05</v>
      </c>
      <c r="M2271" s="88" t="str">
        <f t="shared" si="5"/>
        <v>Perubahan Normal</v>
      </c>
    </row>
    <row r="2272" ht="18.75" customHeight="1">
      <c r="A2272" s="80" t="s">
        <v>990</v>
      </c>
      <c r="B2272" s="81" t="str">
        <f t="shared" si="1"/>
        <v>Kab Pandeglang</v>
      </c>
      <c r="C2272" s="81" t="str">
        <f t="array" ref="C2272">XLOOKUP(B2272,Reference!$A$2:$A$152,Reference!$B$2:$B$152)</f>
        <v>Banten</v>
      </c>
      <c r="D2272" s="82" t="s">
        <v>2711</v>
      </c>
      <c r="E2272" s="83">
        <v>45323.0</v>
      </c>
      <c r="F2272" s="84" t="str">
        <f t="array" ref="F2272">XLOOKUP(G2272,Reference!$F:$F,Reference!$D:$D,"null")</f>
        <v>Rekreasi dan Kendaraan</v>
      </c>
      <c r="G2272" s="85" t="s">
        <v>102</v>
      </c>
      <c r="H2272" s="86">
        <v>103.99</v>
      </c>
      <c r="I2272" s="86">
        <v>103.38</v>
      </c>
      <c r="J2272" s="87">
        <f t="shared" si="2"/>
        <v>0.5900561037</v>
      </c>
      <c r="K2272" s="84" t="str">
        <f t="shared" si="3"/>
        <v>Inflasi Tinggi</v>
      </c>
      <c r="L2272" s="84">
        <f t="shared" si="4"/>
        <v>0.61</v>
      </c>
      <c r="M2272" s="88" t="str">
        <f t="shared" si="5"/>
        <v>Akselerasi Persentase</v>
      </c>
    </row>
    <row r="2273" ht="18.75" customHeight="1">
      <c r="A2273" s="80" t="s">
        <v>391</v>
      </c>
      <c r="B2273" s="81" t="str">
        <f t="shared" si="1"/>
        <v>Kota Batam</v>
      </c>
      <c r="C2273" s="81" t="str">
        <f t="array" ref="C2273">XLOOKUP(B2273,Reference!$A$2:$A$152,Reference!$B$2:$B$152)</f>
        <v>Kepulauan Riau</v>
      </c>
      <c r="D2273" s="82" t="s">
        <v>2712</v>
      </c>
      <c r="E2273" s="83">
        <v>45352.0</v>
      </c>
      <c r="F2273" s="84" t="str">
        <f t="array" ref="F2273">XLOOKUP(G2273,Reference!$F:$F,Reference!$D:$D,"null")</f>
        <v>Rekreasi dan Kendaraan</v>
      </c>
      <c r="G2273" s="85" t="s">
        <v>102</v>
      </c>
      <c r="H2273" s="86">
        <v>101.18</v>
      </c>
      <c r="I2273" s="86">
        <v>101.82</v>
      </c>
      <c r="J2273" s="87">
        <f t="shared" si="2"/>
        <v>-0.6285602043</v>
      </c>
      <c r="K2273" s="84" t="str">
        <f t="shared" si="3"/>
        <v>Deflasi</v>
      </c>
      <c r="L2273" s="84">
        <f t="shared" si="4"/>
        <v>-0.64</v>
      </c>
      <c r="M2273" s="88" t="str">
        <f t="shared" si="5"/>
        <v>Perubahan Normal</v>
      </c>
    </row>
    <row r="2274" ht="18.75" customHeight="1">
      <c r="A2274" s="80" t="s">
        <v>663</v>
      </c>
      <c r="B2274" s="81" t="str">
        <f t="shared" si="1"/>
        <v>Kota Serang</v>
      </c>
      <c r="C2274" s="81" t="str">
        <f t="array" ref="C2274">XLOOKUP(B2274,Reference!$A$2:$A$152,Reference!$B$2:$B$152)</f>
        <v>Banten</v>
      </c>
      <c r="D2274" s="82" t="s">
        <v>2713</v>
      </c>
      <c r="E2274" s="83">
        <v>45323.0</v>
      </c>
      <c r="F2274" s="84" t="str">
        <f t="array" ref="F2274">XLOOKUP(G2274,Reference!$F:$F,Reference!$D:$D,"null")</f>
        <v>Pendidikan dan Kesehatan</v>
      </c>
      <c r="G2274" s="85" t="s">
        <v>95</v>
      </c>
      <c r="H2274" s="86">
        <v>102.65</v>
      </c>
      <c r="I2274" s="86">
        <v>102.65</v>
      </c>
      <c r="J2274" s="87">
        <f t="shared" si="2"/>
        <v>0</v>
      </c>
      <c r="K2274" s="84" t="str">
        <f t="shared" si="3"/>
        <v>Stabil</v>
      </c>
      <c r="L2274" s="84">
        <f t="shared" si="4"/>
        <v>0</v>
      </c>
      <c r="M2274" s="88" t="str">
        <f t="shared" si="5"/>
        <v>Perubahan Normal</v>
      </c>
    </row>
    <row r="2275" ht="18.75" customHeight="1">
      <c r="A2275" s="80" t="s">
        <v>419</v>
      </c>
      <c r="B2275" s="81" t="str">
        <f t="shared" si="1"/>
        <v>Kota Singkawang</v>
      </c>
      <c r="C2275" s="81" t="str">
        <f t="array" ref="C2275">XLOOKUP(B2275,Reference!$A$2:$A$152,Reference!$B$2:$B$152)</f>
        <v>Kalimantan Barat</v>
      </c>
      <c r="D2275" s="82" t="s">
        <v>2714</v>
      </c>
      <c r="E2275" s="83">
        <v>45323.0</v>
      </c>
      <c r="F2275" s="84" t="str">
        <f t="array" ref="F2275">XLOOKUP(G2275,Reference!$F:$F,Reference!$D:$D,"null")</f>
        <v>Rekreasi dan Kendaraan</v>
      </c>
      <c r="G2275" s="85" t="s">
        <v>105</v>
      </c>
      <c r="H2275" s="86">
        <v>103.5</v>
      </c>
      <c r="I2275" s="86">
        <v>103.5</v>
      </c>
      <c r="J2275" s="87">
        <f t="shared" si="2"/>
        <v>0</v>
      </c>
      <c r="K2275" s="84" t="str">
        <f t="shared" si="3"/>
        <v>Stabil</v>
      </c>
      <c r="L2275" s="84">
        <f t="shared" si="4"/>
        <v>0</v>
      </c>
      <c r="M2275" s="88" t="str">
        <f t="shared" si="5"/>
        <v>Perubahan Normal</v>
      </c>
    </row>
    <row r="2276" ht="18.75" customHeight="1">
      <c r="A2276" s="80" t="s">
        <v>329</v>
      </c>
      <c r="B2276" s="81" t="str">
        <f t="shared" si="1"/>
        <v>Kab Penajam Paser Utara</v>
      </c>
      <c r="C2276" s="81" t="str">
        <f t="array" ref="C2276">XLOOKUP(B2276,Reference!$A$2:$A$152,Reference!$B$2:$B$152)</f>
        <v>Kalimantan Timur</v>
      </c>
      <c r="D2276" s="82" t="s">
        <v>2715</v>
      </c>
      <c r="E2276" s="83">
        <v>45323.0</v>
      </c>
      <c r="F2276" s="84" t="str">
        <f t="array" ref="F2276">XLOOKUP(G2276,Reference!$F:$F,Reference!$D:$D,"null")</f>
        <v>Makanan dan Pakaian </v>
      </c>
      <c r="G2276" s="85" t="s">
        <v>64</v>
      </c>
      <c r="H2276" s="86">
        <v>104.5</v>
      </c>
      <c r="I2276" s="86">
        <v>104.5</v>
      </c>
      <c r="J2276" s="87">
        <f t="shared" si="2"/>
        <v>0</v>
      </c>
      <c r="K2276" s="84" t="str">
        <f t="shared" si="3"/>
        <v>Stabil</v>
      </c>
      <c r="L2276" s="84">
        <f t="shared" si="4"/>
        <v>0</v>
      </c>
      <c r="M2276" s="88" t="str">
        <f t="shared" si="5"/>
        <v>Perubahan Normal</v>
      </c>
    </row>
    <row r="2277" ht="18.75" customHeight="1">
      <c r="A2277" s="80" t="s">
        <v>376</v>
      </c>
      <c r="B2277" s="81" t="str">
        <f t="shared" si="1"/>
        <v>Bulukumba</v>
      </c>
      <c r="C2277" s="81" t="str">
        <f t="array" ref="C2277">XLOOKUP(B2277,Reference!$A$2:$A$152,Reference!$B$2:$B$152)</f>
        <v>Sulawesi Selatan</v>
      </c>
      <c r="D2277" s="82" t="s">
        <v>2716</v>
      </c>
      <c r="E2277" s="83">
        <v>45323.0</v>
      </c>
      <c r="F2277" s="84" t="str">
        <f t="array" ref="F2277">XLOOKUP(G2277,Reference!$F:$F,Reference!$D:$D,"null")</f>
        <v>Pendidikan dan Kesehatan</v>
      </c>
      <c r="G2277" s="85" t="s">
        <v>95</v>
      </c>
      <c r="H2277" s="86">
        <v>100.2</v>
      </c>
      <c r="I2277" s="86">
        <v>100.2</v>
      </c>
      <c r="J2277" s="87">
        <f t="shared" si="2"/>
        <v>0</v>
      </c>
      <c r="K2277" s="84" t="str">
        <f t="shared" si="3"/>
        <v>Stabil</v>
      </c>
      <c r="L2277" s="84">
        <f t="shared" si="4"/>
        <v>0</v>
      </c>
      <c r="M2277" s="88" t="str">
        <f t="shared" si="5"/>
        <v>Perubahan Normal</v>
      </c>
    </row>
    <row r="2278" ht="18.75" customHeight="1">
      <c r="A2278" s="80" t="s">
        <v>806</v>
      </c>
      <c r="B2278" s="81" t="str">
        <f t="shared" si="1"/>
        <v>Kab Subang</v>
      </c>
      <c r="C2278" s="81" t="str">
        <f t="array" ref="C2278">XLOOKUP(B2278,Reference!$A$2:$A$152,Reference!$B$2:$B$152)</f>
        <v>Jawa Barat</v>
      </c>
      <c r="D2278" s="82" t="s">
        <v>2717</v>
      </c>
      <c r="E2278" s="83">
        <v>45352.0</v>
      </c>
      <c r="F2278" s="84" t="str">
        <f t="array" ref="F2278">XLOOKUP(G2278,Reference!$F:$F,Reference!$D:$D,"null")</f>
        <v>Pendidikan dan Kesehatan</v>
      </c>
      <c r="G2278" s="85" t="s">
        <v>95</v>
      </c>
      <c r="H2278" s="86">
        <v>100.83</v>
      </c>
      <c r="I2278" s="86">
        <v>100.83</v>
      </c>
      <c r="J2278" s="87">
        <f t="shared" si="2"/>
        <v>0</v>
      </c>
      <c r="K2278" s="84" t="str">
        <f t="shared" si="3"/>
        <v>Stabil</v>
      </c>
      <c r="L2278" s="84">
        <f t="shared" si="4"/>
        <v>0</v>
      </c>
      <c r="M2278" s="88" t="str">
        <f t="shared" si="5"/>
        <v>Perubahan Normal</v>
      </c>
    </row>
    <row r="2279" ht="18.75" customHeight="1">
      <c r="A2279" s="80" t="s">
        <v>485</v>
      </c>
      <c r="B2279" s="81" t="str">
        <f t="shared" si="1"/>
        <v>Banyuwangi</v>
      </c>
      <c r="C2279" s="81" t="str">
        <f t="array" ref="C2279">XLOOKUP(B2279,Reference!$A$2:$A$152,Reference!$B$2:$B$152)</f>
        <v>Jawa Timur</v>
      </c>
      <c r="D2279" s="82" t="s">
        <v>2718</v>
      </c>
      <c r="E2279" s="83">
        <v>45323.0</v>
      </c>
      <c r="F2279" s="84" t="str">
        <f t="array" ref="F2279">XLOOKUP(G2279,Reference!$F:$F,Reference!$D:$D,"null")</f>
        <v>Makanan dan Pakaian </v>
      </c>
      <c r="G2279" s="85" t="s">
        <v>48</v>
      </c>
      <c r="H2279" s="86">
        <v>110.29</v>
      </c>
      <c r="I2279" s="86">
        <v>108.07</v>
      </c>
      <c r="J2279" s="87">
        <f t="shared" si="2"/>
        <v>2.054224114</v>
      </c>
      <c r="K2279" s="84" t="str">
        <f t="shared" si="3"/>
        <v>Inflasi Tinggi</v>
      </c>
      <c r="L2279" s="84">
        <f t="shared" si="4"/>
        <v>2.22</v>
      </c>
      <c r="M2279" s="88" t="str">
        <f t="shared" si="5"/>
        <v>Akselerasi Kuat</v>
      </c>
    </row>
    <row r="2280" ht="18.75" customHeight="1">
      <c r="A2280" s="80" t="s">
        <v>925</v>
      </c>
      <c r="B2280" s="81" t="str">
        <f t="shared" si="1"/>
        <v>Kota Jakarta</v>
      </c>
      <c r="C2280" s="81" t="str">
        <f t="array" ref="C2280">XLOOKUP(B2280,Reference!$A$2:$A$152,Reference!$B$2:$B$152)</f>
        <v>DKI Jakarta</v>
      </c>
      <c r="D2280" s="82" t="s">
        <v>2719</v>
      </c>
      <c r="E2280" s="83">
        <v>45352.0</v>
      </c>
      <c r="F2280" s="84" t="str">
        <f t="array" ref="F2280">XLOOKUP(G2280,Reference!$F:$F,Reference!$D:$D,"null")</f>
        <v>Rumah Tangga</v>
      </c>
      <c r="G2280" s="85" t="s">
        <v>89</v>
      </c>
      <c r="H2280" s="86">
        <v>103.39</v>
      </c>
      <c r="I2280" s="86">
        <v>103.39</v>
      </c>
      <c r="J2280" s="87">
        <f t="shared" si="2"/>
        <v>0</v>
      </c>
      <c r="K2280" s="84" t="str">
        <f t="shared" si="3"/>
        <v>Stabil</v>
      </c>
      <c r="L2280" s="84">
        <f t="shared" si="4"/>
        <v>0</v>
      </c>
      <c r="M2280" s="88" t="str">
        <f t="shared" si="5"/>
        <v>Perubahan Normal</v>
      </c>
    </row>
    <row r="2281" ht="18.75" customHeight="1">
      <c r="A2281" s="80" t="s">
        <v>508</v>
      </c>
      <c r="B2281" s="81" t="str">
        <f t="shared" si="1"/>
        <v>Kab Minahasa Selatan</v>
      </c>
      <c r="C2281" s="81" t="str">
        <f t="array" ref="C2281">XLOOKUP(B2281,Reference!$A$2:$A$152,Reference!$B$2:$B$152)</f>
        <v>Sulawesi Utara</v>
      </c>
      <c r="D2281" s="82" t="s">
        <v>2720</v>
      </c>
      <c r="E2281" s="83">
        <v>45352.0</v>
      </c>
      <c r="F2281" s="84" t="str">
        <f t="array" ref="F2281">XLOOKUP(G2281,Reference!$F:$F,Reference!$D:$D,"null")</f>
        <v>Makanan dan Pakaian </v>
      </c>
      <c r="G2281" s="89" t="s">
        <v>56</v>
      </c>
      <c r="H2281" s="90">
        <v>103.48</v>
      </c>
      <c r="I2281" s="90">
        <v>103.12</v>
      </c>
      <c r="J2281" s="87">
        <f t="shared" si="2"/>
        <v>0.3491078355</v>
      </c>
      <c r="K2281" s="84" t="str">
        <f t="shared" si="3"/>
        <v>Inflasi Normal</v>
      </c>
      <c r="L2281" s="91">
        <f t="shared" si="4"/>
        <v>0.36</v>
      </c>
      <c r="M2281" s="88" t="str">
        <f t="shared" si="5"/>
        <v>Perubahan Normal</v>
      </c>
    </row>
    <row r="2282" ht="18.75" customHeight="1">
      <c r="A2282" s="80" t="s">
        <v>837</v>
      </c>
      <c r="B2282" s="81" t="str">
        <f t="shared" si="1"/>
        <v>Kab Luwu Timur</v>
      </c>
      <c r="C2282" s="81" t="str">
        <f t="array" ref="C2282">XLOOKUP(B2282,Reference!$A$2:$A$152,Reference!$B$2:$B$152)</f>
        <v>Sulawesi Selatan</v>
      </c>
      <c r="D2282" s="82" t="s">
        <v>2721</v>
      </c>
      <c r="E2282" s="83">
        <v>45352.0</v>
      </c>
      <c r="F2282" s="84" t="str">
        <f t="array" ref="F2282">XLOOKUP(G2282,Reference!$F:$F,Reference!$D:$D,"null")</f>
        <v>Rumah Tangga</v>
      </c>
      <c r="G2282" s="85" t="s">
        <v>89</v>
      </c>
      <c r="H2282" s="86">
        <v>108.41</v>
      </c>
      <c r="I2282" s="86">
        <v>108.41</v>
      </c>
      <c r="J2282" s="87">
        <f t="shared" si="2"/>
        <v>0</v>
      </c>
      <c r="K2282" s="84" t="str">
        <f t="shared" si="3"/>
        <v>Stabil</v>
      </c>
      <c r="L2282" s="84">
        <f t="shared" si="4"/>
        <v>0</v>
      </c>
      <c r="M2282" s="88" t="str">
        <f t="shared" si="5"/>
        <v>Perubahan Normal</v>
      </c>
    </row>
    <row r="2283" ht="18.75" customHeight="1">
      <c r="A2283" s="80" t="s">
        <v>841</v>
      </c>
      <c r="B2283" s="81" t="str">
        <f t="shared" si="1"/>
        <v>Kab Morowali</v>
      </c>
      <c r="C2283" s="81" t="str">
        <f t="array" ref="C2283">XLOOKUP(B2283,Reference!$A$2:$A$152,Reference!$B$2:$B$152)</f>
        <v>Sulawesi Tengah</v>
      </c>
      <c r="D2283" s="82" t="s">
        <v>2722</v>
      </c>
      <c r="E2283" s="83">
        <v>45323.0</v>
      </c>
      <c r="F2283" s="84" t="str">
        <f t="array" ref="F2283">XLOOKUP(G2283,Reference!$F:$F,Reference!$D:$D,"null")</f>
        <v>Rumah Tangga</v>
      </c>
      <c r="G2283" s="85" t="s">
        <v>84</v>
      </c>
      <c r="H2283" s="86">
        <v>104.18</v>
      </c>
      <c r="I2283" s="86">
        <v>104.51</v>
      </c>
      <c r="J2283" s="87">
        <f t="shared" si="2"/>
        <v>-0.3157592575</v>
      </c>
      <c r="K2283" s="84" t="str">
        <f t="shared" si="3"/>
        <v>Deflasi</v>
      </c>
      <c r="L2283" s="84">
        <f t="shared" si="4"/>
        <v>-0.33</v>
      </c>
      <c r="M2283" s="88" t="str">
        <f t="shared" si="5"/>
        <v>Perubahan Normal</v>
      </c>
    </row>
    <row r="2284" ht="18.75" customHeight="1">
      <c r="A2284" s="80" t="s">
        <v>421</v>
      </c>
      <c r="B2284" s="81" t="str">
        <f t="shared" si="1"/>
        <v>Kab Halmahera Tengah</v>
      </c>
      <c r="C2284" s="81" t="str">
        <f t="array" ref="C2284">XLOOKUP(B2284,Reference!$A$2:$A$152,Reference!$B$2:$B$152)</f>
        <v>Maluku Utara</v>
      </c>
      <c r="D2284" s="82" t="s">
        <v>2723</v>
      </c>
      <c r="E2284" s="83">
        <v>45323.0</v>
      </c>
      <c r="F2284" s="84" t="str">
        <f t="array" ref="F2284">XLOOKUP(G2284,Reference!$F:$F,Reference!$D:$D,"null")</f>
        <v>Rekreasi dan Kendaraan</v>
      </c>
      <c r="G2284" s="89" t="s">
        <v>102</v>
      </c>
      <c r="H2284" s="90">
        <v>121.28</v>
      </c>
      <c r="I2284" s="90">
        <v>121.28</v>
      </c>
      <c r="J2284" s="87">
        <f t="shared" si="2"/>
        <v>0</v>
      </c>
      <c r="K2284" s="84" t="str">
        <f t="shared" si="3"/>
        <v>Stabil</v>
      </c>
      <c r="L2284" s="91">
        <f t="shared" si="4"/>
        <v>0</v>
      </c>
      <c r="M2284" s="88" t="str">
        <f t="shared" si="5"/>
        <v>Perubahan Normal</v>
      </c>
    </row>
    <row r="2285" ht="18.75" customHeight="1">
      <c r="A2285" s="80" t="s">
        <v>454</v>
      </c>
      <c r="B2285" s="81" t="str">
        <f t="shared" si="1"/>
        <v>Kab Ketapang</v>
      </c>
      <c r="C2285" s="81" t="str">
        <f t="array" ref="C2285">XLOOKUP(B2285,Reference!$A$2:$A$152,Reference!$B$2:$B$152)</f>
        <v>Kalimantan Barat</v>
      </c>
      <c r="D2285" s="82" t="s">
        <v>2724</v>
      </c>
      <c r="E2285" s="83">
        <v>45352.0</v>
      </c>
      <c r="F2285" s="84" t="str">
        <f t="array" ref="F2285">XLOOKUP(G2285,Reference!$F:$F,Reference!$D:$D,"null")</f>
        <v>Rumah Tangga</v>
      </c>
      <c r="G2285" s="85" t="s">
        <v>89</v>
      </c>
      <c r="H2285" s="86">
        <v>104.86</v>
      </c>
      <c r="I2285" s="86">
        <v>104.86</v>
      </c>
      <c r="J2285" s="87">
        <f t="shared" si="2"/>
        <v>0</v>
      </c>
      <c r="K2285" s="84" t="str">
        <f t="shared" si="3"/>
        <v>Stabil</v>
      </c>
      <c r="L2285" s="84">
        <f t="shared" si="4"/>
        <v>0</v>
      </c>
      <c r="M2285" s="88" t="str">
        <f t="shared" si="5"/>
        <v>Perubahan Normal</v>
      </c>
    </row>
    <row r="2286" ht="18.75" customHeight="1">
      <c r="A2286" s="80" t="s">
        <v>532</v>
      </c>
      <c r="B2286" s="81" t="str">
        <f t="shared" si="1"/>
        <v>Kota Palembang</v>
      </c>
      <c r="C2286" s="81" t="str">
        <f t="array" ref="C2286">XLOOKUP(B2286,Reference!$A$2:$A$152,Reference!$B$2:$B$152)</f>
        <v>Sumatera Selatan</v>
      </c>
      <c r="D2286" s="82" t="s">
        <v>2725</v>
      </c>
      <c r="E2286" s="83">
        <v>45352.0</v>
      </c>
      <c r="F2286" s="84" t="str">
        <f t="array" ref="F2286">XLOOKUP(G2286,Reference!$F:$F,Reference!$D:$D,"null")</f>
        <v>Pendidikan dan Kesehatan</v>
      </c>
      <c r="G2286" s="85" t="s">
        <v>95</v>
      </c>
      <c r="H2286" s="86">
        <v>104.8</v>
      </c>
      <c r="I2286" s="86">
        <v>104.8</v>
      </c>
      <c r="J2286" s="87">
        <f t="shared" si="2"/>
        <v>0</v>
      </c>
      <c r="K2286" s="84" t="str">
        <f t="shared" si="3"/>
        <v>Stabil</v>
      </c>
      <c r="L2286" s="84">
        <f t="shared" si="4"/>
        <v>0</v>
      </c>
      <c r="M2286" s="88" t="str">
        <f t="shared" si="5"/>
        <v>Perubahan Normal</v>
      </c>
    </row>
    <row r="2287" ht="18.75" customHeight="1">
      <c r="A2287" s="80" t="s">
        <v>529</v>
      </c>
      <c r="B2287" s="81" t="str">
        <f t="shared" si="1"/>
        <v>Kota Yogyakarta</v>
      </c>
      <c r="C2287" s="81" t="str">
        <f t="array" ref="C2287">XLOOKUP(B2287,Reference!$A$2:$A$152,Reference!$B$2:$B$152)</f>
        <v>D.I. Yogyakarta</v>
      </c>
      <c r="D2287" s="82" t="s">
        <v>2726</v>
      </c>
      <c r="E2287" s="83">
        <v>45352.0</v>
      </c>
      <c r="F2287" s="84" t="str">
        <f t="array" ref="F2287">XLOOKUP(G2287,Reference!$F:$F,Reference!$D:$D,"null")</f>
        <v>Rumah Tangga</v>
      </c>
      <c r="G2287" s="85" t="s">
        <v>80</v>
      </c>
      <c r="H2287" s="86">
        <v>102.6</v>
      </c>
      <c r="I2287" s="86">
        <v>102.6</v>
      </c>
      <c r="J2287" s="87">
        <f t="shared" si="2"/>
        <v>0</v>
      </c>
      <c r="K2287" s="84" t="str">
        <f t="shared" si="3"/>
        <v>Stabil</v>
      </c>
      <c r="L2287" s="84">
        <f t="shared" si="4"/>
        <v>0</v>
      </c>
      <c r="M2287" s="88" t="str">
        <f t="shared" si="5"/>
        <v>Perubahan Normal</v>
      </c>
    </row>
    <row r="2288" ht="18.75" customHeight="1">
      <c r="A2288" s="80" t="s">
        <v>423</v>
      </c>
      <c r="B2288" s="81" t="str">
        <f t="shared" si="1"/>
        <v>Kota Kotamobagu</v>
      </c>
      <c r="C2288" s="81" t="str">
        <f t="array" ref="C2288">XLOOKUP(B2288,Reference!$A$2:$A$152,Reference!$B$2:$B$152)</f>
        <v>Sulawesi Utara</v>
      </c>
      <c r="D2288" s="82" t="s">
        <v>2727</v>
      </c>
      <c r="E2288" s="83">
        <v>45323.0</v>
      </c>
      <c r="F2288" s="84" t="str">
        <f t="array" ref="F2288">XLOOKUP(G2288,Reference!$F:$F,Reference!$D:$D,"null")</f>
        <v>Pendidikan dan Kesehatan</v>
      </c>
      <c r="G2288" s="85" t="s">
        <v>95</v>
      </c>
      <c r="H2288" s="86">
        <v>104.05</v>
      </c>
      <c r="I2288" s="86">
        <v>104.05</v>
      </c>
      <c r="J2288" s="87">
        <f t="shared" si="2"/>
        <v>0</v>
      </c>
      <c r="K2288" s="84" t="str">
        <f t="shared" si="3"/>
        <v>Stabil</v>
      </c>
      <c r="L2288" s="84">
        <f t="shared" si="4"/>
        <v>0</v>
      </c>
      <c r="M2288" s="88" t="str">
        <f t="shared" si="5"/>
        <v>Perubahan Normal</v>
      </c>
    </row>
    <row r="2289" ht="18.75" customHeight="1">
      <c r="A2289" s="80" t="s">
        <v>296</v>
      </c>
      <c r="B2289" s="81" t="str">
        <f t="shared" si="1"/>
        <v>Kota Bogor</v>
      </c>
      <c r="C2289" s="81" t="str">
        <f t="array" ref="C2289">XLOOKUP(B2289,Reference!$A$2:$A$152,Reference!$B$2:$B$152)</f>
        <v>Jawa Barat</v>
      </c>
      <c r="D2289" s="82" t="s">
        <v>2728</v>
      </c>
      <c r="E2289" s="83">
        <v>45352.0</v>
      </c>
      <c r="F2289" s="84" t="str">
        <f t="array" ref="F2289">XLOOKUP(G2289,Reference!$F:$F,Reference!$D:$D,"null")</f>
        <v>Makanan dan Pakaian </v>
      </c>
      <c r="G2289" s="85" t="s">
        <v>56</v>
      </c>
      <c r="H2289" s="86">
        <v>105.24</v>
      </c>
      <c r="I2289" s="86">
        <v>104.27</v>
      </c>
      <c r="J2289" s="87">
        <f t="shared" si="2"/>
        <v>0.9302771651</v>
      </c>
      <c r="K2289" s="84" t="str">
        <f t="shared" si="3"/>
        <v>Inflasi Tinggi</v>
      </c>
      <c r="L2289" s="84">
        <f t="shared" si="4"/>
        <v>0.97</v>
      </c>
      <c r="M2289" s="88" t="str">
        <f t="shared" si="5"/>
        <v>Akselerasi Persentase</v>
      </c>
    </row>
    <row r="2290" ht="18.75" customHeight="1">
      <c r="A2290" s="80" t="s">
        <v>391</v>
      </c>
      <c r="B2290" s="81" t="str">
        <f t="shared" si="1"/>
        <v>Kota Batam</v>
      </c>
      <c r="C2290" s="81" t="str">
        <f t="array" ref="C2290">XLOOKUP(B2290,Reference!$A$2:$A$152,Reference!$B$2:$B$152)</f>
        <v>Kepulauan Riau</v>
      </c>
      <c r="D2290" s="82" t="s">
        <v>2729</v>
      </c>
      <c r="E2290" s="83">
        <v>45323.0</v>
      </c>
      <c r="F2290" s="84" t="str">
        <f t="array" ref="F2290">XLOOKUP(G2290,Reference!$F:$F,Reference!$D:$D,"null")</f>
        <v>Pendidikan dan Kesehatan</v>
      </c>
      <c r="G2290" s="89" t="s">
        <v>98</v>
      </c>
      <c r="H2290" s="90">
        <v>101.41</v>
      </c>
      <c r="I2290" s="90">
        <v>101.06</v>
      </c>
      <c r="J2290" s="87">
        <f t="shared" si="2"/>
        <v>0.3463289135</v>
      </c>
      <c r="K2290" s="84" t="str">
        <f t="shared" si="3"/>
        <v>Inflasi Normal</v>
      </c>
      <c r="L2290" s="91">
        <f t="shared" si="4"/>
        <v>0.35</v>
      </c>
      <c r="M2290" s="88" t="str">
        <f t="shared" si="5"/>
        <v>Perubahan Normal</v>
      </c>
    </row>
    <row r="2291" ht="18.75" customHeight="1">
      <c r="A2291" s="80" t="s">
        <v>642</v>
      </c>
      <c r="B2291" s="81" t="str">
        <f t="shared" si="1"/>
        <v>Kota Bandar Lampung</v>
      </c>
      <c r="C2291" s="81" t="str">
        <f t="array" ref="C2291">XLOOKUP(B2291,Reference!$A$2:$A$152,Reference!$B$2:$B$152)</f>
        <v>Lampung</v>
      </c>
      <c r="D2291" s="82" t="s">
        <v>2730</v>
      </c>
      <c r="E2291" s="83">
        <v>45352.0</v>
      </c>
      <c r="F2291" s="84" t="str">
        <f t="array" ref="F2291">XLOOKUP(G2291,Reference!$F:$F,Reference!$D:$D,"null")</f>
        <v>Rekreasi dan Kendaraan</v>
      </c>
      <c r="G2291" s="85" t="s">
        <v>105</v>
      </c>
      <c r="H2291" s="86">
        <v>102.63</v>
      </c>
      <c r="I2291" s="86">
        <v>102.55</v>
      </c>
      <c r="J2291" s="87">
        <f t="shared" si="2"/>
        <v>0.07801072647</v>
      </c>
      <c r="K2291" s="84" t="str">
        <f t="shared" si="3"/>
        <v>Inflasi Normal</v>
      </c>
      <c r="L2291" s="84">
        <f t="shared" si="4"/>
        <v>0.08</v>
      </c>
      <c r="M2291" s="88" t="str">
        <f t="shared" si="5"/>
        <v>Perubahan Normal</v>
      </c>
    </row>
    <row r="2292" ht="18.75" customHeight="1">
      <c r="A2292" s="80" t="s">
        <v>841</v>
      </c>
      <c r="B2292" s="81" t="str">
        <f t="shared" si="1"/>
        <v>Kab Morowali</v>
      </c>
      <c r="C2292" s="81" t="str">
        <f t="array" ref="C2292">XLOOKUP(B2292,Reference!$A$2:$A$152,Reference!$B$2:$B$152)</f>
        <v>Sulawesi Tengah</v>
      </c>
      <c r="D2292" s="82" t="s">
        <v>2731</v>
      </c>
      <c r="E2292" s="83">
        <v>45352.0</v>
      </c>
      <c r="F2292" s="84" t="str">
        <f t="array" ref="F2292">XLOOKUP(G2292,Reference!$F:$F,Reference!$D:$D,"null")</f>
        <v>Makanan dan Pakaian </v>
      </c>
      <c r="G2292" s="85" t="s">
        <v>64</v>
      </c>
      <c r="H2292" s="86">
        <v>102.37</v>
      </c>
      <c r="I2292" s="86">
        <v>102.37</v>
      </c>
      <c r="J2292" s="87">
        <f t="shared" si="2"/>
        <v>0</v>
      </c>
      <c r="K2292" s="84" t="str">
        <f t="shared" si="3"/>
        <v>Stabil</v>
      </c>
      <c r="L2292" s="84">
        <f t="shared" si="4"/>
        <v>0</v>
      </c>
      <c r="M2292" s="88" t="str">
        <f t="shared" si="5"/>
        <v>Perubahan Normal</v>
      </c>
    </row>
    <row r="2293" ht="18.75" customHeight="1">
      <c r="A2293" s="80" t="s">
        <v>374</v>
      </c>
      <c r="B2293" s="81" t="str">
        <f t="shared" si="1"/>
        <v>Kab Majalengka</v>
      </c>
      <c r="C2293" s="81" t="str">
        <f t="array" ref="C2293">XLOOKUP(B2293,Reference!$A$2:$A$152,Reference!$B$2:$B$152)</f>
        <v>Jawa Barat</v>
      </c>
      <c r="D2293" s="82" t="s">
        <v>2732</v>
      </c>
      <c r="E2293" s="83">
        <v>45352.0</v>
      </c>
      <c r="F2293" s="84" t="str">
        <f t="array" ref="F2293">XLOOKUP(G2293,Reference!$F:$F,Reference!$D:$D,"null")</f>
        <v>Makanan dan Pakaian </v>
      </c>
      <c r="G2293" s="85" t="s">
        <v>48</v>
      </c>
      <c r="H2293" s="86">
        <v>114.06</v>
      </c>
      <c r="I2293" s="86">
        <v>112.09</v>
      </c>
      <c r="J2293" s="87">
        <f t="shared" si="2"/>
        <v>1.757516282</v>
      </c>
      <c r="K2293" s="84" t="str">
        <f t="shared" si="3"/>
        <v>Inflasi Tinggi</v>
      </c>
      <c r="L2293" s="84">
        <f t="shared" si="4"/>
        <v>1.97</v>
      </c>
      <c r="M2293" s="88" t="str">
        <f t="shared" si="5"/>
        <v>Akselerasi Persentase</v>
      </c>
    </row>
    <row r="2294" ht="18.75" customHeight="1">
      <c r="A2294" s="80" t="s">
        <v>331</v>
      </c>
      <c r="B2294" s="81" t="str">
        <f t="shared" si="1"/>
        <v>Kota Lhokseumawe</v>
      </c>
      <c r="C2294" s="81" t="str">
        <f t="array" ref="C2294">XLOOKUP(B2294,Reference!$A$2:$A$152,Reference!$B$2:$B$152)</f>
        <v>Aceh</v>
      </c>
      <c r="D2294" s="82" t="s">
        <v>2733</v>
      </c>
      <c r="E2294" s="83">
        <v>45352.0</v>
      </c>
      <c r="F2294" s="84" t="str">
        <f t="array" ref="F2294">XLOOKUP(G2294,Reference!$F:$F,Reference!$D:$D,"null")</f>
        <v>Rumah Tangga</v>
      </c>
      <c r="G2294" s="85" t="s">
        <v>89</v>
      </c>
      <c r="H2294" s="86">
        <v>102.51</v>
      </c>
      <c r="I2294" s="86">
        <v>102.51</v>
      </c>
      <c r="J2294" s="87">
        <f t="shared" si="2"/>
        <v>0</v>
      </c>
      <c r="K2294" s="84" t="str">
        <f t="shared" si="3"/>
        <v>Stabil</v>
      </c>
      <c r="L2294" s="84">
        <f t="shared" si="4"/>
        <v>0</v>
      </c>
      <c r="M2294" s="88" t="str">
        <f t="shared" si="5"/>
        <v>Perubahan Normal</v>
      </c>
    </row>
    <row r="2295" ht="18.75" customHeight="1">
      <c r="A2295" s="80" t="s">
        <v>618</v>
      </c>
      <c r="B2295" s="81" t="str">
        <f t="shared" si="1"/>
        <v>Kota Tangerang</v>
      </c>
      <c r="C2295" s="81" t="str">
        <f t="array" ref="C2295">XLOOKUP(B2295,Reference!$A$2:$A$152,Reference!$B$2:$B$152)</f>
        <v>Banten</v>
      </c>
      <c r="D2295" s="82" t="s">
        <v>2734</v>
      </c>
      <c r="E2295" s="83">
        <v>45323.0</v>
      </c>
      <c r="F2295" s="84" t="str">
        <f t="array" ref="F2295">XLOOKUP(G2295,Reference!$F:$F,Reference!$D:$D,"null")</f>
        <v>Rumah Tangga</v>
      </c>
      <c r="G2295" s="85" t="s">
        <v>80</v>
      </c>
      <c r="H2295" s="86">
        <v>103.06</v>
      </c>
      <c r="I2295" s="86">
        <v>103.06</v>
      </c>
      <c r="J2295" s="87">
        <f t="shared" si="2"/>
        <v>0</v>
      </c>
      <c r="K2295" s="84" t="str">
        <f t="shared" si="3"/>
        <v>Stabil</v>
      </c>
      <c r="L2295" s="84">
        <f t="shared" si="4"/>
        <v>0</v>
      </c>
      <c r="M2295" s="88" t="str">
        <f t="shared" si="5"/>
        <v>Perubahan Normal</v>
      </c>
    </row>
    <row r="2296" ht="18.75" customHeight="1">
      <c r="A2296" s="80" t="s">
        <v>581</v>
      </c>
      <c r="B2296" s="81" t="str">
        <f t="shared" si="1"/>
        <v>Kab Dharmasraya</v>
      </c>
      <c r="C2296" s="81" t="str">
        <f t="array" ref="C2296">XLOOKUP(B2296,Reference!$A$2:$A$152,Reference!$B$2:$B$152)</f>
        <v>Sumatera Barat</v>
      </c>
      <c r="D2296" s="82" t="s">
        <v>2735</v>
      </c>
      <c r="E2296" s="83">
        <v>45352.0</v>
      </c>
      <c r="F2296" s="84" t="str">
        <f t="array" ref="F2296">XLOOKUP(G2296,Reference!$F:$F,Reference!$D:$D,"null")</f>
        <v>Pendidikan dan Kesehatan</v>
      </c>
      <c r="G2296" s="89" t="s">
        <v>95</v>
      </c>
      <c r="H2296" s="90">
        <v>100.38</v>
      </c>
      <c r="I2296" s="90">
        <v>100.38</v>
      </c>
      <c r="J2296" s="87">
        <f t="shared" si="2"/>
        <v>0</v>
      </c>
      <c r="K2296" s="84" t="str">
        <f t="shared" si="3"/>
        <v>Stabil</v>
      </c>
      <c r="L2296" s="91">
        <f t="shared" si="4"/>
        <v>0</v>
      </c>
      <c r="M2296" s="88" t="str">
        <f t="shared" si="5"/>
        <v>Perubahan Normal</v>
      </c>
    </row>
    <row r="2297" ht="18.75" customHeight="1">
      <c r="A2297" s="80" t="s">
        <v>699</v>
      </c>
      <c r="B2297" s="81" t="str">
        <f t="shared" si="1"/>
        <v>Mamuju</v>
      </c>
      <c r="C2297" s="81" t="str">
        <f t="array" ref="C2297">XLOOKUP(B2297,Reference!$A$2:$A$152,Reference!$B$2:$B$152)</f>
        <v>Sulawesi Barat</v>
      </c>
      <c r="D2297" s="82" t="s">
        <v>2736</v>
      </c>
      <c r="E2297" s="83">
        <v>45323.0</v>
      </c>
      <c r="F2297" s="84" t="str">
        <f t="array" ref="F2297">XLOOKUP(G2297,Reference!$F:$F,Reference!$D:$D,"null")</f>
        <v>Rekreasi dan Kendaraan</v>
      </c>
      <c r="G2297" s="85" t="s">
        <v>102</v>
      </c>
      <c r="H2297" s="86">
        <v>100.16</v>
      </c>
      <c r="I2297" s="86">
        <v>100.57</v>
      </c>
      <c r="J2297" s="87">
        <f t="shared" si="2"/>
        <v>-0.4076762454</v>
      </c>
      <c r="K2297" s="84" t="str">
        <f t="shared" si="3"/>
        <v>Deflasi</v>
      </c>
      <c r="L2297" s="84">
        <f t="shared" si="4"/>
        <v>-0.41</v>
      </c>
      <c r="M2297" s="88" t="str">
        <f t="shared" si="5"/>
        <v>Perubahan Normal</v>
      </c>
    </row>
    <row r="2298" ht="18.75" customHeight="1">
      <c r="A2298" s="80" t="s">
        <v>306</v>
      </c>
      <c r="B2298" s="81" t="str">
        <f t="shared" si="1"/>
        <v>Kota Padang</v>
      </c>
      <c r="C2298" s="81" t="str">
        <f t="array" ref="C2298">XLOOKUP(B2298,Reference!$A$2:$A$152,Reference!$B$2:$B$152)</f>
        <v>Sumatera Barat</v>
      </c>
      <c r="D2298" s="82" t="s">
        <v>2737</v>
      </c>
      <c r="E2298" s="83">
        <v>45352.0</v>
      </c>
      <c r="F2298" s="84" t="str">
        <f t="array" ref="F2298">XLOOKUP(G2298,Reference!$F:$F,Reference!$D:$D,"null")</f>
        <v>Rumah Tangga</v>
      </c>
      <c r="G2298" s="85" t="s">
        <v>80</v>
      </c>
      <c r="H2298" s="86">
        <v>104.46</v>
      </c>
      <c r="I2298" s="86">
        <v>104.46</v>
      </c>
      <c r="J2298" s="87">
        <f t="shared" si="2"/>
        <v>0</v>
      </c>
      <c r="K2298" s="84" t="str">
        <f t="shared" si="3"/>
        <v>Stabil</v>
      </c>
      <c r="L2298" s="84">
        <f t="shared" si="4"/>
        <v>0</v>
      </c>
      <c r="M2298" s="88" t="str">
        <f t="shared" si="5"/>
        <v>Perubahan Normal</v>
      </c>
    </row>
    <row r="2299" ht="18.75" customHeight="1">
      <c r="A2299" s="80" t="s">
        <v>542</v>
      </c>
      <c r="B2299" s="81" t="str">
        <f t="shared" si="1"/>
        <v>Kab Karo</v>
      </c>
      <c r="C2299" s="81" t="str">
        <f t="array" ref="C2299">XLOOKUP(B2299,Reference!$A$2:$A$152,Reference!$B$2:$B$152)</f>
        <v>Sumatera Utara</v>
      </c>
      <c r="D2299" s="82" t="s">
        <v>2738</v>
      </c>
      <c r="E2299" s="83">
        <v>45323.0</v>
      </c>
      <c r="F2299" s="84" t="str">
        <f t="array" ref="F2299">XLOOKUP(G2299,Reference!$F:$F,Reference!$D:$D,"null")</f>
        <v>Makanan dan Pakaian </v>
      </c>
      <c r="G2299" s="85" t="s">
        <v>64</v>
      </c>
      <c r="H2299" s="86">
        <v>109.83</v>
      </c>
      <c r="I2299" s="86">
        <v>109.39</v>
      </c>
      <c r="J2299" s="87">
        <f t="shared" si="2"/>
        <v>0.4022305512</v>
      </c>
      <c r="K2299" s="84" t="str">
        <f t="shared" si="3"/>
        <v>Inflasi Normal</v>
      </c>
      <c r="L2299" s="84">
        <f t="shared" si="4"/>
        <v>0.44</v>
      </c>
      <c r="M2299" s="88" t="str">
        <f t="shared" si="5"/>
        <v>Perubahan Normal</v>
      </c>
    </row>
    <row r="2300" ht="18.75" customHeight="1">
      <c r="A2300" s="80" t="s">
        <v>505</v>
      </c>
      <c r="B2300" s="81" t="str">
        <f t="shared" si="1"/>
        <v>Kota Denpasar</v>
      </c>
      <c r="C2300" s="81" t="str">
        <f t="array" ref="C2300">XLOOKUP(B2300,Reference!$A$2:$A$152,Reference!$B$2:$B$152)</f>
        <v>Bali</v>
      </c>
      <c r="D2300" s="82" t="s">
        <v>2739</v>
      </c>
      <c r="E2300" s="83">
        <v>45352.0</v>
      </c>
      <c r="F2300" s="84" t="str">
        <f t="array" ref="F2300">XLOOKUP(G2300,Reference!$F:$F,Reference!$D:$D,"null")</f>
        <v>Makanan dan Pakaian </v>
      </c>
      <c r="G2300" s="85" t="s">
        <v>72</v>
      </c>
      <c r="H2300" s="86">
        <v>100.8</v>
      </c>
      <c r="I2300" s="86">
        <v>101.2</v>
      </c>
      <c r="J2300" s="87">
        <f t="shared" si="2"/>
        <v>-0.395256917</v>
      </c>
      <c r="K2300" s="84" t="str">
        <f t="shared" si="3"/>
        <v>Deflasi</v>
      </c>
      <c r="L2300" s="84">
        <f t="shared" si="4"/>
        <v>-0.4</v>
      </c>
      <c r="M2300" s="88" t="str">
        <f t="shared" si="5"/>
        <v>Perubahan Normal</v>
      </c>
    </row>
    <row r="2301" ht="18.75" customHeight="1">
      <c r="A2301" s="80" t="s">
        <v>433</v>
      </c>
      <c r="B2301" s="81" t="str">
        <f t="shared" si="1"/>
        <v>Kab Tulungagung</v>
      </c>
      <c r="C2301" s="81" t="str">
        <f t="array" ref="C2301">XLOOKUP(B2301,Reference!$A$2:$A$152,Reference!$B$2:$B$152)</f>
        <v>Jawa Timur</v>
      </c>
      <c r="D2301" s="82" t="s">
        <v>2740</v>
      </c>
      <c r="E2301" s="83">
        <v>45352.0</v>
      </c>
      <c r="F2301" s="84" t="str">
        <f t="array" ref="F2301">XLOOKUP(G2301,Reference!$F:$F,Reference!$D:$D,"null")</f>
        <v>Rumah Tangga</v>
      </c>
      <c r="G2301" s="85" t="s">
        <v>80</v>
      </c>
      <c r="H2301" s="86">
        <v>101.43</v>
      </c>
      <c r="I2301" s="86">
        <v>101.43</v>
      </c>
      <c r="J2301" s="87">
        <f t="shared" si="2"/>
        <v>0</v>
      </c>
      <c r="K2301" s="84" t="str">
        <f t="shared" si="3"/>
        <v>Stabil</v>
      </c>
      <c r="L2301" s="84">
        <f t="shared" si="4"/>
        <v>0</v>
      </c>
      <c r="M2301" s="88" t="str">
        <f t="shared" si="5"/>
        <v>Perubahan Normal</v>
      </c>
    </row>
    <row r="2302" ht="18.75" customHeight="1">
      <c r="A2302" s="80" t="s">
        <v>925</v>
      </c>
      <c r="B2302" s="81" t="str">
        <f t="shared" si="1"/>
        <v>Kota Jakarta</v>
      </c>
      <c r="C2302" s="81" t="str">
        <f t="array" ref="C2302">XLOOKUP(B2302,Reference!$A$2:$A$152,Reference!$B$2:$B$152)</f>
        <v>DKI Jakarta</v>
      </c>
      <c r="D2302" s="82" t="s">
        <v>2741</v>
      </c>
      <c r="E2302" s="83">
        <v>45323.0</v>
      </c>
      <c r="F2302" s="84" t="str">
        <f t="array" ref="F2302">XLOOKUP(G2302,Reference!$F:$F,Reference!$D:$D,"null")</f>
        <v>Makanan dan Pakaian </v>
      </c>
      <c r="G2302" s="85" t="s">
        <v>56</v>
      </c>
      <c r="H2302" s="86">
        <v>103.43</v>
      </c>
      <c r="I2302" s="86">
        <v>102.46</v>
      </c>
      <c r="J2302" s="87">
        <f t="shared" si="2"/>
        <v>0.9467109116</v>
      </c>
      <c r="K2302" s="84" t="str">
        <f t="shared" si="3"/>
        <v>Inflasi Tinggi</v>
      </c>
      <c r="L2302" s="84">
        <f t="shared" si="4"/>
        <v>0.97</v>
      </c>
      <c r="M2302" s="88" t="str">
        <f t="shared" si="5"/>
        <v>Akselerasi Persentase</v>
      </c>
    </row>
    <row r="2303" ht="18.75" customHeight="1">
      <c r="A2303" s="80" t="s">
        <v>324</v>
      </c>
      <c r="B2303" s="81" t="str">
        <f t="shared" si="1"/>
        <v>Kab Nunukan</v>
      </c>
      <c r="C2303" s="81" t="str">
        <f t="array" ref="C2303">XLOOKUP(B2303,Reference!$A$2:$A$152,Reference!$B$2:$B$152)</f>
        <v>Kalimantan Utara</v>
      </c>
      <c r="D2303" s="82" t="s">
        <v>2742</v>
      </c>
      <c r="E2303" s="83">
        <v>45352.0</v>
      </c>
      <c r="F2303" s="84" t="str">
        <f t="array" ref="F2303">XLOOKUP(G2303,Reference!$F:$F,Reference!$D:$D,"null")</f>
        <v>Makanan dan Pakaian </v>
      </c>
      <c r="G2303" s="85" t="s">
        <v>56</v>
      </c>
      <c r="H2303" s="86">
        <v>103.49</v>
      </c>
      <c r="I2303" s="86">
        <v>102.3</v>
      </c>
      <c r="J2303" s="87">
        <f t="shared" si="2"/>
        <v>1.163245357</v>
      </c>
      <c r="K2303" s="84" t="str">
        <f t="shared" si="3"/>
        <v>Inflasi Tinggi</v>
      </c>
      <c r="L2303" s="84">
        <f t="shared" si="4"/>
        <v>1.19</v>
      </c>
      <c r="M2303" s="88" t="str">
        <f t="shared" si="5"/>
        <v>Akselerasi Persentase</v>
      </c>
    </row>
    <row r="2304" ht="18.75" customHeight="1">
      <c r="A2304" s="80" t="s">
        <v>372</v>
      </c>
      <c r="B2304" s="81" t="str">
        <f t="shared" si="1"/>
        <v>Kota Tanjung Pinang</v>
      </c>
      <c r="C2304" s="81" t="str">
        <f t="array" ref="C2304">XLOOKUP(B2304,Reference!$A$2:$A$152,Reference!$B$2:$B$152)</f>
        <v>Kepulauan Riau</v>
      </c>
      <c r="D2304" s="82" t="s">
        <v>2743</v>
      </c>
      <c r="E2304" s="83">
        <v>45323.0</v>
      </c>
      <c r="F2304" s="84" t="str">
        <f t="array" ref="F2304">XLOOKUP(G2304,Reference!$F:$F,Reference!$D:$D,"null")</f>
        <v>Rumah Tangga</v>
      </c>
      <c r="G2304" s="85" t="s">
        <v>84</v>
      </c>
      <c r="H2304" s="86">
        <v>100.93</v>
      </c>
      <c r="I2304" s="86">
        <v>100.93</v>
      </c>
      <c r="J2304" s="87">
        <f t="shared" si="2"/>
        <v>0</v>
      </c>
      <c r="K2304" s="84" t="str">
        <f t="shared" si="3"/>
        <v>Stabil</v>
      </c>
      <c r="L2304" s="84">
        <f t="shared" si="4"/>
        <v>0</v>
      </c>
      <c r="M2304" s="88" t="str">
        <f t="shared" si="5"/>
        <v>Perubahan Normal</v>
      </c>
    </row>
    <row r="2305" ht="18.75" customHeight="1">
      <c r="A2305" s="80" t="s">
        <v>397</v>
      </c>
      <c r="B2305" s="81" t="str">
        <f t="shared" si="1"/>
        <v>Kota Pematangsiantar</v>
      </c>
      <c r="C2305" s="81" t="str">
        <f t="array" ref="C2305">XLOOKUP(B2305,Reference!$A$2:$A$152,Reference!$B$2:$B$152)</f>
        <v>Sumatera Utara</v>
      </c>
      <c r="D2305" s="82" t="s">
        <v>2744</v>
      </c>
      <c r="E2305" s="83">
        <v>45352.0</v>
      </c>
      <c r="F2305" s="84" t="str">
        <f t="array" ref="F2305">XLOOKUP(G2305,Reference!$F:$F,Reference!$D:$D,"null")</f>
        <v>Rekreasi dan Kendaraan</v>
      </c>
      <c r="G2305" s="89" t="s">
        <v>105</v>
      </c>
      <c r="H2305" s="90">
        <v>105.92</v>
      </c>
      <c r="I2305" s="90">
        <v>105.92</v>
      </c>
      <c r="J2305" s="87">
        <f t="shared" si="2"/>
        <v>0</v>
      </c>
      <c r="K2305" s="84" t="str">
        <f t="shared" si="3"/>
        <v>Stabil</v>
      </c>
      <c r="L2305" s="91">
        <f t="shared" si="4"/>
        <v>0</v>
      </c>
      <c r="M2305" s="88" t="str">
        <f t="shared" si="5"/>
        <v>Perubahan Normal</v>
      </c>
    </row>
    <row r="2306" ht="18.75" customHeight="1">
      <c r="A2306" s="80" t="s">
        <v>320</v>
      </c>
      <c r="B2306" s="81" t="str">
        <f t="shared" si="1"/>
        <v>Kota Manado</v>
      </c>
      <c r="C2306" s="81" t="str">
        <f t="array" ref="C2306">XLOOKUP(B2306,Reference!$A$2:$A$152,Reference!$B$2:$B$152)</f>
        <v>Sulawesi Utara</v>
      </c>
      <c r="D2306" s="82" t="s">
        <v>2745</v>
      </c>
      <c r="E2306" s="83">
        <v>45352.0</v>
      </c>
      <c r="F2306" s="84" t="str">
        <f t="array" ref="F2306">XLOOKUP(G2306,Reference!$F:$F,Reference!$D:$D,"null")</f>
        <v>Pendidikan dan Kesehatan</v>
      </c>
      <c r="G2306" s="85" t="s">
        <v>95</v>
      </c>
      <c r="H2306" s="86">
        <v>100.06</v>
      </c>
      <c r="I2306" s="86">
        <v>100.06</v>
      </c>
      <c r="J2306" s="87">
        <f t="shared" si="2"/>
        <v>0</v>
      </c>
      <c r="K2306" s="84" t="str">
        <f t="shared" si="3"/>
        <v>Stabil</v>
      </c>
      <c r="L2306" s="84">
        <f t="shared" si="4"/>
        <v>0</v>
      </c>
      <c r="M2306" s="88" t="str">
        <f t="shared" si="5"/>
        <v>Perubahan Normal</v>
      </c>
    </row>
    <row r="2307" ht="18.75" customHeight="1">
      <c r="A2307" s="80" t="s">
        <v>342</v>
      </c>
      <c r="B2307" s="81" t="str">
        <f t="shared" si="1"/>
        <v>Kab Bandung</v>
      </c>
      <c r="C2307" s="81" t="str">
        <f t="array" ref="C2307">XLOOKUP(B2307,Reference!$A$2:$A$152,Reference!$B$2:$B$152)</f>
        <v>Jawa Barat</v>
      </c>
      <c r="D2307" s="82" t="s">
        <v>2746</v>
      </c>
      <c r="E2307" s="83">
        <v>45323.0</v>
      </c>
      <c r="F2307" s="84" t="str">
        <f t="array" ref="F2307">XLOOKUP(G2307,Reference!$F:$F,Reference!$D:$D,"null")</f>
        <v>Rumah Tangga</v>
      </c>
      <c r="G2307" s="85" t="s">
        <v>84</v>
      </c>
      <c r="H2307" s="86">
        <v>100.63</v>
      </c>
      <c r="I2307" s="86">
        <v>100.64</v>
      </c>
      <c r="J2307" s="87">
        <f t="shared" si="2"/>
        <v>-0.009936406995</v>
      </c>
      <c r="K2307" s="84" t="str">
        <f t="shared" si="3"/>
        <v>Deflasi</v>
      </c>
      <c r="L2307" s="84">
        <f t="shared" si="4"/>
        <v>-0.01</v>
      </c>
      <c r="M2307" s="88" t="str">
        <f t="shared" si="5"/>
        <v>Perubahan Normal</v>
      </c>
    </row>
    <row r="2308" ht="18.75" customHeight="1">
      <c r="A2308" s="80" t="s">
        <v>715</v>
      </c>
      <c r="B2308" s="81" t="str">
        <f t="shared" si="1"/>
        <v>Kab Bojonegoro</v>
      </c>
      <c r="C2308" s="81" t="str">
        <f t="array" ref="C2308">XLOOKUP(B2308,Reference!$A$2:$A$152,Reference!$B$2:$B$152)</f>
        <v>Jawa Timur</v>
      </c>
      <c r="D2308" s="82" t="s">
        <v>2747</v>
      </c>
      <c r="E2308" s="83">
        <v>45352.0</v>
      </c>
      <c r="F2308" s="84" t="str">
        <f t="array" ref="F2308">XLOOKUP(G2308,Reference!$F:$F,Reference!$D:$D,"null")</f>
        <v>Rekreasi dan Kendaraan</v>
      </c>
      <c r="G2308" s="85" t="s">
        <v>105</v>
      </c>
      <c r="H2308" s="86">
        <v>101.66</v>
      </c>
      <c r="I2308" s="86">
        <v>101.76</v>
      </c>
      <c r="J2308" s="87">
        <f t="shared" si="2"/>
        <v>-0.09827044025</v>
      </c>
      <c r="K2308" s="84" t="str">
        <f t="shared" si="3"/>
        <v>Deflasi</v>
      </c>
      <c r="L2308" s="84">
        <f t="shared" si="4"/>
        <v>-0.1</v>
      </c>
      <c r="M2308" s="88" t="str">
        <f t="shared" si="5"/>
        <v>Perubahan Normal</v>
      </c>
    </row>
    <row r="2309" ht="18.75" customHeight="1">
      <c r="A2309" s="80" t="s">
        <v>391</v>
      </c>
      <c r="B2309" s="81" t="str">
        <f t="shared" si="1"/>
        <v>Kota Batam</v>
      </c>
      <c r="C2309" s="81" t="str">
        <f t="array" ref="C2309">XLOOKUP(B2309,Reference!$A$2:$A$152,Reference!$B$2:$B$152)</f>
        <v>Kepulauan Riau</v>
      </c>
      <c r="D2309" s="82" t="s">
        <v>2748</v>
      </c>
      <c r="E2309" s="83">
        <v>45323.0</v>
      </c>
      <c r="F2309" s="84" t="str">
        <f t="array" ref="F2309">XLOOKUP(G2309,Reference!$F:$F,Reference!$D:$D,"null")</f>
        <v>Rekreasi dan Kendaraan</v>
      </c>
      <c r="G2309" s="85" t="s">
        <v>105</v>
      </c>
      <c r="H2309" s="86">
        <v>101.81</v>
      </c>
      <c r="I2309" s="86">
        <v>101.81</v>
      </c>
      <c r="J2309" s="87">
        <f t="shared" si="2"/>
        <v>0</v>
      </c>
      <c r="K2309" s="84" t="str">
        <f t="shared" si="3"/>
        <v>Stabil</v>
      </c>
      <c r="L2309" s="84">
        <f t="shared" si="4"/>
        <v>0</v>
      </c>
      <c r="M2309" s="88" t="str">
        <f t="shared" si="5"/>
        <v>Perubahan Normal</v>
      </c>
    </row>
    <row r="2310" ht="18.75" customHeight="1">
      <c r="A2310" s="80" t="s">
        <v>333</v>
      </c>
      <c r="B2310" s="81" t="str">
        <f t="shared" si="1"/>
        <v>Kab Pasaman Barat</v>
      </c>
      <c r="C2310" s="81" t="str">
        <f t="array" ref="C2310">XLOOKUP(B2310,Reference!$A$2:$A$152,Reference!$B$2:$B$152)</f>
        <v>Sumatera Barat</v>
      </c>
      <c r="D2310" s="82" t="s">
        <v>2749</v>
      </c>
      <c r="E2310" s="83">
        <v>45323.0</v>
      </c>
      <c r="F2310" s="84" t="str">
        <f t="array" ref="F2310">XLOOKUP(G2310,Reference!$F:$F,Reference!$D:$D,"null")</f>
        <v>Rekreasi dan Kendaraan</v>
      </c>
      <c r="G2310" s="85" t="s">
        <v>102</v>
      </c>
      <c r="H2310" s="86">
        <v>103.04</v>
      </c>
      <c r="I2310" s="86">
        <v>103.04</v>
      </c>
      <c r="J2310" s="87">
        <f t="shared" si="2"/>
        <v>0</v>
      </c>
      <c r="K2310" s="84" t="str">
        <f t="shared" si="3"/>
        <v>Stabil</v>
      </c>
      <c r="L2310" s="84">
        <f t="shared" si="4"/>
        <v>0</v>
      </c>
      <c r="M2310" s="88" t="str">
        <f t="shared" si="5"/>
        <v>Perubahan Normal</v>
      </c>
    </row>
    <row r="2311" ht="18.75" customHeight="1">
      <c r="A2311" s="80" t="s">
        <v>342</v>
      </c>
      <c r="B2311" s="81" t="str">
        <f t="shared" si="1"/>
        <v>Kab Bandung</v>
      </c>
      <c r="C2311" s="81" t="str">
        <f t="array" ref="C2311">XLOOKUP(B2311,Reference!$A$2:$A$152,Reference!$B$2:$B$152)</f>
        <v>Jawa Barat</v>
      </c>
      <c r="D2311" s="82" t="s">
        <v>2750</v>
      </c>
      <c r="E2311" s="83">
        <v>45323.0</v>
      </c>
      <c r="F2311" s="84" t="str">
        <f t="array" ref="F2311">XLOOKUP(G2311,Reference!$F:$F,Reference!$D:$D,"null")</f>
        <v>Rumah Tangga</v>
      </c>
      <c r="G2311" s="85" t="s">
        <v>80</v>
      </c>
      <c r="H2311" s="86">
        <v>100.0</v>
      </c>
      <c r="I2311" s="86">
        <v>100.0</v>
      </c>
      <c r="J2311" s="87">
        <f t="shared" si="2"/>
        <v>0</v>
      </c>
      <c r="K2311" s="84" t="str">
        <f t="shared" si="3"/>
        <v>Stabil</v>
      </c>
      <c r="L2311" s="84">
        <f t="shared" si="4"/>
        <v>0</v>
      </c>
      <c r="M2311" s="88" t="str">
        <f t="shared" si="5"/>
        <v>Perubahan Normal</v>
      </c>
    </row>
    <row r="2312" ht="18.75" customHeight="1">
      <c r="A2312" s="80" t="s">
        <v>471</v>
      </c>
      <c r="B2312" s="81" t="str">
        <f t="shared" si="1"/>
        <v>Kab Gunungkidul</v>
      </c>
      <c r="C2312" s="81" t="str">
        <f t="array" ref="C2312">XLOOKUP(B2312,Reference!$A$2:$A$152,Reference!$B$2:$B$152)</f>
        <v>D.I. Yogyakarta</v>
      </c>
      <c r="D2312" s="82" t="s">
        <v>2751</v>
      </c>
      <c r="E2312" s="83">
        <v>45323.0</v>
      </c>
      <c r="F2312" s="84" t="str">
        <f t="array" ref="F2312">XLOOKUP(G2312,Reference!$F:$F,Reference!$D:$D,"null")</f>
        <v>Makanan dan Pakaian </v>
      </c>
      <c r="G2312" s="85" t="s">
        <v>56</v>
      </c>
      <c r="H2312" s="86">
        <v>101.93</v>
      </c>
      <c r="I2312" s="86">
        <v>102.23</v>
      </c>
      <c r="J2312" s="87">
        <f t="shared" si="2"/>
        <v>-0.2934559327</v>
      </c>
      <c r="K2312" s="84" t="str">
        <f t="shared" si="3"/>
        <v>Deflasi</v>
      </c>
      <c r="L2312" s="84">
        <f t="shared" si="4"/>
        <v>-0.3</v>
      </c>
      <c r="M2312" s="88" t="str">
        <f t="shared" si="5"/>
        <v>Perubahan Normal</v>
      </c>
    </row>
    <row r="2313" ht="18.75" customHeight="1">
      <c r="A2313" s="80" t="s">
        <v>526</v>
      </c>
      <c r="B2313" s="81" t="str">
        <f t="shared" si="1"/>
        <v>Maumere</v>
      </c>
      <c r="C2313" s="81" t="str">
        <f t="array" ref="C2313">XLOOKUP(B2313,Reference!$A$2:$A$152,Reference!$B$2:$B$152)</f>
        <v>Nusa Tenggara Timur (NTT)</v>
      </c>
      <c r="D2313" s="82" t="s">
        <v>2752</v>
      </c>
      <c r="E2313" s="83">
        <v>45323.0</v>
      </c>
      <c r="F2313" s="84" t="str">
        <f t="array" ref="F2313">XLOOKUP(G2313,Reference!$F:$F,Reference!$D:$D,"null")</f>
        <v>Pendidikan dan Kesehatan</v>
      </c>
      <c r="G2313" s="85" t="s">
        <v>98</v>
      </c>
      <c r="H2313" s="86">
        <v>103.97</v>
      </c>
      <c r="I2313" s="86">
        <v>103.49</v>
      </c>
      <c r="J2313" s="87">
        <f t="shared" si="2"/>
        <v>0.4638129288</v>
      </c>
      <c r="K2313" s="84" t="str">
        <f t="shared" si="3"/>
        <v>Inflasi Normal</v>
      </c>
      <c r="L2313" s="84">
        <f t="shared" si="4"/>
        <v>0.48</v>
      </c>
      <c r="M2313" s="88" t="str">
        <f t="shared" si="5"/>
        <v>Perubahan Normal</v>
      </c>
    </row>
    <row r="2314" ht="18.75" customHeight="1">
      <c r="A2314" s="80" t="s">
        <v>431</v>
      </c>
      <c r="B2314" s="81" t="str">
        <f t="shared" si="1"/>
        <v>Kota Ternate</v>
      </c>
      <c r="C2314" s="81" t="str">
        <f t="array" ref="C2314">XLOOKUP(B2314,Reference!$A$2:$A$152,Reference!$B$2:$B$152)</f>
        <v>Maluku Utara</v>
      </c>
      <c r="D2314" s="82" t="s">
        <v>2753</v>
      </c>
      <c r="E2314" s="83">
        <v>45352.0</v>
      </c>
      <c r="F2314" s="84" t="str">
        <f t="array" ref="F2314">XLOOKUP(G2314,Reference!$F:$F,Reference!$D:$D,"null")</f>
        <v>Pendidikan dan Kesehatan</v>
      </c>
      <c r="G2314" s="85" t="s">
        <v>95</v>
      </c>
      <c r="H2314" s="86">
        <v>103.05</v>
      </c>
      <c r="I2314" s="86">
        <v>103.05</v>
      </c>
      <c r="J2314" s="87">
        <f t="shared" si="2"/>
        <v>0</v>
      </c>
      <c r="K2314" s="84" t="str">
        <f t="shared" si="3"/>
        <v>Stabil</v>
      </c>
      <c r="L2314" s="84">
        <f t="shared" si="4"/>
        <v>0</v>
      </c>
      <c r="M2314" s="88" t="str">
        <f t="shared" si="5"/>
        <v>Perubahan Normal</v>
      </c>
    </row>
    <row r="2315" ht="18.75" customHeight="1">
      <c r="A2315" s="80" t="s">
        <v>841</v>
      </c>
      <c r="B2315" s="81" t="str">
        <f t="shared" si="1"/>
        <v>Kab Morowali</v>
      </c>
      <c r="C2315" s="81" t="str">
        <f t="array" ref="C2315">XLOOKUP(B2315,Reference!$A$2:$A$152,Reference!$B$2:$B$152)</f>
        <v>Sulawesi Tengah</v>
      </c>
      <c r="D2315" s="82" t="s">
        <v>2754</v>
      </c>
      <c r="E2315" s="83">
        <v>45352.0</v>
      </c>
      <c r="F2315" s="84" t="str">
        <f t="array" ref="F2315">XLOOKUP(G2315,Reference!$F:$F,Reference!$D:$D,"null")</f>
        <v>Pendidikan dan Kesehatan</v>
      </c>
      <c r="G2315" s="85" t="s">
        <v>95</v>
      </c>
      <c r="H2315" s="86">
        <v>100.0</v>
      </c>
      <c r="I2315" s="86">
        <v>100.0</v>
      </c>
      <c r="J2315" s="87">
        <f t="shared" si="2"/>
        <v>0</v>
      </c>
      <c r="K2315" s="84" t="str">
        <f t="shared" si="3"/>
        <v>Stabil</v>
      </c>
      <c r="L2315" s="84">
        <f t="shared" si="4"/>
        <v>0</v>
      </c>
      <c r="M2315" s="88" t="str">
        <f t="shared" si="5"/>
        <v>Perubahan Normal</v>
      </c>
    </row>
    <row r="2316" ht="18.75" customHeight="1">
      <c r="A2316" s="80" t="s">
        <v>990</v>
      </c>
      <c r="B2316" s="81" t="str">
        <f t="shared" si="1"/>
        <v>Kab Pandeglang</v>
      </c>
      <c r="C2316" s="81" t="str">
        <f t="array" ref="C2316">XLOOKUP(B2316,Reference!$A$2:$A$152,Reference!$B$2:$B$152)</f>
        <v>Banten</v>
      </c>
      <c r="D2316" s="82" t="s">
        <v>2755</v>
      </c>
      <c r="E2316" s="83">
        <v>45323.0</v>
      </c>
      <c r="F2316" s="84" t="str">
        <f t="array" ref="F2316">XLOOKUP(G2316,Reference!$F:$F,Reference!$D:$D,"null")</f>
        <v>Pendidikan dan Kesehatan</v>
      </c>
      <c r="G2316" s="85" t="s">
        <v>95</v>
      </c>
      <c r="H2316" s="86">
        <v>100.66</v>
      </c>
      <c r="I2316" s="86">
        <v>100.66</v>
      </c>
      <c r="J2316" s="87">
        <f t="shared" si="2"/>
        <v>0</v>
      </c>
      <c r="K2316" s="84" t="str">
        <f t="shared" si="3"/>
        <v>Stabil</v>
      </c>
      <c r="L2316" s="84">
        <f t="shared" si="4"/>
        <v>0</v>
      </c>
      <c r="M2316" s="88" t="str">
        <f t="shared" si="5"/>
        <v>Perubahan Normal</v>
      </c>
    </row>
    <row r="2317" ht="18.75" customHeight="1">
      <c r="A2317" s="80" t="s">
        <v>318</v>
      </c>
      <c r="B2317" s="81" t="str">
        <f t="shared" si="1"/>
        <v>Tanjung</v>
      </c>
      <c r="C2317" s="81" t="str">
        <f t="array" ref="C2317">XLOOKUP(B2317,Reference!$A$2:$A$152,Reference!$B$2:$B$152)</f>
        <v>Kalimantan Selatan</v>
      </c>
      <c r="D2317" s="82" t="s">
        <v>2756</v>
      </c>
      <c r="E2317" s="83">
        <v>45323.0</v>
      </c>
      <c r="F2317" s="84" t="str">
        <f t="array" ref="F2317">XLOOKUP(G2317,Reference!$F:$F,Reference!$D:$D,"null")</f>
        <v>Makanan dan Pakaian </v>
      </c>
      <c r="G2317" s="85" t="s">
        <v>72</v>
      </c>
      <c r="H2317" s="86">
        <v>102.68</v>
      </c>
      <c r="I2317" s="86">
        <v>102.68</v>
      </c>
      <c r="J2317" s="87">
        <f t="shared" si="2"/>
        <v>0</v>
      </c>
      <c r="K2317" s="84" t="str">
        <f t="shared" si="3"/>
        <v>Stabil</v>
      </c>
      <c r="L2317" s="84">
        <f t="shared" si="4"/>
        <v>0</v>
      </c>
      <c r="M2317" s="88" t="str">
        <f t="shared" si="5"/>
        <v>Perubahan Normal</v>
      </c>
    </row>
    <row r="2318" ht="18.75" customHeight="1">
      <c r="A2318" s="80" t="s">
        <v>822</v>
      </c>
      <c r="B2318" s="81" t="str">
        <f t="shared" si="1"/>
        <v>Kota Pontianak</v>
      </c>
      <c r="C2318" s="81" t="str">
        <f t="array" ref="C2318">XLOOKUP(B2318,Reference!$A$2:$A$152,Reference!$B$2:$B$152)</f>
        <v>Kalimantan Barat</v>
      </c>
      <c r="D2318" s="82" t="s">
        <v>2757</v>
      </c>
      <c r="E2318" s="83">
        <v>45323.0</v>
      </c>
      <c r="F2318" s="84" t="str">
        <f t="array" ref="F2318">XLOOKUP(G2318,Reference!$F:$F,Reference!$D:$D,"null")</f>
        <v>Rekreasi dan Kendaraan</v>
      </c>
      <c r="G2318" s="89" t="s">
        <v>105</v>
      </c>
      <c r="H2318" s="90">
        <v>106.42</v>
      </c>
      <c r="I2318" s="90">
        <v>106.42</v>
      </c>
      <c r="J2318" s="87">
        <f t="shared" si="2"/>
        <v>0</v>
      </c>
      <c r="K2318" s="84" t="str">
        <f t="shared" si="3"/>
        <v>Stabil</v>
      </c>
      <c r="L2318" s="91">
        <f t="shared" si="4"/>
        <v>0</v>
      </c>
      <c r="M2318" s="88" t="str">
        <f t="shared" si="5"/>
        <v>Perubahan Normal</v>
      </c>
    </row>
    <row r="2319" ht="18.75" customHeight="1">
      <c r="A2319" s="80" t="s">
        <v>337</v>
      </c>
      <c r="B2319" s="81" t="str">
        <f t="shared" si="1"/>
        <v>Merauke</v>
      </c>
      <c r="C2319" s="81" t="str">
        <f t="array" ref="C2319">XLOOKUP(B2319,Reference!$A$2:$A$152,Reference!$B$2:$B$152)</f>
        <v>Papua</v>
      </c>
      <c r="D2319" s="82" t="s">
        <v>2758</v>
      </c>
      <c r="E2319" s="83">
        <v>45352.0</v>
      </c>
      <c r="F2319" s="84" t="str">
        <f t="array" ref="F2319">XLOOKUP(G2319,Reference!$F:$F,Reference!$D:$D,"null")</f>
        <v>Rekreasi dan Kendaraan</v>
      </c>
      <c r="G2319" s="89" t="s">
        <v>105</v>
      </c>
      <c r="H2319" s="90">
        <v>105.22</v>
      </c>
      <c r="I2319" s="90">
        <v>104.85</v>
      </c>
      <c r="J2319" s="87">
        <f t="shared" si="2"/>
        <v>0.3528850739</v>
      </c>
      <c r="K2319" s="84" t="str">
        <f t="shared" si="3"/>
        <v>Inflasi Normal</v>
      </c>
      <c r="L2319" s="91">
        <f t="shared" si="4"/>
        <v>0.37</v>
      </c>
      <c r="M2319" s="88" t="str">
        <f t="shared" si="5"/>
        <v>Perubahan Normal</v>
      </c>
    </row>
    <row r="2320" ht="18.75" customHeight="1">
      <c r="A2320" s="80" t="s">
        <v>488</v>
      </c>
      <c r="B2320" s="81" t="str">
        <f t="shared" si="1"/>
        <v>Kab Muko Muko</v>
      </c>
      <c r="C2320" s="81" t="str">
        <f t="array" ref="C2320">XLOOKUP(B2320,Reference!$A$2:$A$152,Reference!$B$2:$B$152)</f>
        <v>Bengkulu</v>
      </c>
      <c r="D2320" s="82" t="s">
        <v>2759</v>
      </c>
      <c r="E2320" s="83">
        <v>45323.0</v>
      </c>
      <c r="F2320" s="84" t="str">
        <f t="array" ref="F2320">XLOOKUP(G2320,Reference!$F:$F,Reference!$D:$D,"null")</f>
        <v>Rekreasi dan Kendaraan</v>
      </c>
      <c r="G2320" s="85" t="s">
        <v>105</v>
      </c>
      <c r="H2320" s="86">
        <v>100.88</v>
      </c>
      <c r="I2320" s="86">
        <v>100.88</v>
      </c>
      <c r="J2320" s="87">
        <f t="shared" si="2"/>
        <v>0</v>
      </c>
      <c r="K2320" s="84" t="str">
        <f t="shared" si="3"/>
        <v>Stabil</v>
      </c>
      <c r="L2320" s="84">
        <f t="shared" si="4"/>
        <v>0</v>
      </c>
      <c r="M2320" s="88" t="str">
        <f t="shared" si="5"/>
        <v>Perubahan Normal</v>
      </c>
    </row>
    <row r="2321" ht="18.75" customHeight="1">
      <c r="A2321" s="80" t="s">
        <v>340</v>
      </c>
      <c r="B2321" s="81" t="str">
        <f t="shared" si="1"/>
        <v>Kab Rembang</v>
      </c>
      <c r="C2321" s="81" t="str">
        <f t="array" ref="C2321">XLOOKUP(B2321,Reference!$A$2:$A$152,Reference!$B$2:$B$152)</f>
        <v>Jawa Tengah</v>
      </c>
      <c r="D2321" s="82" t="s">
        <v>2760</v>
      </c>
      <c r="E2321" s="83">
        <v>45352.0</v>
      </c>
      <c r="F2321" s="84" t="str">
        <f t="array" ref="F2321">XLOOKUP(G2321,Reference!$F:$F,Reference!$D:$D,"null")</f>
        <v>Rekreasi dan Kendaraan</v>
      </c>
      <c r="G2321" s="85" t="s">
        <v>102</v>
      </c>
      <c r="H2321" s="86">
        <v>110.31</v>
      </c>
      <c r="I2321" s="86">
        <v>109.97</v>
      </c>
      <c r="J2321" s="87">
        <f t="shared" si="2"/>
        <v>0.3091752296</v>
      </c>
      <c r="K2321" s="84" t="str">
        <f t="shared" si="3"/>
        <v>Inflasi Normal</v>
      </c>
      <c r="L2321" s="84">
        <f t="shared" si="4"/>
        <v>0.34</v>
      </c>
      <c r="M2321" s="88" t="str">
        <f t="shared" si="5"/>
        <v>Perubahan Normal</v>
      </c>
    </row>
    <row r="2322" ht="18.75" customHeight="1">
      <c r="A2322" s="80" t="s">
        <v>355</v>
      </c>
      <c r="B2322" s="81" t="str">
        <f t="shared" si="1"/>
        <v>Kota Gorontalo</v>
      </c>
      <c r="C2322" s="81" t="str">
        <f t="array" ref="C2322">XLOOKUP(B2322,Reference!$A$2:$A$152,Reference!$B$2:$B$152)</f>
        <v>Gorontalo</v>
      </c>
      <c r="D2322" s="82" t="s">
        <v>2761</v>
      </c>
      <c r="E2322" s="83">
        <v>45323.0</v>
      </c>
      <c r="F2322" s="84" t="str">
        <f t="array" ref="F2322">XLOOKUP(G2322,Reference!$F:$F,Reference!$D:$D,"null")</f>
        <v>Rumah Tangga</v>
      </c>
      <c r="G2322" s="89" t="s">
        <v>89</v>
      </c>
      <c r="H2322" s="90">
        <v>99.68</v>
      </c>
      <c r="I2322" s="90">
        <v>99.71</v>
      </c>
      <c r="J2322" s="87">
        <f t="shared" si="2"/>
        <v>-0.03008725303</v>
      </c>
      <c r="K2322" s="84" t="str">
        <f t="shared" si="3"/>
        <v>Deflasi</v>
      </c>
      <c r="L2322" s="91">
        <f t="shared" si="4"/>
        <v>-0.03</v>
      </c>
      <c r="M2322" s="88" t="str">
        <f t="shared" si="5"/>
        <v>Perubahan Normal</v>
      </c>
    </row>
    <row r="2323" ht="18.75" customHeight="1">
      <c r="A2323" s="80" t="s">
        <v>310</v>
      </c>
      <c r="B2323" s="81" t="str">
        <f t="shared" si="1"/>
        <v>Kab Kampar</v>
      </c>
      <c r="C2323" s="81" t="str">
        <f t="array" ref="C2323">XLOOKUP(B2323,Reference!$A$2:$A$152,Reference!$B$2:$B$152)</f>
        <v>Riau</v>
      </c>
      <c r="D2323" s="82" t="s">
        <v>2762</v>
      </c>
      <c r="E2323" s="83">
        <v>45352.0</v>
      </c>
      <c r="F2323" s="84" t="str">
        <f t="array" ref="F2323">XLOOKUP(G2323,Reference!$F:$F,Reference!$D:$D,"null")</f>
        <v>Makanan dan Pakaian </v>
      </c>
      <c r="G2323" s="85" t="s">
        <v>48</v>
      </c>
      <c r="H2323" s="86">
        <v>112.32</v>
      </c>
      <c r="I2323" s="86">
        <v>110.4</v>
      </c>
      <c r="J2323" s="87">
        <f t="shared" si="2"/>
        <v>1.739130435</v>
      </c>
      <c r="K2323" s="84" t="str">
        <f t="shared" si="3"/>
        <v>Inflasi Tinggi</v>
      </c>
      <c r="L2323" s="84">
        <f t="shared" si="4"/>
        <v>1.92</v>
      </c>
      <c r="M2323" s="88" t="str">
        <f t="shared" si="5"/>
        <v>Akselerasi Persentase</v>
      </c>
    </row>
    <row r="2324" ht="18.75" customHeight="1">
      <c r="A2324" s="80" t="s">
        <v>495</v>
      </c>
      <c r="B2324" s="81" t="str">
        <f t="shared" si="1"/>
        <v>Kota Medan</v>
      </c>
      <c r="C2324" s="81" t="str">
        <f t="array" ref="C2324">xlookup(B2324,Reference!$A$2:$A$152,Reference!$B$2:$B$152)</f>
        <v>Sumatera Utara</v>
      </c>
      <c r="D2324" s="82" t="s">
        <v>2763</v>
      </c>
      <c r="E2324" s="83">
        <v>45352.0</v>
      </c>
      <c r="F2324" s="91" t="str">
        <f t="array" ref="F2324">XLOOKUP(G2324,Reference!$F:$F,Reference!$D:$D,"null")</f>
        <v>Makanan dan Pakaian </v>
      </c>
      <c r="G2324" s="89" t="s">
        <v>72</v>
      </c>
      <c r="H2324" s="90">
        <v>101.55</v>
      </c>
      <c r="I2324" s="90">
        <v>101.55</v>
      </c>
      <c r="J2324" s="87">
        <f t="shared" si="2"/>
        <v>0</v>
      </c>
      <c r="K2324" s="84" t="str">
        <f t="shared" si="3"/>
        <v>Stabil</v>
      </c>
      <c r="L2324" s="91">
        <f t="shared" si="4"/>
        <v>0</v>
      </c>
      <c r="M2324" s="88" t="str">
        <f t="shared" si="5"/>
        <v>Perubahan Normal</v>
      </c>
    </row>
    <row r="2325" ht="18.75" customHeight="1">
      <c r="A2325" s="80" t="s">
        <v>404</v>
      </c>
      <c r="B2325" s="81" t="str">
        <f t="shared" si="1"/>
        <v>Kab Mesuji</v>
      </c>
      <c r="C2325" s="81" t="str">
        <f t="array" ref="C2325">xlookup(B2325,Reference!$A$2:$A$152,Reference!$B$2:$B$152)</f>
        <v>Lampung</v>
      </c>
      <c r="D2325" s="82" t="s">
        <v>2764</v>
      </c>
      <c r="E2325" s="83">
        <v>45323.0</v>
      </c>
      <c r="F2325" s="91" t="str">
        <f t="array" ref="F2325">XLOOKUP(G2325,Reference!$F:$F,Reference!$D:$D,"null")</f>
        <v>Rekreasi dan Kendaraan</v>
      </c>
      <c r="G2325" s="85" t="s">
        <v>102</v>
      </c>
      <c r="H2325" s="86">
        <v>106.99</v>
      </c>
      <c r="I2325" s="86">
        <v>106.99</v>
      </c>
      <c r="J2325" s="87">
        <f t="shared" si="2"/>
        <v>0</v>
      </c>
      <c r="K2325" s="84" t="str">
        <f t="shared" si="3"/>
        <v>Stabil</v>
      </c>
      <c r="L2325" s="84">
        <f t="shared" si="4"/>
        <v>0</v>
      </c>
      <c r="M2325" s="88" t="str">
        <f t="shared" si="5"/>
        <v>Perubahan Normal</v>
      </c>
    </row>
    <row r="2326" ht="18.75" customHeight="1">
      <c r="A2326" s="80" t="s">
        <v>406</v>
      </c>
      <c r="B2326" s="81" t="str">
        <f t="shared" si="1"/>
        <v>Kota Tasikmalaya</v>
      </c>
      <c r="C2326" s="81" t="str">
        <f t="array" ref="C2326">xlookup(B2326,Reference!$A$2:$A$152,Reference!$B$2:$B$152)</f>
        <v>Jawa Barat</v>
      </c>
      <c r="D2326" s="82" t="s">
        <v>2765</v>
      </c>
      <c r="E2326" s="83">
        <v>45323.0</v>
      </c>
      <c r="F2326" s="91" t="str">
        <f t="array" ref="F2326">XLOOKUP(G2326,Reference!$F:$F,Reference!$D:$D,"null")</f>
        <v>Rekreasi dan Kendaraan</v>
      </c>
      <c r="G2326" s="85" t="s">
        <v>102</v>
      </c>
      <c r="H2326" s="86">
        <v>103.0</v>
      </c>
      <c r="I2326" s="86">
        <v>102.95</v>
      </c>
      <c r="J2326" s="87">
        <f t="shared" si="2"/>
        <v>0.04856726566</v>
      </c>
      <c r="K2326" s="84" t="str">
        <f t="shared" si="3"/>
        <v>Inflasi Normal</v>
      </c>
      <c r="L2326" s="84">
        <f t="shared" si="4"/>
        <v>0.05</v>
      </c>
      <c r="M2326" s="88" t="str">
        <f t="shared" si="5"/>
        <v>Perubahan Normal</v>
      </c>
    </row>
    <row r="2327" ht="18.75" customHeight="1">
      <c r="A2327" s="80" t="s">
        <v>517</v>
      </c>
      <c r="B2327" s="81" t="str">
        <f t="shared" si="1"/>
        <v>Kota Kupang</v>
      </c>
      <c r="C2327" s="81" t="str">
        <f t="array" ref="C2327">xlookup(B2327,Reference!$A$2:$A$152,Reference!$B$2:$B$152)</f>
        <v>Nusa Tenggara Timur (NTT)</v>
      </c>
      <c r="D2327" s="82" t="s">
        <v>2766</v>
      </c>
      <c r="E2327" s="83">
        <v>45352.0</v>
      </c>
      <c r="F2327" s="91" t="str">
        <f t="array" ref="F2327">XLOOKUP(G2327,Reference!$F:$F,Reference!$D:$D,"null")</f>
        <v>Pendidikan dan Kesehatan</v>
      </c>
      <c r="G2327" s="85" t="s">
        <v>98</v>
      </c>
      <c r="H2327" s="86">
        <v>103.07</v>
      </c>
      <c r="I2327" s="86">
        <v>103.14</v>
      </c>
      <c r="J2327" s="87">
        <f t="shared" si="2"/>
        <v>-0.06786891604</v>
      </c>
      <c r="K2327" s="84" t="str">
        <f t="shared" si="3"/>
        <v>Deflasi</v>
      </c>
      <c r="L2327" s="84">
        <f t="shared" si="4"/>
        <v>-0.07</v>
      </c>
      <c r="M2327" s="88" t="str">
        <f t="shared" si="5"/>
        <v>Perubahan Normal</v>
      </c>
    </row>
    <row r="2328" ht="18.75" customHeight="1">
      <c r="A2328" s="80" t="s">
        <v>382</v>
      </c>
      <c r="B2328" s="81" t="str">
        <f t="shared" si="1"/>
        <v>Kab Ngada</v>
      </c>
      <c r="C2328" s="81" t="str">
        <f t="array" ref="C2328">xlookup(B2328,Reference!$A$2:$A$152,Reference!$B$2:$B$152)</f>
        <v>Nusa Tenggara Timur (NTT)</v>
      </c>
      <c r="D2328" s="82" t="s">
        <v>2767</v>
      </c>
      <c r="E2328" s="83">
        <v>45352.0</v>
      </c>
      <c r="F2328" s="91" t="str">
        <f t="array" ref="F2328">XLOOKUP(G2328,Reference!$F:$F,Reference!$D:$D,"null")</f>
        <v>Makanan dan Pakaian </v>
      </c>
      <c r="G2328" s="85" t="s">
        <v>48</v>
      </c>
      <c r="H2328" s="86">
        <v>107.75</v>
      </c>
      <c r="I2328" s="86">
        <v>107.61</v>
      </c>
      <c r="J2328" s="87">
        <f t="shared" si="2"/>
        <v>0.1300994331</v>
      </c>
      <c r="K2328" s="84" t="str">
        <f t="shared" si="3"/>
        <v>Inflasi Normal</v>
      </c>
      <c r="L2328" s="84">
        <f t="shared" si="4"/>
        <v>0.14</v>
      </c>
      <c r="M2328" s="88" t="str">
        <f t="shared" si="5"/>
        <v>Perubahan Normal</v>
      </c>
    </row>
    <row r="2329" ht="18.75" customHeight="1">
      <c r="A2329" s="80" t="s">
        <v>497</v>
      </c>
      <c r="B2329" s="81" t="str">
        <f t="shared" si="1"/>
        <v>Tanjung Pandan</v>
      </c>
      <c r="C2329" s="81" t="str">
        <f t="array" ref="C2329">xlookup(B2329,Reference!$A$2:$A$152,Reference!$B$2:$B$152)</f>
        <v>Kepulauan Bangka Belitung</v>
      </c>
      <c r="D2329" s="82" t="s">
        <v>2768</v>
      </c>
      <c r="E2329" s="83">
        <v>45352.0</v>
      </c>
      <c r="F2329" s="91" t="str">
        <f t="array" ref="F2329">XLOOKUP(G2329,Reference!$F:$F,Reference!$D:$D,"null")</f>
        <v>Rumah Tangga</v>
      </c>
      <c r="G2329" s="85" t="s">
        <v>89</v>
      </c>
      <c r="H2329" s="86">
        <v>100.31</v>
      </c>
      <c r="I2329" s="86">
        <v>100.31</v>
      </c>
      <c r="J2329" s="87">
        <f t="shared" si="2"/>
        <v>0</v>
      </c>
      <c r="K2329" s="84" t="str">
        <f t="shared" si="3"/>
        <v>Stabil</v>
      </c>
      <c r="L2329" s="84">
        <f t="shared" si="4"/>
        <v>0</v>
      </c>
      <c r="M2329" s="88" t="str">
        <f t="shared" si="5"/>
        <v>Perubahan Normal</v>
      </c>
    </row>
    <row r="2330" ht="18.75" customHeight="1">
      <c r="A2330" s="80" t="s">
        <v>581</v>
      </c>
      <c r="B2330" s="81" t="str">
        <f t="shared" si="1"/>
        <v>Kab Dharmasraya</v>
      </c>
      <c r="C2330" s="81" t="str">
        <f t="array" ref="C2330">xlookup(B2330,Reference!$A$2:$A$152,Reference!$B$2:$B$152)</f>
        <v>Sumatera Barat</v>
      </c>
      <c r="D2330" s="82" t="s">
        <v>2769</v>
      </c>
      <c r="E2330" s="83">
        <v>45352.0</v>
      </c>
      <c r="F2330" s="91" t="str">
        <f t="array" ref="F2330">XLOOKUP(G2330,Reference!$F:$F,Reference!$D:$D,"null")</f>
        <v>Makanan dan Pakaian </v>
      </c>
      <c r="G2330" s="85" t="s">
        <v>48</v>
      </c>
      <c r="H2330" s="86">
        <v>117.88</v>
      </c>
      <c r="I2330" s="86">
        <v>115.09</v>
      </c>
      <c r="J2330" s="87">
        <f t="shared" si="2"/>
        <v>2.424189765</v>
      </c>
      <c r="K2330" s="84" t="str">
        <f t="shared" si="3"/>
        <v>Inflasi Tinggi</v>
      </c>
      <c r="L2330" s="84">
        <f t="shared" si="4"/>
        <v>2.79</v>
      </c>
      <c r="M2330" s="88" t="str">
        <f t="shared" si="5"/>
        <v>Akselerasi Kuat</v>
      </c>
    </row>
    <row r="2331" ht="18.75" customHeight="1">
      <c r="A2331" s="80" t="s">
        <v>606</v>
      </c>
      <c r="B2331" s="81" t="str">
        <f t="shared" si="1"/>
        <v>Kota Pare Pare</v>
      </c>
      <c r="C2331" s="81" t="str">
        <f t="array" ref="C2331">xlookup(B2331,Reference!$A$2:$A$152,Reference!$B$2:$B$152)</f>
        <v>Sulawesi Selatan</v>
      </c>
      <c r="D2331" s="82" t="s">
        <v>2770</v>
      </c>
      <c r="E2331" s="83">
        <v>45352.0</v>
      </c>
      <c r="F2331" s="91" t="str">
        <f t="array" ref="F2331">XLOOKUP(G2331,Reference!$F:$F,Reference!$D:$D,"null")</f>
        <v>Makanan dan Pakaian </v>
      </c>
      <c r="G2331" s="85" t="s">
        <v>64</v>
      </c>
      <c r="H2331" s="86">
        <v>103.19</v>
      </c>
      <c r="I2331" s="86">
        <v>103.19</v>
      </c>
      <c r="J2331" s="87">
        <f t="shared" si="2"/>
        <v>0</v>
      </c>
      <c r="K2331" s="84" t="str">
        <f t="shared" si="3"/>
        <v>Stabil</v>
      </c>
      <c r="L2331" s="84">
        <f t="shared" si="4"/>
        <v>0</v>
      </c>
      <c r="M2331" s="88" t="str">
        <f t="shared" si="5"/>
        <v>Perubahan Normal</v>
      </c>
    </row>
    <row r="2332" ht="18.75" customHeight="1">
      <c r="A2332" s="80" t="s">
        <v>346</v>
      </c>
      <c r="B2332" s="81" t="str">
        <f t="shared" si="1"/>
        <v>Kab Timor Tengah Selatan</v>
      </c>
      <c r="C2332" s="81" t="str">
        <f t="array" ref="C2332">xlookup(B2332,Reference!$A$2:$A$152,Reference!$B$2:$B$152)</f>
        <v>Nusa Tenggara Timur (NTT)</v>
      </c>
      <c r="D2332" s="82" t="s">
        <v>2771</v>
      </c>
      <c r="E2332" s="83">
        <v>45323.0</v>
      </c>
      <c r="F2332" s="91" t="str">
        <f t="array" ref="F2332">XLOOKUP(G2332,Reference!$F:$F,Reference!$D:$D,"null")</f>
        <v>Makanan dan Pakaian </v>
      </c>
      <c r="G2332" s="85" t="s">
        <v>72</v>
      </c>
      <c r="H2332" s="86">
        <v>104.07</v>
      </c>
      <c r="I2332" s="86">
        <v>104.07</v>
      </c>
      <c r="J2332" s="87">
        <f t="shared" si="2"/>
        <v>0</v>
      </c>
      <c r="K2332" s="84" t="str">
        <f t="shared" si="3"/>
        <v>Stabil</v>
      </c>
      <c r="L2332" s="84">
        <f t="shared" si="4"/>
        <v>0</v>
      </c>
      <c r="M2332" s="88" t="str">
        <f t="shared" si="5"/>
        <v>Perubahan Normal</v>
      </c>
    </row>
    <row r="2333" ht="18.75" customHeight="1">
      <c r="A2333" s="80" t="s">
        <v>389</v>
      </c>
      <c r="B2333" s="81" t="str">
        <f t="shared" si="1"/>
        <v>Tembilahan</v>
      </c>
      <c r="C2333" s="81" t="str">
        <f t="array" ref="C2333">xlookup(B2333,Reference!$A$2:$A$152,Reference!$B$2:$B$152)</f>
        <v>Riau</v>
      </c>
      <c r="D2333" s="82" t="s">
        <v>2772</v>
      </c>
      <c r="E2333" s="83">
        <v>45323.0</v>
      </c>
      <c r="F2333" s="91" t="str">
        <f t="array" ref="F2333">XLOOKUP(G2333,Reference!$F:$F,Reference!$D:$D,"null")</f>
        <v>Pendidikan dan Kesehatan</v>
      </c>
      <c r="G2333" s="85" t="s">
        <v>95</v>
      </c>
      <c r="H2333" s="86">
        <v>100.76</v>
      </c>
      <c r="I2333" s="86">
        <v>100.76</v>
      </c>
      <c r="J2333" s="87">
        <f t="shared" si="2"/>
        <v>0</v>
      </c>
      <c r="K2333" s="84" t="str">
        <f t="shared" si="3"/>
        <v>Stabil</v>
      </c>
      <c r="L2333" s="84">
        <f t="shared" si="4"/>
        <v>0</v>
      </c>
      <c r="M2333" s="88" t="str">
        <f t="shared" si="5"/>
        <v>Perubahan Normal</v>
      </c>
    </row>
    <row r="2334" ht="18.75" customHeight="1">
      <c r="A2334" s="80" t="s">
        <v>473</v>
      </c>
      <c r="B2334" s="81" t="str">
        <f t="shared" si="1"/>
        <v>Kab Wajo</v>
      </c>
      <c r="C2334" s="81" t="str">
        <f t="array" ref="C2334">xlookup(B2334,Reference!$A$2:$A$152,Reference!$B$2:$B$152)</f>
        <v>Sulawesi Selatan</v>
      </c>
      <c r="D2334" s="82" t="s">
        <v>2773</v>
      </c>
      <c r="E2334" s="83">
        <v>45352.0</v>
      </c>
      <c r="F2334" s="91" t="str">
        <f t="array" ref="F2334">XLOOKUP(G2334,Reference!$F:$F,Reference!$D:$D,"null")</f>
        <v>Pendidikan dan Kesehatan</v>
      </c>
      <c r="G2334" s="89" t="s">
        <v>98</v>
      </c>
      <c r="H2334" s="90">
        <v>107.94</v>
      </c>
      <c r="I2334" s="90">
        <v>105.63</v>
      </c>
      <c r="J2334" s="87">
        <f t="shared" si="2"/>
        <v>2.186878728</v>
      </c>
      <c r="K2334" s="84" t="str">
        <f t="shared" si="3"/>
        <v>Inflasi Tinggi</v>
      </c>
      <c r="L2334" s="91">
        <f t="shared" si="4"/>
        <v>2.31</v>
      </c>
      <c r="M2334" s="88" t="str">
        <f t="shared" si="5"/>
        <v>Akselerasi Kuat</v>
      </c>
    </row>
    <row r="2335" ht="18.75" customHeight="1">
      <c r="A2335" s="80" t="s">
        <v>925</v>
      </c>
      <c r="B2335" s="81" t="str">
        <f t="shared" si="1"/>
        <v>Kota Jakarta</v>
      </c>
      <c r="C2335" s="81" t="str">
        <f t="array" ref="C2335">xlookup(B2335,Reference!$A$2:$A$152,Reference!$B$2:$B$152)</f>
        <v>DKI Jakarta</v>
      </c>
      <c r="D2335" s="82" t="s">
        <v>2774</v>
      </c>
      <c r="E2335" s="83">
        <v>45352.0</v>
      </c>
      <c r="F2335" s="91" t="str">
        <f t="array" ref="F2335">XLOOKUP(G2335,Reference!$F:$F,Reference!$D:$D,"null")</f>
        <v>Makanan dan Pakaian </v>
      </c>
      <c r="G2335" s="85" t="s">
        <v>72</v>
      </c>
      <c r="H2335" s="86">
        <v>96.15</v>
      </c>
      <c r="I2335" s="86">
        <v>96.3</v>
      </c>
      <c r="J2335" s="87">
        <f t="shared" si="2"/>
        <v>-0.1557632399</v>
      </c>
      <c r="K2335" s="84" t="str">
        <f t="shared" si="3"/>
        <v>Deflasi</v>
      </c>
      <c r="L2335" s="84">
        <f t="shared" si="4"/>
        <v>-0.15</v>
      </c>
      <c r="M2335" s="88" t="str">
        <f t="shared" si="5"/>
        <v>Perubahan Normal</v>
      </c>
    </row>
    <row r="2336" ht="18.75" customHeight="1">
      <c r="A2336" s="80" t="s">
        <v>333</v>
      </c>
      <c r="B2336" s="81" t="str">
        <f t="shared" si="1"/>
        <v>Kab Pasaman Barat</v>
      </c>
      <c r="C2336" s="81" t="str">
        <f t="array" ref="C2336">xlookup(B2336,Reference!$A$2:$A$152,Reference!$B$2:$B$152)</f>
        <v>Sumatera Barat</v>
      </c>
      <c r="D2336" s="82" t="s">
        <v>2775</v>
      </c>
      <c r="E2336" s="83">
        <v>45323.0</v>
      </c>
      <c r="F2336" s="91" t="str">
        <f t="array" ref="F2336">XLOOKUP(G2336,Reference!$F:$F,Reference!$D:$D,"null")</f>
        <v>Pendidikan dan Kesehatan</v>
      </c>
      <c r="G2336" s="85" t="s">
        <v>98</v>
      </c>
      <c r="H2336" s="86">
        <v>103.91</v>
      </c>
      <c r="I2336" s="86">
        <v>102.33</v>
      </c>
      <c r="J2336" s="87">
        <f t="shared" si="2"/>
        <v>1.544024235</v>
      </c>
      <c r="K2336" s="84" t="str">
        <f t="shared" si="3"/>
        <v>Inflasi Tinggi</v>
      </c>
      <c r="L2336" s="84">
        <f t="shared" si="4"/>
        <v>1.58</v>
      </c>
      <c r="M2336" s="88" t="str">
        <f t="shared" si="5"/>
        <v>Akselerasi Persentase</v>
      </c>
    </row>
    <row r="2337" ht="18.75" customHeight="1">
      <c r="A2337" s="80" t="s">
        <v>425</v>
      </c>
      <c r="B2337" s="81" t="str">
        <f t="shared" si="1"/>
        <v>Kab Gorontalo</v>
      </c>
      <c r="C2337" s="81" t="str">
        <f t="array" ref="C2337">xlookup(B2337,Reference!$A$2:$A$152,Reference!$B$2:$B$152)</f>
        <v>Gorontalo</v>
      </c>
      <c r="D2337" s="82" t="s">
        <v>2776</v>
      </c>
      <c r="E2337" s="83">
        <v>45323.0</v>
      </c>
      <c r="F2337" s="91" t="str">
        <f t="array" ref="F2337">XLOOKUP(G2337,Reference!$F:$F,Reference!$D:$D,"null")</f>
        <v>Makanan dan Pakaian </v>
      </c>
      <c r="G2337" s="85" t="s">
        <v>56</v>
      </c>
      <c r="H2337" s="86">
        <v>102.83</v>
      </c>
      <c r="I2337" s="86">
        <v>101.98</v>
      </c>
      <c r="J2337" s="87">
        <f t="shared" si="2"/>
        <v>0.8334967641</v>
      </c>
      <c r="K2337" s="84" t="str">
        <f t="shared" si="3"/>
        <v>Inflasi Tinggi</v>
      </c>
      <c r="L2337" s="84">
        <f t="shared" si="4"/>
        <v>0.85</v>
      </c>
      <c r="M2337" s="88" t="str">
        <f t="shared" si="5"/>
        <v>Akselerasi Persentase</v>
      </c>
    </row>
    <row r="2338" ht="18.75" customHeight="1">
      <c r="A2338" s="80" t="s">
        <v>571</v>
      </c>
      <c r="B2338" s="81" t="str">
        <f t="shared" si="1"/>
        <v>Kota Sorong</v>
      </c>
      <c r="C2338" s="81" t="str">
        <f t="array" ref="C2338">xlookup(B2338,Reference!$A$2:$A$152,Reference!$B$2:$B$152)</f>
        <v>Papua Barat Daya</v>
      </c>
      <c r="D2338" s="82" t="s">
        <v>2777</v>
      </c>
      <c r="E2338" s="83">
        <v>45352.0</v>
      </c>
      <c r="F2338" s="91" t="str">
        <f t="array" ref="F2338">XLOOKUP(G2338,Reference!$F:$F,Reference!$D:$D,"null")</f>
        <v>Pendidikan dan Kesehatan</v>
      </c>
      <c r="G2338" s="85" t="s">
        <v>98</v>
      </c>
      <c r="H2338" s="86">
        <v>103.32</v>
      </c>
      <c r="I2338" s="86">
        <v>102.98</v>
      </c>
      <c r="J2338" s="87">
        <f t="shared" si="2"/>
        <v>0.3301611963</v>
      </c>
      <c r="K2338" s="84" t="str">
        <f t="shared" si="3"/>
        <v>Inflasi Normal</v>
      </c>
      <c r="L2338" s="84">
        <f t="shared" si="4"/>
        <v>0.34</v>
      </c>
      <c r="M2338" s="88" t="str">
        <f t="shared" si="5"/>
        <v>Perubahan Normal</v>
      </c>
    </row>
    <row r="2339" ht="18.75" customHeight="1">
      <c r="A2339" s="80" t="s">
        <v>326</v>
      </c>
      <c r="B2339" s="81" t="str">
        <f t="shared" si="1"/>
        <v>Luwuk</v>
      </c>
      <c r="C2339" s="81" t="str">
        <f t="array" ref="C2339">xlookup(B2339,Reference!$A$2:$A$152,Reference!$B$2:$B$152)</f>
        <v>Sulawesi Tengah</v>
      </c>
      <c r="D2339" s="82" t="s">
        <v>2778</v>
      </c>
      <c r="E2339" s="83">
        <v>45352.0</v>
      </c>
      <c r="F2339" s="91" t="str">
        <f t="array" ref="F2339">XLOOKUP(G2339,Reference!$F:$F,Reference!$D:$D,"null")</f>
        <v>Makanan dan Pakaian </v>
      </c>
      <c r="G2339" s="85" t="s">
        <v>64</v>
      </c>
      <c r="H2339" s="86">
        <v>100.83</v>
      </c>
      <c r="I2339" s="86">
        <v>100.28</v>
      </c>
      <c r="J2339" s="87">
        <f t="shared" si="2"/>
        <v>0.5484643</v>
      </c>
      <c r="K2339" s="84" t="str">
        <f t="shared" si="3"/>
        <v>Inflasi Tinggi</v>
      </c>
      <c r="L2339" s="84">
        <f t="shared" si="4"/>
        <v>0.55</v>
      </c>
      <c r="M2339" s="88" t="str">
        <f t="shared" si="5"/>
        <v>Akselerasi Persentase</v>
      </c>
    </row>
    <row r="2340" ht="18.75" customHeight="1">
      <c r="A2340" s="80" t="s">
        <v>294</v>
      </c>
      <c r="B2340" s="81" t="str">
        <f t="shared" si="1"/>
        <v>Kab Labuhanbatu</v>
      </c>
      <c r="C2340" s="81" t="str">
        <f t="array" ref="C2340">xlookup(B2340,Reference!$A$2:$A$152,Reference!$B$2:$B$152)</f>
        <v>Sumatera Utara</v>
      </c>
      <c r="D2340" s="82" t="s">
        <v>2779</v>
      </c>
      <c r="E2340" s="83">
        <v>45352.0</v>
      </c>
      <c r="F2340" s="91" t="str">
        <f t="array" ref="F2340">XLOOKUP(G2340,Reference!$F:$F,Reference!$D:$D,"null")</f>
        <v>Makanan dan Pakaian </v>
      </c>
      <c r="G2340" s="85" t="s">
        <v>64</v>
      </c>
      <c r="H2340" s="86">
        <v>112.18</v>
      </c>
      <c r="I2340" s="86">
        <v>110.2</v>
      </c>
      <c r="J2340" s="87">
        <f t="shared" si="2"/>
        <v>1.796733212</v>
      </c>
      <c r="K2340" s="84" t="str">
        <f t="shared" si="3"/>
        <v>Inflasi Tinggi</v>
      </c>
      <c r="L2340" s="84">
        <f t="shared" si="4"/>
        <v>1.98</v>
      </c>
      <c r="M2340" s="88" t="str">
        <f t="shared" si="5"/>
        <v>Akselerasi Persentase</v>
      </c>
    </row>
    <row r="2341" ht="18.75" customHeight="1">
      <c r="A2341" s="80" t="s">
        <v>423</v>
      </c>
      <c r="B2341" s="81" t="str">
        <f t="shared" si="1"/>
        <v>Kota Kotamobagu</v>
      </c>
      <c r="C2341" s="81" t="str">
        <f t="array" ref="C2341">xlookup(B2341,Reference!$A$2:$A$152,Reference!$B$2:$B$152)</f>
        <v>Sulawesi Utara</v>
      </c>
      <c r="D2341" s="82" t="s">
        <v>2780</v>
      </c>
      <c r="E2341" s="83">
        <v>45323.0</v>
      </c>
      <c r="F2341" s="91" t="str">
        <f t="array" ref="F2341">XLOOKUP(G2341,Reference!$F:$F,Reference!$D:$D,"null")</f>
        <v>Rekreasi dan Kendaraan</v>
      </c>
      <c r="G2341" s="85" t="s">
        <v>105</v>
      </c>
      <c r="H2341" s="86">
        <v>104.92</v>
      </c>
      <c r="I2341" s="86">
        <v>104.92</v>
      </c>
      <c r="J2341" s="87">
        <f t="shared" si="2"/>
        <v>0</v>
      </c>
      <c r="K2341" s="84" t="str">
        <f t="shared" si="3"/>
        <v>Stabil</v>
      </c>
      <c r="L2341" s="84">
        <f t="shared" si="4"/>
        <v>0</v>
      </c>
      <c r="M2341" s="88" t="str">
        <f t="shared" si="5"/>
        <v>Perubahan Normal</v>
      </c>
    </row>
    <row r="2342" ht="18.75" customHeight="1">
      <c r="A2342" s="80" t="s">
        <v>401</v>
      </c>
      <c r="B2342" s="81" t="str">
        <f t="shared" si="1"/>
        <v>Kota Tual</v>
      </c>
      <c r="C2342" s="81" t="str">
        <f t="array" ref="C2342">xlookup(B2342,Reference!$A$2:$A$152,Reference!$B$2:$B$152)</f>
        <v>Maluku</v>
      </c>
      <c r="D2342" s="82" t="s">
        <v>2781</v>
      </c>
      <c r="E2342" s="83">
        <v>45323.0</v>
      </c>
      <c r="F2342" s="91" t="str">
        <f t="array" ref="F2342">XLOOKUP(G2342,Reference!$F:$F,Reference!$D:$D,"null")</f>
        <v>Makanan dan Pakaian </v>
      </c>
      <c r="G2342" s="85" t="s">
        <v>56</v>
      </c>
      <c r="H2342" s="86">
        <v>107.37</v>
      </c>
      <c r="I2342" s="86">
        <v>107.41</v>
      </c>
      <c r="J2342" s="87">
        <f t="shared" si="2"/>
        <v>-0.0372404804</v>
      </c>
      <c r="K2342" s="84" t="str">
        <f t="shared" si="3"/>
        <v>Deflasi</v>
      </c>
      <c r="L2342" s="84">
        <f t="shared" si="4"/>
        <v>-0.04</v>
      </c>
      <c r="M2342" s="88" t="str">
        <f t="shared" si="5"/>
        <v>Perubahan Normal</v>
      </c>
    </row>
    <row r="2343" ht="18.75" customHeight="1">
      <c r="A2343" s="80" t="s">
        <v>558</v>
      </c>
      <c r="B2343" s="81" t="str">
        <f t="shared" si="1"/>
        <v>Kab Kapuas</v>
      </c>
      <c r="C2343" s="81" t="str">
        <f t="array" ref="C2343">xlookup(B2343,Reference!$A$2:$A$152,Reference!$B$2:$B$152)</f>
        <v>Kalimantan Tengah</v>
      </c>
      <c r="D2343" s="82" t="s">
        <v>2782</v>
      </c>
      <c r="E2343" s="83">
        <v>45323.0</v>
      </c>
      <c r="F2343" s="91" t="str">
        <f t="array" ref="F2343">XLOOKUP(G2343,Reference!$F:$F,Reference!$D:$D,"null")</f>
        <v>Makanan dan Pakaian </v>
      </c>
      <c r="G2343" s="85" t="s">
        <v>56</v>
      </c>
      <c r="H2343" s="86">
        <v>112.34</v>
      </c>
      <c r="I2343" s="86">
        <v>112.26</v>
      </c>
      <c r="J2343" s="87">
        <f t="shared" si="2"/>
        <v>0.07126313914</v>
      </c>
      <c r="K2343" s="84" t="str">
        <f t="shared" si="3"/>
        <v>Inflasi Normal</v>
      </c>
      <c r="L2343" s="84">
        <f t="shared" si="4"/>
        <v>0.08</v>
      </c>
      <c r="M2343" s="88" t="str">
        <f t="shared" si="5"/>
        <v>Perubahan Normal</v>
      </c>
    </row>
    <row r="2344" ht="18.75" customHeight="1">
      <c r="A2344" s="80" t="s">
        <v>353</v>
      </c>
      <c r="B2344" s="81" t="str">
        <f t="shared" si="1"/>
        <v>Kota Bau Bau</v>
      </c>
      <c r="C2344" s="81" t="str">
        <f t="array" ref="C2344">xlookup(B2344,Reference!$A$2:$A$152,Reference!$B$2:$B$152)</f>
        <v>Sulawesi Tenggara</v>
      </c>
      <c r="D2344" s="82" t="s">
        <v>2783</v>
      </c>
      <c r="E2344" s="83">
        <v>45323.0</v>
      </c>
      <c r="F2344" s="91" t="str">
        <f t="array" ref="F2344">XLOOKUP(G2344,Reference!$F:$F,Reference!$D:$D,"null")</f>
        <v>Rumah Tangga</v>
      </c>
      <c r="G2344" s="85" t="s">
        <v>84</v>
      </c>
      <c r="H2344" s="86">
        <v>100.91</v>
      </c>
      <c r="I2344" s="86">
        <v>100.91</v>
      </c>
      <c r="J2344" s="87">
        <f t="shared" si="2"/>
        <v>0</v>
      </c>
      <c r="K2344" s="84" t="str">
        <f t="shared" si="3"/>
        <v>Stabil</v>
      </c>
      <c r="L2344" s="84">
        <f t="shared" si="4"/>
        <v>0</v>
      </c>
      <c r="M2344" s="88" t="str">
        <f t="shared" si="5"/>
        <v>Perubahan Normal</v>
      </c>
    </row>
    <row r="2345" ht="18.75" customHeight="1">
      <c r="A2345" s="80" t="s">
        <v>360</v>
      </c>
      <c r="B2345" s="81" t="str">
        <f t="shared" si="1"/>
        <v>Kab Wonosobo</v>
      </c>
      <c r="C2345" s="81" t="str">
        <f t="array" ref="C2345">xlookup(B2345,Reference!$A$2:$A$152,Reference!$B$2:$B$152)</f>
        <v>Jawa Tengah</v>
      </c>
      <c r="D2345" s="82" t="s">
        <v>2784</v>
      </c>
      <c r="E2345" s="83">
        <v>45323.0</v>
      </c>
      <c r="F2345" s="91" t="str">
        <f t="array" ref="F2345">XLOOKUP(G2345,Reference!$F:$F,Reference!$D:$D,"null")</f>
        <v>Rumah Tangga</v>
      </c>
      <c r="G2345" s="85" t="s">
        <v>80</v>
      </c>
      <c r="H2345" s="86">
        <v>100.16</v>
      </c>
      <c r="I2345" s="86">
        <v>100.0</v>
      </c>
      <c r="J2345" s="87">
        <f t="shared" si="2"/>
        <v>0.16</v>
      </c>
      <c r="K2345" s="84" t="str">
        <f t="shared" si="3"/>
        <v>Inflasi Normal</v>
      </c>
      <c r="L2345" s="84">
        <f t="shared" si="4"/>
        <v>0.16</v>
      </c>
      <c r="M2345" s="88" t="str">
        <f t="shared" si="5"/>
        <v>Perubahan Normal</v>
      </c>
    </row>
    <row r="2346" ht="18.75" customHeight="1">
      <c r="A2346" s="80" t="s">
        <v>473</v>
      </c>
      <c r="B2346" s="81" t="str">
        <f t="shared" si="1"/>
        <v>Kab Wajo</v>
      </c>
      <c r="C2346" s="81" t="str">
        <f t="array" ref="C2346">xlookup(B2346,Reference!$A$2:$A$152,Reference!$B$2:$B$152)</f>
        <v>Sulawesi Selatan</v>
      </c>
      <c r="D2346" s="82" t="s">
        <v>2785</v>
      </c>
      <c r="E2346" s="83">
        <v>45323.0</v>
      </c>
      <c r="F2346" s="91" t="str">
        <f t="array" ref="F2346">XLOOKUP(G2346,Reference!$F:$F,Reference!$D:$D,"null")</f>
        <v>Rumah Tangga</v>
      </c>
      <c r="G2346" s="85" t="s">
        <v>89</v>
      </c>
      <c r="H2346" s="86">
        <v>104.6</v>
      </c>
      <c r="I2346" s="86">
        <v>104.6</v>
      </c>
      <c r="J2346" s="87">
        <f t="shared" si="2"/>
        <v>0</v>
      </c>
      <c r="K2346" s="84" t="str">
        <f t="shared" si="3"/>
        <v>Stabil</v>
      </c>
      <c r="L2346" s="84">
        <f t="shared" si="4"/>
        <v>0</v>
      </c>
      <c r="M2346" s="88" t="str">
        <f t="shared" si="5"/>
        <v>Perubahan Normal</v>
      </c>
    </row>
    <row r="2347" ht="18.75" customHeight="1">
      <c r="A2347" s="80" t="s">
        <v>600</v>
      </c>
      <c r="B2347" s="81" t="str">
        <f t="shared" si="1"/>
        <v>Kota Banda Aceh</v>
      </c>
      <c r="C2347" s="81" t="str">
        <f t="array" ref="C2347">xlookup(B2347,Reference!$A$2:$A$152,Reference!$B$2:$B$152)</f>
        <v>Aceh</v>
      </c>
      <c r="D2347" s="82" t="s">
        <v>2786</v>
      </c>
      <c r="E2347" s="83">
        <v>45323.0</v>
      </c>
      <c r="F2347" s="91" t="str">
        <f t="array" ref="F2347">XLOOKUP(G2347,Reference!$F:$F,Reference!$D:$D,"null")</f>
        <v>Makanan dan Pakaian </v>
      </c>
      <c r="G2347" s="85" t="s">
        <v>72</v>
      </c>
      <c r="H2347" s="86">
        <v>101.89</v>
      </c>
      <c r="I2347" s="86">
        <v>101.89</v>
      </c>
      <c r="J2347" s="87">
        <f t="shared" si="2"/>
        <v>0</v>
      </c>
      <c r="K2347" s="84" t="str">
        <f t="shared" si="3"/>
        <v>Stabil</v>
      </c>
      <c r="L2347" s="84">
        <f t="shared" si="4"/>
        <v>0</v>
      </c>
      <c r="M2347" s="88" t="str">
        <f t="shared" si="5"/>
        <v>Perubahan Normal</v>
      </c>
    </row>
    <row r="2348" ht="18.75" customHeight="1">
      <c r="A2348" s="80" t="s">
        <v>495</v>
      </c>
      <c r="B2348" s="81" t="str">
        <f t="shared" si="1"/>
        <v>Kota Medan</v>
      </c>
      <c r="C2348" s="81" t="str">
        <f t="array" ref="C2348">xlookup(B2348,Reference!$A$2:$A$152,Reference!$B$2:$B$152)</f>
        <v>Sumatera Utara</v>
      </c>
      <c r="D2348" s="82" t="s">
        <v>2787</v>
      </c>
      <c r="E2348" s="83">
        <v>45323.0</v>
      </c>
      <c r="F2348" s="91" t="str">
        <f t="array" ref="F2348">XLOOKUP(G2348,Reference!$F:$F,Reference!$D:$D,"null")</f>
        <v>Rekreasi dan Kendaraan</v>
      </c>
      <c r="G2348" s="85" t="s">
        <v>105</v>
      </c>
      <c r="H2348" s="86">
        <v>101.95</v>
      </c>
      <c r="I2348" s="86">
        <v>101.87</v>
      </c>
      <c r="J2348" s="87">
        <f t="shared" si="2"/>
        <v>0.07853146167</v>
      </c>
      <c r="K2348" s="84" t="str">
        <f t="shared" si="3"/>
        <v>Inflasi Normal</v>
      </c>
      <c r="L2348" s="84">
        <f t="shared" si="4"/>
        <v>0.08</v>
      </c>
      <c r="M2348" s="88" t="str">
        <f t="shared" si="5"/>
        <v>Perubahan Normal</v>
      </c>
    </row>
    <row r="2349" ht="18.75" customHeight="1">
      <c r="A2349" s="80" t="s">
        <v>423</v>
      </c>
      <c r="B2349" s="81" t="str">
        <f t="shared" si="1"/>
        <v>Kota Kotamobagu</v>
      </c>
      <c r="C2349" s="81" t="str">
        <f t="array" ref="C2349">xlookup(B2349,Reference!$A$2:$A$152,Reference!$B$2:$B$152)</f>
        <v>Sulawesi Utara</v>
      </c>
      <c r="D2349" s="82" t="s">
        <v>2788</v>
      </c>
      <c r="E2349" s="83">
        <v>45352.0</v>
      </c>
      <c r="F2349" s="91" t="str">
        <f t="array" ref="F2349">XLOOKUP(G2349,Reference!$F:$F,Reference!$D:$D,"null")</f>
        <v>Rumah Tangga</v>
      </c>
      <c r="G2349" s="85" t="s">
        <v>84</v>
      </c>
      <c r="H2349" s="86">
        <v>103.61</v>
      </c>
      <c r="I2349" s="86">
        <v>103.61</v>
      </c>
      <c r="J2349" s="87">
        <f t="shared" si="2"/>
        <v>0</v>
      </c>
      <c r="K2349" s="84" t="str">
        <f t="shared" si="3"/>
        <v>Stabil</v>
      </c>
      <c r="L2349" s="84">
        <f t="shared" si="4"/>
        <v>0</v>
      </c>
      <c r="M2349" s="88" t="str">
        <f t="shared" si="5"/>
        <v>Perubahan Normal</v>
      </c>
    </row>
    <row r="2350" ht="18.75" customHeight="1">
      <c r="A2350" s="80" t="s">
        <v>558</v>
      </c>
      <c r="B2350" s="81" t="str">
        <f t="shared" si="1"/>
        <v>Kab Kapuas</v>
      </c>
      <c r="C2350" s="81" t="str">
        <f t="array" ref="C2350">xlookup(B2350,Reference!$A$2:$A$152,Reference!$B$2:$B$152)</f>
        <v>Kalimantan Tengah</v>
      </c>
      <c r="D2350" s="82" t="s">
        <v>2789</v>
      </c>
      <c r="E2350" s="83">
        <v>45323.0</v>
      </c>
      <c r="F2350" s="91" t="str">
        <f t="array" ref="F2350">XLOOKUP(G2350,Reference!$F:$F,Reference!$D:$D,"null")</f>
        <v>Rumah Tangga</v>
      </c>
      <c r="G2350" s="85" t="s">
        <v>80</v>
      </c>
      <c r="H2350" s="86">
        <v>100.0</v>
      </c>
      <c r="I2350" s="86">
        <v>100.0</v>
      </c>
      <c r="J2350" s="87">
        <f t="shared" si="2"/>
        <v>0</v>
      </c>
      <c r="K2350" s="84" t="str">
        <f t="shared" si="3"/>
        <v>Stabil</v>
      </c>
      <c r="L2350" s="84">
        <f t="shared" si="4"/>
        <v>0</v>
      </c>
      <c r="M2350" s="88" t="str">
        <f t="shared" si="5"/>
        <v>Perubahan Normal</v>
      </c>
    </row>
    <row r="2351" ht="18.75" customHeight="1">
      <c r="A2351" s="80" t="s">
        <v>335</v>
      </c>
      <c r="B2351" s="81" t="str">
        <f t="shared" si="1"/>
        <v>Kab Wonogiri</v>
      </c>
      <c r="C2351" s="81" t="str">
        <f t="array" ref="C2351">xlookup(B2351,Reference!$A$2:$A$152,Reference!$B$2:$B$152)</f>
        <v>Jawa Tengah</v>
      </c>
      <c r="D2351" s="82" t="s">
        <v>2790</v>
      </c>
      <c r="E2351" s="83">
        <v>45323.0</v>
      </c>
      <c r="F2351" s="91" t="str">
        <f t="array" ref="F2351">XLOOKUP(G2351,Reference!$F:$F,Reference!$D:$D,"null")</f>
        <v>Pendidikan dan Kesehatan</v>
      </c>
      <c r="G2351" s="85" t="s">
        <v>95</v>
      </c>
      <c r="H2351" s="86">
        <v>101.63</v>
      </c>
      <c r="I2351" s="86">
        <v>101.63</v>
      </c>
      <c r="J2351" s="87">
        <f t="shared" si="2"/>
        <v>0</v>
      </c>
      <c r="K2351" s="84" t="str">
        <f t="shared" si="3"/>
        <v>Stabil</v>
      </c>
      <c r="L2351" s="84">
        <f t="shared" si="4"/>
        <v>0</v>
      </c>
      <c r="M2351" s="88" t="str">
        <f t="shared" si="5"/>
        <v>Perubahan Normal</v>
      </c>
    </row>
    <row r="2352" ht="18.75" customHeight="1">
      <c r="A2352" s="80" t="s">
        <v>346</v>
      </c>
      <c r="B2352" s="81" t="str">
        <f t="shared" si="1"/>
        <v>Kab Timor Tengah Selatan</v>
      </c>
      <c r="C2352" s="81" t="str">
        <f t="array" ref="C2352">xlookup(B2352,Reference!$A$2:$A$152,Reference!$B$2:$B$152)</f>
        <v>Nusa Tenggara Timur (NTT)</v>
      </c>
      <c r="D2352" s="82" t="s">
        <v>2791</v>
      </c>
      <c r="E2352" s="83">
        <v>45323.0</v>
      </c>
      <c r="F2352" s="91" t="str">
        <f t="array" ref="F2352">XLOOKUP(G2352,Reference!$F:$F,Reference!$D:$D,"null")</f>
        <v>Rumah Tangga</v>
      </c>
      <c r="G2352" s="89" t="s">
        <v>89</v>
      </c>
      <c r="H2352" s="90">
        <v>99.87</v>
      </c>
      <c r="I2352" s="90">
        <v>99.87</v>
      </c>
      <c r="J2352" s="87">
        <f t="shared" si="2"/>
        <v>0</v>
      </c>
      <c r="K2352" s="84" t="str">
        <f t="shared" si="3"/>
        <v>Stabil</v>
      </c>
      <c r="L2352" s="91">
        <f t="shared" si="4"/>
        <v>0</v>
      </c>
      <c r="M2352" s="88" t="str">
        <f t="shared" si="5"/>
        <v>Perubahan Normal</v>
      </c>
    </row>
    <row r="2353" ht="18.75" customHeight="1">
      <c r="A2353" s="80" t="s">
        <v>346</v>
      </c>
      <c r="B2353" s="81" t="str">
        <f t="shared" si="1"/>
        <v>Kab Timor Tengah Selatan</v>
      </c>
      <c r="C2353" s="81" t="str">
        <f t="array" ref="C2353">xlookup(B2353,Reference!$A$2:$A$152,Reference!$B$2:$B$152)</f>
        <v>Nusa Tenggara Timur (NTT)</v>
      </c>
      <c r="D2353" s="82" t="s">
        <v>2792</v>
      </c>
      <c r="E2353" s="83">
        <v>45352.0</v>
      </c>
      <c r="F2353" s="91" t="str">
        <f t="array" ref="F2353">XLOOKUP(G2353,Reference!$F:$F,Reference!$D:$D,"null")</f>
        <v>Makanan dan Pakaian </v>
      </c>
      <c r="G2353" s="85" t="s">
        <v>64</v>
      </c>
      <c r="H2353" s="86">
        <v>99.82</v>
      </c>
      <c r="I2353" s="86">
        <v>99.82</v>
      </c>
      <c r="J2353" s="87">
        <f t="shared" si="2"/>
        <v>0</v>
      </c>
      <c r="K2353" s="84" t="str">
        <f t="shared" si="3"/>
        <v>Stabil</v>
      </c>
      <c r="L2353" s="84">
        <f t="shared" si="4"/>
        <v>0</v>
      </c>
      <c r="M2353" s="88" t="str">
        <f t="shared" si="5"/>
        <v>Perubahan Normal</v>
      </c>
    </row>
    <row r="2354" ht="18.75" customHeight="1">
      <c r="A2354" s="80" t="s">
        <v>628</v>
      </c>
      <c r="B2354" s="81" t="str">
        <f t="shared" si="1"/>
        <v>Watampone</v>
      </c>
      <c r="C2354" s="81" t="str">
        <f t="array" ref="C2354">xlookup(B2354,Reference!$A$2:$A$152,Reference!$B$2:$B$152)</f>
        <v>Sulawesi Selatan</v>
      </c>
      <c r="D2354" s="82" t="s">
        <v>2793</v>
      </c>
      <c r="E2354" s="83">
        <v>45323.0</v>
      </c>
      <c r="F2354" s="91" t="str">
        <f t="array" ref="F2354">XLOOKUP(G2354,Reference!$F:$F,Reference!$D:$D,"null")</f>
        <v>Pendidikan dan Kesehatan</v>
      </c>
      <c r="G2354" s="85" t="s">
        <v>98</v>
      </c>
      <c r="H2354" s="86">
        <v>101.47</v>
      </c>
      <c r="I2354" s="86">
        <v>101.47</v>
      </c>
      <c r="J2354" s="87">
        <f t="shared" si="2"/>
        <v>0</v>
      </c>
      <c r="K2354" s="84" t="str">
        <f t="shared" si="3"/>
        <v>Stabil</v>
      </c>
      <c r="L2354" s="84">
        <f t="shared" si="4"/>
        <v>0</v>
      </c>
      <c r="M2354" s="88" t="str">
        <f t="shared" si="5"/>
        <v>Perubahan Normal</v>
      </c>
    </row>
    <row r="2355" ht="18.75" customHeight="1">
      <c r="A2355" s="80" t="s">
        <v>340</v>
      </c>
      <c r="B2355" s="81" t="str">
        <f t="shared" si="1"/>
        <v>Kab Rembang</v>
      </c>
      <c r="C2355" s="81" t="str">
        <f t="array" ref="C2355">xlookup(B2355,Reference!$A$2:$A$152,Reference!$B$2:$B$152)</f>
        <v>Jawa Tengah</v>
      </c>
      <c r="D2355" s="82" t="s">
        <v>2794</v>
      </c>
      <c r="E2355" s="83">
        <v>45352.0</v>
      </c>
      <c r="F2355" s="91" t="str">
        <f t="array" ref="F2355">XLOOKUP(G2355,Reference!$F:$F,Reference!$D:$D,"null")</f>
        <v>Rumah Tangga</v>
      </c>
      <c r="G2355" s="85" t="s">
        <v>80</v>
      </c>
      <c r="H2355" s="86">
        <v>110.14</v>
      </c>
      <c r="I2355" s="86">
        <v>106.2</v>
      </c>
      <c r="J2355" s="87">
        <f t="shared" si="2"/>
        <v>3.709981168</v>
      </c>
      <c r="K2355" s="84" t="str">
        <f t="shared" si="3"/>
        <v>Inflasi Tinggi</v>
      </c>
      <c r="L2355" s="84">
        <f t="shared" si="4"/>
        <v>3.94</v>
      </c>
      <c r="M2355" s="88" t="str">
        <f t="shared" si="5"/>
        <v>Akselerasi Kuat</v>
      </c>
    </row>
    <row r="2356" ht="18.75" customHeight="1">
      <c r="A2356" s="80" t="s">
        <v>448</v>
      </c>
      <c r="B2356" s="81" t="str">
        <f t="shared" si="1"/>
        <v>Tanjung Selor</v>
      </c>
      <c r="C2356" s="81" t="str">
        <f t="array" ref="C2356">xlookup(B2356,Reference!$A$2:$A$152,Reference!$B$2:$B$152)</f>
        <v>Kalimantan Utara</v>
      </c>
      <c r="D2356" s="82" t="s">
        <v>2795</v>
      </c>
      <c r="E2356" s="83">
        <v>45323.0</v>
      </c>
      <c r="F2356" s="91" t="str">
        <f t="array" ref="F2356">XLOOKUP(G2356,Reference!$F:$F,Reference!$D:$D,"null")</f>
        <v>Makanan dan Pakaian </v>
      </c>
      <c r="G2356" s="85" t="s">
        <v>64</v>
      </c>
      <c r="H2356" s="86">
        <v>100.48</v>
      </c>
      <c r="I2356" s="86">
        <v>100.48</v>
      </c>
      <c r="J2356" s="87">
        <f t="shared" si="2"/>
        <v>0</v>
      </c>
      <c r="K2356" s="84" t="str">
        <f t="shared" si="3"/>
        <v>Stabil</v>
      </c>
      <c r="L2356" s="84">
        <f t="shared" si="4"/>
        <v>0</v>
      </c>
      <c r="M2356" s="88" t="str">
        <f t="shared" si="5"/>
        <v>Perubahan Normal</v>
      </c>
    </row>
    <row r="2357" ht="18.75" customHeight="1">
      <c r="A2357" s="80" t="s">
        <v>308</v>
      </c>
      <c r="B2357" s="81" t="str">
        <f t="shared" si="1"/>
        <v>Kab Sukamara</v>
      </c>
      <c r="C2357" s="81" t="str">
        <f t="array" ref="C2357">xlookup(B2357,Reference!$A$2:$A$152,Reference!$B$2:$B$152)</f>
        <v>Kalimantan Tengah</v>
      </c>
      <c r="D2357" s="82" t="s">
        <v>2796</v>
      </c>
      <c r="E2357" s="83">
        <v>45323.0</v>
      </c>
      <c r="F2357" s="91" t="str">
        <f t="array" ref="F2357">XLOOKUP(G2357,Reference!$F:$F,Reference!$D:$D,"null")</f>
        <v>Pendidikan dan Kesehatan</v>
      </c>
      <c r="G2357" s="85" t="s">
        <v>95</v>
      </c>
      <c r="H2357" s="86">
        <v>100.0</v>
      </c>
      <c r="I2357" s="86">
        <v>100.0</v>
      </c>
      <c r="J2357" s="87">
        <f t="shared" si="2"/>
        <v>0</v>
      </c>
      <c r="K2357" s="84" t="str">
        <f t="shared" si="3"/>
        <v>Stabil</v>
      </c>
      <c r="L2357" s="84">
        <f t="shared" si="4"/>
        <v>0</v>
      </c>
      <c r="M2357" s="88" t="str">
        <f t="shared" si="5"/>
        <v>Perubahan Normal</v>
      </c>
    </row>
    <row r="2358" ht="18.75" customHeight="1">
      <c r="A2358" s="80" t="s">
        <v>471</v>
      </c>
      <c r="B2358" s="81" t="str">
        <f t="shared" si="1"/>
        <v>Kab Gunungkidul</v>
      </c>
      <c r="C2358" s="81" t="str">
        <f t="array" ref="C2358">xlookup(B2358,Reference!$A$2:$A$152,Reference!$B$2:$B$152)</f>
        <v>D.I. Yogyakarta</v>
      </c>
      <c r="D2358" s="82" t="s">
        <v>2797</v>
      </c>
      <c r="E2358" s="83">
        <v>45323.0</v>
      </c>
      <c r="F2358" s="91" t="str">
        <f t="array" ref="F2358">XLOOKUP(G2358,Reference!$F:$F,Reference!$D:$D,"null")</f>
        <v>Rumah Tangga</v>
      </c>
      <c r="G2358" s="85" t="s">
        <v>89</v>
      </c>
      <c r="H2358" s="86">
        <v>101.98</v>
      </c>
      <c r="I2358" s="86">
        <v>101.98</v>
      </c>
      <c r="J2358" s="87">
        <f t="shared" si="2"/>
        <v>0</v>
      </c>
      <c r="K2358" s="84" t="str">
        <f t="shared" si="3"/>
        <v>Stabil</v>
      </c>
      <c r="L2358" s="84">
        <f t="shared" si="4"/>
        <v>0</v>
      </c>
      <c r="M2358" s="88" t="str">
        <f t="shared" si="5"/>
        <v>Perubahan Normal</v>
      </c>
    </row>
    <row r="2359" ht="18.75" customHeight="1">
      <c r="A2359" s="80" t="s">
        <v>764</v>
      </c>
      <c r="B2359" s="81" t="str">
        <f t="shared" si="1"/>
        <v>Kota Madiun</v>
      </c>
      <c r="C2359" s="81" t="str">
        <f t="array" ref="C2359">xlookup(B2359,Reference!$A$2:$A$152,Reference!$B$2:$B$152)</f>
        <v>Jawa Timur</v>
      </c>
      <c r="D2359" s="82" t="s">
        <v>2798</v>
      </c>
      <c r="E2359" s="83">
        <v>45323.0</v>
      </c>
      <c r="F2359" s="91" t="str">
        <f t="array" ref="F2359">XLOOKUP(G2359,Reference!$F:$F,Reference!$D:$D,"null")</f>
        <v>Rumah Tangga</v>
      </c>
      <c r="G2359" s="85" t="s">
        <v>80</v>
      </c>
      <c r="H2359" s="86">
        <v>100.28</v>
      </c>
      <c r="I2359" s="86">
        <v>100.28</v>
      </c>
      <c r="J2359" s="87">
        <f t="shared" si="2"/>
        <v>0</v>
      </c>
      <c r="K2359" s="84" t="str">
        <f t="shared" si="3"/>
        <v>Stabil</v>
      </c>
      <c r="L2359" s="84">
        <f t="shared" si="4"/>
        <v>0</v>
      </c>
      <c r="M2359" s="88" t="str">
        <f t="shared" si="5"/>
        <v>Perubahan Normal</v>
      </c>
    </row>
    <row r="2360" ht="18.75" customHeight="1">
      <c r="A2360" s="80" t="s">
        <v>314</v>
      </c>
      <c r="B2360" s="81" t="str">
        <f t="shared" si="1"/>
        <v>Kota Jayapura</v>
      </c>
      <c r="C2360" s="81" t="str">
        <f t="array" ref="C2360">xlookup(B2360,Reference!$A$2:$A$152,Reference!$B$2:$B$152)</f>
        <v>Papua</v>
      </c>
      <c r="D2360" s="82" t="s">
        <v>2799</v>
      </c>
      <c r="E2360" s="83">
        <v>45352.0</v>
      </c>
      <c r="F2360" s="91" t="str">
        <f t="array" ref="F2360">XLOOKUP(G2360,Reference!$F:$F,Reference!$D:$D,"null")</f>
        <v>Rumah Tangga</v>
      </c>
      <c r="G2360" s="85" t="s">
        <v>89</v>
      </c>
      <c r="H2360" s="86">
        <v>103.58</v>
      </c>
      <c r="I2360" s="86">
        <v>102.74</v>
      </c>
      <c r="J2360" s="87">
        <f t="shared" si="2"/>
        <v>0.8175978197</v>
      </c>
      <c r="K2360" s="84" t="str">
        <f t="shared" si="3"/>
        <v>Inflasi Tinggi</v>
      </c>
      <c r="L2360" s="84">
        <f t="shared" si="4"/>
        <v>0.84</v>
      </c>
      <c r="M2360" s="88" t="str">
        <f t="shared" si="5"/>
        <v>Akselerasi Persentase</v>
      </c>
    </row>
    <row r="2361" ht="18.75" customHeight="1">
      <c r="A2361" s="80" t="s">
        <v>329</v>
      </c>
      <c r="B2361" s="81" t="str">
        <f t="shared" si="1"/>
        <v>Kab Penajam Paser Utara</v>
      </c>
      <c r="C2361" s="81" t="str">
        <f t="array" ref="C2361">xlookup(B2361,Reference!$A$2:$A$152,Reference!$B$2:$B$152)</f>
        <v>Kalimantan Timur</v>
      </c>
      <c r="D2361" s="82" t="s">
        <v>2800</v>
      </c>
      <c r="E2361" s="83">
        <v>45352.0</v>
      </c>
      <c r="F2361" s="91" t="str">
        <f t="array" ref="F2361">XLOOKUP(G2361,Reference!$F:$F,Reference!$D:$D,"null")</f>
        <v>Rumah Tangga</v>
      </c>
      <c r="G2361" s="85" t="s">
        <v>89</v>
      </c>
      <c r="H2361" s="86">
        <v>99.52</v>
      </c>
      <c r="I2361" s="86">
        <v>99.52</v>
      </c>
      <c r="J2361" s="87">
        <f t="shared" si="2"/>
        <v>0</v>
      </c>
      <c r="K2361" s="84" t="str">
        <f t="shared" si="3"/>
        <v>Stabil</v>
      </c>
      <c r="L2361" s="84">
        <f t="shared" si="4"/>
        <v>0</v>
      </c>
      <c r="M2361" s="88" t="str">
        <f t="shared" si="5"/>
        <v>Perubahan Normal</v>
      </c>
    </row>
    <row r="2362" ht="18.75" customHeight="1">
      <c r="A2362" s="80" t="s">
        <v>571</v>
      </c>
      <c r="B2362" s="81" t="str">
        <f t="shared" si="1"/>
        <v>Kota Sorong</v>
      </c>
      <c r="C2362" s="81" t="str">
        <f t="array" ref="C2362">xlookup(B2362,Reference!$A$2:$A$152,Reference!$B$2:$B$152)</f>
        <v>Papua Barat Daya</v>
      </c>
      <c r="D2362" s="82" t="s">
        <v>2801</v>
      </c>
      <c r="E2362" s="83">
        <v>45323.0</v>
      </c>
      <c r="F2362" s="91" t="str">
        <f t="array" ref="F2362">XLOOKUP(G2362,Reference!$F:$F,Reference!$D:$D,"null")</f>
        <v>Rumah Tangga</v>
      </c>
      <c r="G2362" s="85" t="s">
        <v>84</v>
      </c>
      <c r="H2362" s="86">
        <v>103.34</v>
      </c>
      <c r="I2362" s="86">
        <v>103.34</v>
      </c>
      <c r="J2362" s="87">
        <f t="shared" si="2"/>
        <v>0</v>
      </c>
      <c r="K2362" s="84" t="str">
        <f t="shared" si="3"/>
        <v>Stabil</v>
      </c>
      <c r="L2362" s="84">
        <f t="shared" si="4"/>
        <v>0</v>
      </c>
      <c r="M2362" s="88" t="str">
        <f t="shared" si="5"/>
        <v>Perubahan Normal</v>
      </c>
    </row>
    <row r="2363" ht="18.75" customHeight="1">
      <c r="A2363" s="80" t="s">
        <v>370</v>
      </c>
      <c r="B2363" s="81" t="str">
        <f t="shared" si="1"/>
        <v>Jember</v>
      </c>
      <c r="C2363" s="81" t="str">
        <f t="array" ref="C2363">xlookup(B2363,Reference!$A$2:$A$152,Reference!$B$2:$B$152)</f>
        <v>Jawa Timur</v>
      </c>
      <c r="D2363" s="82" t="s">
        <v>2802</v>
      </c>
      <c r="E2363" s="83">
        <v>45352.0</v>
      </c>
      <c r="F2363" s="91" t="str">
        <f t="array" ref="F2363">XLOOKUP(G2363,Reference!$F:$F,Reference!$D:$D,"null")</f>
        <v>Rekreasi dan Kendaraan</v>
      </c>
      <c r="G2363" s="85" t="s">
        <v>105</v>
      </c>
      <c r="H2363" s="86">
        <v>100.76</v>
      </c>
      <c r="I2363" s="86">
        <v>100.76</v>
      </c>
      <c r="J2363" s="87">
        <f t="shared" si="2"/>
        <v>0</v>
      </c>
      <c r="K2363" s="84" t="str">
        <f t="shared" si="3"/>
        <v>Stabil</v>
      </c>
      <c r="L2363" s="84">
        <f t="shared" si="4"/>
        <v>0</v>
      </c>
      <c r="M2363" s="88" t="str">
        <f t="shared" si="5"/>
        <v>Perubahan Normal</v>
      </c>
    </row>
    <row r="2364" ht="18.75" customHeight="1">
      <c r="A2364" s="80" t="s">
        <v>382</v>
      </c>
      <c r="B2364" s="81" t="str">
        <f t="shared" si="1"/>
        <v>Kab Ngada</v>
      </c>
      <c r="C2364" s="81" t="str">
        <f t="array" ref="C2364">xlookup(B2364,Reference!$A$2:$A$152,Reference!$B$2:$B$152)</f>
        <v>Nusa Tenggara Timur (NTT)</v>
      </c>
      <c r="D2364" s="82" t="s">
        <v>2803</v>
      </c>
      <c r="E2364" s="83">
        <v>45323.0</v>
      </c>
      <c r="F2364" s="91" t="str">
        <f t="array" ref="F2364">XLOOKUP(G2364,Reference!$F:$F,Reference!$D:$D,"null")</f>
        <v>Rumah Tangga</v>
      </c>
      <c r="G2364" s="85" t="s">
        <v>80</v>
      </c>
      <c r="H2364" s="86">
        <v>100.9</v>
      </c>
      <c r="I2364" s="86">
        <v>100.9</v>
      </c>
      <c r="J2364" s="87">
        <f t="shared" si="2"/>
        <v>0</v>
      </c>
      <c r="K2364" s="84" t="str">
        <f t="shared" si="3"/>
        <v>Stabil</v>
      </c>
      <c r="L2364" s="84">
        <f t="shared" si="4"/>
        <v>0</v>
      </c>
      <c r="M2364" s="88" t="str">
        <f t="shared" si="5"/>
        <v>Perubahan Normal</v>
      </c>
    </row>
    <row r="2365" ht="18.75" customHeight="1">
      <c r="A2365" s="80" t="s">
        <v>438</v>
      </c>
      <c r="B2365" s="81" t="str">
        <f t="shared" si="1"/>
        <v>Kab Muara Enim</v>
      </c>
      <c r="C2365" s="81" t="str">
        <f t="array" ref="C2365">xlookup(B2365,Reference!$A$2:$A$152,Reference!$B$2:$B$152)</f>
        <v>Sumatera Selatan</v>
      </c>
      <c r="D2365" s="82" t="s">
        <v>2804</v>
      </c>
      <c r="E2365" s="83">
        <v>45323.0</v>
      </c>
      <c r="F2365" s="91" t="str">
        <f t="array" ref="F2365">XLOOKUP(G2365,Reference!$F:$F,Reference!$D:$D,"null")</f>
        <v>Rekreasi dan Kendaraan</v>
      </c>
      <c r="G2365" s="85" t="s">
        <v>105</v>
      </c>
      <c r="H2365" s="86">
        <v>103.03</v>
      </c>
      <c r="I2365" s="86">
        <v>103.08</v>
      </c>
      <c r="J2365" s="87">
        <f t="shared" si="2"/>
        <v>-0.04850601475</v>
      </c>
      <c r="K2365" s="84" t="str">
        <f t="shared" si="3"/>
        <v>Deflasi</v>
      </c>
      <c r="L2365" s="84">
        <f t="shared" si="4"/>
        <v>-0.05</v>
      </c>
      <c r="M2365" s="88" t="str">
        <f t="shared" si="5"/>
        <v>Perubahan Normal</v>
      </c>
    </row>
    <row r="2366" ht="18.75" customHeight="1">
      <c r="A2366" s="80" t="s">
        <v>456</v>
      </c>
      <c r="B2366" s="81" t="str">
        <f t="shared" si="1"/>
        <v>Kab Aceh Tamiang</v>
      </c>
      <c r="C2366" s="81" t="str">
        <f t="array" ref="C2366">xlookup(B2366,Reference!$A$2:$A$152,Reference!$B$2:$B$152)</f>
        <v>Aceh</v>
      </c>
      <c r="D2366" s="82" t="s">
        <v>2805</v>
      </c>
      <c r="E2366" s="83">
        <v>45323.0</v>
      </c>
      <c r="F2366" s="91" t="str">
        <f t="array" ref="F2366">XLOOKUP(G2366,Reference!$F:$F,Reference!$D:$D,"null")</f>
        <v>Rekreasi dan Kendaraan</v>
      </c>
      <c r="G2366" s="85" t="s">
        <v>105</v>
      </c>
      <c r="H2366" s="86">
        <v>104.38</v>
      </c>
      <c r="I2366" s="86">
        <v>104.27</v>
      </c>
      <c r="J2366" s="87">
        <f t="shared" si="2"/>
        <v>0.1054953486</v>
      </c>
      <c r="K2366" s="84" t="str">
        <f t="shared" si="3"/>
        <v>Inflasi Normal</v>
      </c>
      <c r="L2366" s="84">
        <f t="shared" si="4"/>
        <v>0.11</v>
      </c>
      <c r="M2366" s="88" t="str">
        <f t="shared" si="5"/>
        <v>Perubahan Normal</v>
      </c>
    </row>
    <row r="2367" ht="18.75" customHeight="1">
      <c r="A2367" s="80" t="s">
        <v>600</v>
      </c>
      <c r="B2367" s="81" t="str">
        <f t="shared" si="1"/>
        <v>Kota Banda Aceh</v>
      </c>
      <c r="C2367" s="81" t="str">
        <f t="array" ref="C2367">xlookup(B2367,Reference!$A$2:$A$152,Reference!$B$2:$B$152)</f>
        <v>Aceh</v>
      </c>
      <c r="D2367" s="82" t="s">
        <v>2806</v>
      </c>
      <c r="E2367" s="83">
        <v>45352.0</v>
      </c>
      <c r="F2367" s="91" t="str">
        <f t="array" ref="F2367">XLOOKUP(G2367,Reference!$F:$F,Reference!$D:$D,"null")</f>
        <v>Pendidikan dan Kesehatan</v>
      </c>
      <c r="G2367" s="85" t="s">
        <v>98</v>
      </c>
      <c r="H2367" s="86">
        <v>106.95</v>
      </c>
      <c r="I2367" s="86">
        <v>106.63</v>
      </c>
      <c r="J2367" s="87">
        <f t="shared" si="2"/>
        <v>0.3001031605</v>
      </c>
      <c r="K2367" s="84" t="str">
        <f t="shared" si="3"/>
        <v>Inflasi Normal</v>
      </c>
      <c r="L2367" s="84">
        <f t="shared" si="4"/>
        <v>0.32</v>
      </c>
      <c r="M2367" s="88" t="str">
        <f t="shared" si="5"/>
        <v>Perubahan Normal</v>
      </c>
    </row>
    <row r="2368" ht="18.75" customHeight="1">
      <c r="A2368" s="80" t="s">
        <v>346</v>
      </c>
      <c r="B2368" s="81" t="str">
        <f t="shared" si="1"/>
        <v>Kab Timor Tengah Selatan</v>
      </c>
      <c r="C2368" s="81" t="str">
        <f t="array" ref="C2368">xlookup(B2368,Reference!$A$2:$A$152,Reference!$B$2:$B$152)</f>
        <v>Nusa Tenggara Timur (NTT)</v>
      </c>
      <c r="D2368" s="82" t="s">
        <v>2807</v>
      </c>
      <c r="E2368" s="83">
        <v>45323.0</v>
      </c>
      <c r="F2368" s="91" t="str">
        <f t="array" ref="F2368">XLOOKUP(G2368,Reference!$F:$F,Reference!$D:$D,"null")</f>
        <v>Makanan dan Pakaian </v>
      </c>
      <c r="G2368" s="85" t="s">
        <v>56</v>
      </c>
      <c r="H2368" s="86">
        <v>95.77</v>
      </c>
      <c r="I2368" s="86">
        <v>95.77</v>
      </c>
      <c r="J2368" s="87">
        <f t="shared" si="2"/>
        <v>0</v>
      </c>
      <c r="K2368" s="84" t="str">
        <f t="shared" si="3"/>
        <v>Stabil</v>
      </c>
      <c r="L2368" s="84">
        <f t="shared" si="4"/>
        <v>0</v>
      </c>
      <c r="M2368" s="88" t="str">
        <f t="shared" si="5"/>
        <v>Perubahan Normal</v>
      </c>
    </row>
    <row r="2369" ht="18.75" customHeight="1">
      <c r="A2369" s="80" t="s">
        <v>731</v>
      </c>
      <c r="B2369" s="81" t="str">
        <f t="shared" si="1"/>
        <v>Kab Hulu Sungai Tengah</v>
      </c>
      <c r="C2369" s="81" t="str">
        <f t="array" ref="C2369">xlookup(B2369,Reference!$A$2:$A$152,Reference!$B$2:$B$152)</f>
        <v>Kalimantan Selatan</v>
      </c>
      <c r="D2369" s="82" t="s">
        <v>2808</v>
      </c>
      <c r="E2369" s="83">
        <v>45323.0</v>
      </c>
      <c r="F2369" s="91" t="str">
        <f t="array" ref="F2369">XLOOKUP(G2369,Reference!$F:$F,Reference!$D:$D,"null")</f>
        <v>Pendidikan dan Kesehatan</v>
      </c>
      <c r="G2369" s="89" t="s">
        <v>98</v>
      </c>
      <c r="H2369" s="90">
        <v>102.68</v>
      </c>
      <c r="I2369" s="90">
        <v>102.68</v>
      </c>
      <c r="J2369" s="87">
        <f t="shared" si="2"/>
        <v>0</v>
      </c>
      <c r="K2369" s="84" t="str">
        <f t="shared" si="3"/>
        <v>Stabil</v>
      </c>
      <c r="L2369" s="91">
        <f t="shared" si="4"/>
        <v>0</v>
      </c>
      <c r="M2369" s="88" t="str">
        <f t="shared" si="5"/>
        <v>Perubahan Normal</v>
      </c>
    </row>
    <row r="2370" ht="18.75" customHeight="1">
      <c r="A2370" s="80" t="s">
        <v>576</v>
      </c>
      <c r="B2370" s="81" t="str">
        <f t="shared" si="1"/>
        <v>Kab Tabanan</v>
      </c>
      <c r="C2370" s="81" t="str">
        <f t="array" ref="C2370">xlookup(B2370,Reference!$A$2:$A$152,Reference!$B$2:$B$152)</f>
        <v>Bali</v>
      </c>
      <c r="D2370" s="82" t="s">
        <v>2809</v>
      </c>
      <c r="E2370" s="83">
        <v>45352.0</v>
      </c>
      <c r="F2370" s="91" t="str">
        <f t="array" ref="F2370">XLOOKUP(G2370,Reference!$F:$F,Reference!$D:$D,"null")</f>
        <v>Rumah Tangga</v>
      </c>
      <c r="G2370" s="85" t="s">
        <v>80</v>
      </c>
      <c r="H2370" s="86">
        <v>102.32</v>
      </c>
      <c r="I2370" s="86">
        <v>101.55</v>
      </c>
      <c r="J2370" s="87">
        <f t="shared" si="2"/>
        <v>0.7582471689</v>
      </c>
      <c r="K2370" s="84" t="str">
        <f t="shared" si="3"/>
        <v>Inflasi Tinggi</v>
      </c>
      <c r="L2370" s="84">
        <f t="shared" si="4"/>
        <v>0.77</v>
      </c>
      <c r="M2370" s="88" t="str">
        <f t="shared" si="5"/>
        <v>Akselerasi Persentase</v>
      </c>
    </row>
    <row r="2371" ht="18.75" customHeight="1">
      <c r="A2371" s="80" t="s">
        <v>764</v>
      </c>
      <c r="B2371" s="81" t="str">
        <f t="shared" si="1"/>
        <v>Kota Madiun</v>
      </c>
      <c r="C2371" s="81" t="str">
        <f t="array" ref="C2371">xlookup(B2371,Reference!$A$2:$A$152,Reference!$B$2:$B$152)</f>
        <v>Jawa Timur</v>
      </c>
      <c r="D2371" s="82" t="s">
        <v>2810</v>
      </c>
      <c r="E2371" s="83">
        <v>45323.0</v>
      </c>
      <c r="F2371" s="91" t="str">
        <f t="array" ref="F2371">XLOOKUP(G2371,Reference!$F:$F,Reference!$D:$D,"null")</f>
        <v>Makanan dan Pakaian </v>
      </c>
      <c r="G2371" s="85" t="s">
        <v>72</v>
      </c>
      <c r="H2371" s="86">
        <v>101.58</v>
      </c>
      <c r="I2371" s="86">
        <v>101.58</v>
      </c>
      <c r="J2371" s="87">
        <f t="shared" si="2"/>
        <v>0</v>
      </c>
      <c r="K2371" s="84" t="str">
        <f t="shared" si="3"/>
        <v>Stabil</v>
      </c>
      <c r="L2371" s="84">
        <f t="shared" si="4"/>
        <v>0</v>
      </c>
      <c r="M2371" s="88" t="str">
        <f t="shared" si="5"/>
        <v>Perubahan Normal</v>
      </c>
    </row>
    <row r="2372" ht="18.75" customHeight="1">
      <c r="A2372" s="80" t="s">
        <v>349</v>
      </c>
      <c r="B2372" s="81" t="str">
        <f t="shared" si="1"/>
        <v>Kota Banjarmasin</v>
      </c>
      <c r="C2372" s="81" t="str">
        <f t="array" ref="C2372">xlookup(B2372,Reference!$A$2:$A$152,Reference!$B$2:$B$152)</f>
        <v>Kalimantan Selatan</v>
      </c>
      <c r="D2372" s="82" t="s">
        <v>2811</v>
      </c>
      <c r="E2372" s="83">
        <v>45323.0</v>
      </c>
      <c r="F2372" s="91" t="str">
        <f t="array" ref="F2372">XLOOKUP(G2372,Reference!$F:$F,Reference!$D:$D,"null")</f>
        <v>Makanan dan Pakaian </v>
      </c>
      <c r="G2372" s="85" t="s">
        <v>64</v>
      </c>
      <c r="H2372" s="86">
        <v>105.53</v>
      </c>
      <c r="I2372" s="86">
        <v>105.42</v>
      </c>
      <c r="J2372" s="87">
        <f t="shared" si="2"/>
        <v>0.1043445267</v>
      </c>
      <c r="K2372" s="84" t="str">
        <f t="shared" si="3"/>
        <v>Inflasi Normal</v>
      </c>
      <c r="L2372" s="84">
        <f t="shared" si="4"/>
        <v>0.11</v>
      </c>
      <c r="M2372" s="88" t="str">
        <f t="shared" si="5"/>
        <v>Perubahan Normal</v>
      </c>
    </row>
    <row r="2373" ht="18.75" customHeight="1">
      <c r="A2373" s="80" t="s">
        <v>349</v>
      </c>
      <c r="B2373" s="81" t="str">
        <f t="shared" si="1"/>
        <v>Kota Banjarmasin</v>
      </c>
      <c r="C2373" s="81" t="str">
        <f t="array" ref="C2373">xlookup(B2373,Reference!$A$2:$A$152,Reference!$B$2:$B$152)</f>
        <v>Kalimantan Selatan</v>
      </c>
      <c r="D2373" s="82" t="s">
        <v>2812</v>
      </c>
      <c r="E2373" s="83">
        <v>45352.0</v>
      </c>
      <c r="F2373" s="91" t="str">
        <f t="array" ref="F2373">XLOOKUP(G2373,Reference!$F:$F,Reference!$D:$D,"null")</f>
        <v>Rumah Tangga</v>
      </c>
      <c r="G2373" s="85" t="s">
        <v>80</v>
      </c>
      <c r="H2373" s="86">
        <v>102.63</v>
      </c>
      <c r="I2373" s="86">
        <v>102.63</v>
      </c>
      <c r="J2373" s="87">
        <f t="shared" si="2"/>
        <v>0</v>
      </c>
      <c r="K2373" s="84" t="str">
        <f t="shared" si="3"/>
        <v>Stabil</v>
      </c>
      <c r="L2373" s="84">
        <f t="shared" si="4"/>
        <v>0</v>
      </c>
      <c r="M2373" s="88" t="str">
        <f t="shared" si="5"/>
        <v>Perubahan Normal</v>
      </c>
    </row>
    <row r="2374" ht="18.75" customHeight="1">
      <c r="A2374" s="80" t="s">
        <v>429</v>
      </c>
      <c r="B2374" s="81" t="str">
        <f t="shared" si="1"/>
        <v>Kab Nabire</v>
      </c>
      <c r="C2374" s="81" t="str">
        <f t="array" ref="C2374">xlookup(B2374,Reference!$A$2:$A$152,Reference!$B$2:$B$152)</f>
        <v>Papua</v>
      </c>
      <c r="D2374" s="82" t="s">
        <v>2813</v>
      </c>
      <c r="E2374" s="83">
        <v>45323.0</v>
      </c>
      <c r="F2374" s="91" t="str">
        <f t="array" ref="F2374">XLOOKUP(G2374,Reference!$F:$F,Reference!$D:$D,"null")</f>
        <v>Makanan dan Pakaian </v>
      </c>
      <c r="G2374" s="85" t="s">
        <v>72</v>
      </c>
      <c r="H2374" s="86">
        <v>108.61</v>
      </c>
      <c r="I2374" s="86">
        <v>108.61</v>
      </c>
      <c r="J2374" s="87">
        <f t="shared" si="2"/>
        <v>0</v>
      </c>
      <c r="K2374" s="84" t="str">
        <f t="shared" si="3"/>
        <v>Stabil</v>
      </c>
      <c r="L2374" s="84">
        <f t="shared" si="4"/>
        <v>0</v>
      </c>
      <c r="M2374" s="88" t="str">
        <f t="shared" si="5"/>
        <v>Perubahan Normal</v>
      </c>
    </row>
    <row r="2375" ht="18.75" customHeight="1">
      <c r="A2375" s="80" t="s">
        <v>324</v>
      </c>
      <c r="B2375" s="81" t="str">
        <f t="shared" si="1"/>
        <v>Kab Nunukan</v>
      </c>
      <c r="C2375" s="81" t="str">
        <f t="array" ref="C2375">xlookup(B2375,Reference!$A$2:$A$152,Reference!$B$2:$B$152)</f>
        <v>Kalimantan Utara</v>
      </c>
      <c r="D2375" s="82" t="s">
        <v>2814</v>
      </c>
      <c r="E2375" s="83">
        <v>45323.0</v>
      </c>
      <c r="F2375" s="91" t="str">
        <f t="array" ref="F2375">XLOOKUP(G2375,Reference!$F:$F,Reference!$D:$D,"null")</f>
        <v>Rumah Tangga</v>
      </c>
      <c r="G2375" s="85" t="s">
        <v>89</v>
      </c>
      <c r="H2375" s="86">
        <v>96.83</v>
      </c>
      <c r="I2375" s="86">
        <v>96.83</v>
      </c>
      <c r="J2375" s="87">
        <f t="shared" si="2"/>
        <v>0</v>
      </c>
      <c r="K2375" s="84" t="str">
        <f t="shared" si="3"/>
        <v>Stabil</v>
      </c>
      <c r="L2375" s="84">
        <f t="shared" si="4"/>
        <v>0</v>
      </c>
      <c r="M2375" s="88" t="str">
        <f t="shared" si="5"/>
        <v>Perubahan Normal</v>
      </c>
    </row>
    <row r="2376" ht="18.75" customHeight="1">
      <c r="A2376" s="80" t="s">
        <v>488</v>
      </c>
      <c r="B2376" s="81" t="str">
        <f t="shared" si="1"/>
        <v>Kab Muko Muko</v>
      </c>
      <c r="C2376" s="81" t="str">
        <f t="array" ref="C2376">xlookup(B2376,Reference!$A$2:$A$152,Reference!$B$2:$B$152)</f>
        <v>Bengkulu</v>
      </c>
      <c r="D2376" s="82" t="s">
        <v>2815</v>
      </c>
      <c r="E2376" s="83">
        <v>45323.0</v>
      </c>
      <c r="F2376" s="91" t="str">
        <f t="array" ref="F2376">XLOOKUP(G2376,Reference!$F:$F,Reference!$D:$D,"null")</f>
        <v>Pendidikan dan Kesehatan</v>
      </c>
      <c r="G2376" s="85" t="s">
        <v>98</v>
      </c>
      <c r="H2376" s="86">
        <v>108.25</v>
      </c>
      <c r="I2376" s="86">
        <v>108.25</v>
      </c>
      <c r="J2376" s="87">
        <f t="shared" si="2"/>
        <v>0</v>
      </c>
      <c r="K2376" s="84" t="str">
        <f t="shared" si="3"/>
        <v>Stabil</v>
      </c>
      <c r="L2376" s="84">
        <f t="shared" si="4"/>
        <v>0</v>
      </c>
      <c r="M2376" s="88" t="str">
        <f t="shared" si="5"/>
        <v>Perubahan Normal</v>
      </c>
    </row>
    <row r="2377" ht="18.75" customHeight="1">
      <c r="A2377" s="80" t="s">
        <v>454</v>
      </c>
      <c r="B2377" s="81" t="str">
        <f t="shared" si="1"/>
        <v>Kab Ketapang</v>
      </c>
      <c r="C2377" s="81" t="str">
        <f t="array" ref="C2377">xlookup(B2377,Reference!$A$2:$A$152,Reference!$B$2:$B$152)</f>
        <v>Kalimantan Barat</v>
      </c>
      <c r="D2377" s="82" t="s">
        <v>2816</v>
      </c>
      <c r="E2377" s="83">
        <v>45323.0</v>
      </c>
      <c r="F2377" s="91" t="str">
        <f t="array" ref="F2377">XLOOKUP(G2377,Reference!$F:$F,Reference!$D:$D,"null")</f>
        <v>Rumah Tangga</v>
      </c>
      <c r="G2377" s="85" t="s">
        <v>89</v>
      </c>
      <c r="H2377" s="86">
        <v>104.86</v>
      </c>
      <c r="I2377" s="86">
        <v>104.86</v>
      </c>
      <c r="J2377" s="87">
        <f t="shared" si="2"/>
        <v>0</v>
      </c>
      <c r="K2377" s="84" t="str">
        <f t="shared" si="3"/>
        <v>Stabil</v>
      </c>
      <c r="L2377" s="84">
        <f t="shared" si="4"/>
        <v>0</v>
      </c>
      <c r="M2377" s="88" t="str">
        <f t="shared" si="5"/>
        <v>Perubahan Normal</v>
      </c>
    </row>
    <row r="2378" ht="18.75" customHeight="1">
      <c r="A2378" s="80" t="s">
        <v>308</v>
      </c>
      <c r="B2378" s="81" t="str">
        <f t="shared" si="1"/>
        <v>Kab Sukamara</v>
      </c>
      <c r="C2378" s="81" t="str">
        <f t="array" ref="C2378">xlookup(B2378,Reference!$A$2:$A$152,Reference!$B$2:$B$152)</f>
        <v>Kalimantan Tengah</v>
      </c>
      <c r="D2378" s="82" t="s">
        <v>2817</v>
      </c>
      <c r="E2378" s="83">
        <v>45323.0</v>
      </c>
      <c r="F2378" s="91" t="str">
        <f t="array" ref="F2378">XLOOKUP(G2378,Reference!$F:$F,Reference!$D:$D,"null")</f>
        <v>Rumah Tangga</v>
      </c>
      <c r="G2378" s="85" t="s">
        <v>89</v>
      </c>
      <c r="H2378" s="86">
        <v>101.99</v>
      </c>
      <c r="I2378" s="86">
        <v>101.99</v>
      </c>
      <c r="J2378" s="87">
        <f t="shared" si="2"/>
        <v>0</v>
      </c>
      <c r="K2378" s="84" t="str">
        <f t="shared" si="3"/>
        <v>Stabil</v>
      </c>
      <c r="L2378" s="84">
        <f t="shared" si="4"/>
        <v>0</v>
      </c>
      <c r="M2378" s="88" t="str">
        <f t="shared" si="5"/>
        <v>Perubahan Normal</v>
      </c>
    </row>
    <row r="2379" ht="18.75" customHeight="1">
      <c r="A2379" s="80" t="s">
        <v>483</v>
      </c>
      <c r="B2379" s="81" t="str">
        <f t="shared" si="1"/>
        <v>Kota Padangsidimpuan</v>
      </c>
      <c r="C2379" s="81" t="str">
        <f t="array" ref="C2379">xlookup(B2379,Reference!$A$2:$A$152,Reference!$B$2:$B$152)</f>
        <v>Sumatera Utara</v>
      </c>
      <c r="D2379" s="82" t="s">
        <v>2818</v>
      </c>
      <c r="E2379" s="83">
        <v>45352.0</v>
      </c>
      <c r="F2379" s="91" t="str">
        <f t="array" ref="F2379">XLOOKUP(G2379,Reference!$F:$F,Reference!$D:$D,"null")</f>
        <v>Rumah Tangga</v>
      </c>
      <c r="G2379" s="85" t="s">
        <v>89</v>
      </c>
      <c r="H2379" s="86">
        <v>102.6</v>
      </c>
      <c r="I2379" s="86">
        <v>102.6</v>
      </c>
      <c r="J2379" s="87">
        <f t="shared" si="2"/>
        <v>0</v>
      </c>
      <c r="K2379" s="84" t="str">
        <f t="shared" si="3"/>
        <v>Stabil</v>
      </c>
      <c r="L2379" s="84">
        <f t="shared" si="4"/>
        <v>0</v>
      </c>
      <c r="M2379" s="88" t="str">
        <f t="shared" si="5"/>
        <v>Perubahan Normal</v>
      </c>
    </row>
    <row r="2380" ht="18.75" customHeight="1">
      <c r="A2380" s="80" t="s">
        <v>634</v>
      </c>
      <c r="B2380" s="81" t="str">
        <f t="shared" si="1"/>
        <v>Kota Depok</v>
      </c>
      <c r="C2380" s="81" t="str">
        <f t="array" ref="C2380">xlookup(B2380,Reference!$A$2:$A$152,Reference!$B$2:$B$152)</f>
        <v>Jawa Barat</v>
      </c>
      <c r="D2380" s="82" t="s">
        <v>2819</v>
      </c>
      <c r="E2380" s="83">
        <v>45323.0</v>
      </c>
      <c r="F2380" s="91" t="str">
        <f t="array" ref="F2380">XLOOKUP(G2380,Reference!$F:$F,Reference!$D:$D,"null")</f>
        <v>Makanan dan Pakaian </v>
      </c>
      <c r="G2380" s="85" t="s">
        <v>64</v>
      </c>
      <c r="H2380" s="86">
        <v>100.89</v>
      </c>
      <c r="I2380" s="86">
        <v>100.88</v>
      </c>
      <c r="J2380" s="87">
        <f t="shared" si="2"/>
        <v>0.009912767645</v>
      </c>
      <c r="K2380" s="84" t="str">
        <f t="shared" si="3"/>
        <v>Inflasi Normal</v>
      </c>
      <c r="L2380" s="84">
        <f t="shared" si="4"/>
        <v>0.01</v>
      </c>
      <c r="M2380" s="88" t="str">
        <f t="shared" si="5"/>
        <v>Perubahan Normal</v>
      </c>
    </row>
    <row r="2381" ht="18.75" customHeight="1">
      <c r="A2381" s="80" t="s">
        <v>715</v>
      </c>
      <c r="B2381" s="81" t="str">
        <f t="shared" si="1"/>
        <v>Kab Bojonegoro</v>
      </c>
      <c r="C2381" s="81" t="str">
        <f t="array" ref="C2381">xlookup(B2381,Reference!$A$2:$A$152,Reference!$B$2:$B$152)</f>
        <v>Jawa Timur</v>
      </c>
      <c r="D2381" s="82" t="s">
        <v>2820</v>
      </c>
      <c r="E2381" s="83">
        <v>45352.0</v>
      </c>
      <c r="F2381" s="91" t="str">
        <f t="array" ref="F2381">XLOOKUP(G2381,Reference!$F:$F,Reference!$D:$D,"null")</f>
        <v>Rekreasi dan Kendaraan</v>
      </c>
      <c r="G2381" s="85" t="s">
        <v>102</v>
      </c>
      <c r="H2381" s="86">
        <v>106.08</v>
      </c>
      <c r="I2381" s="86">
        <v>105.33</v>
      </c>
      <c r="J2381" s="87">
        <f t="shared" si="2"/>
        <v>0.7120478496</v>
      </c>
      <c r="K2381" s="84" t="str">
        <f t="shared" si="3"/>
        <v>Inflasi Tinggi</v>
      </c>
      <c r="L2381" s="84">
        <f t="shared" si="4"/>
        <v>0.75</v>
      </c>
      <c r="M2381" s="88" t="str">
        <f t="shared" si="5"/>
        <v>Akselerasi Persentase</v>
      </c>
    </row>
    <row r="2382" ht="18.75" customHeight="1">
      <c r="A2382" s="80" t="s">
        <v>393</v>
      </c>
      <c r="B2382" s="81" t="str">
        <f t="shared" si="1"/>
        <v>Kab Sumbawa</v>
      </c>
      <c r="C2382" s="81" t="str">
        <f t="array" ref="C2382">xlookup(B2382,Reference!$A$2:$A$152,Reference!$B$2:$B$152)</f>
        <v>Nusa Tenggara Barat (NTB)</v>
      </c>
      <c r="D2382" s="82" t="s">
        <v>2821</v>
      </c>
      <c r="E2382" s="83">
        <v>45352.0</v>
      </c>
      <c r="F2382" s="91" t="str">
        <f t="array" ref="F2382">XLOOKUP(G2382,Reference!$F:$F,Reference!$D:$D,"null")</f>
        <v>Rumah Tangga</v>
      </c>
      <c r="G2382" s="85" t="s">
        <v>80</v>
      </c>
      <c r="H2382" s="86">
        <v>102.9</v>
      </c>
      <c r="I2382" s="86">
        <v>102.9</v>
      </c>
      <c r="J2382" s="87">
        <f t="shared" si="2"/>
        <v>0</v>
      </c>
      <c r="K2382" s="84" t="str">
        <f t="shared" si="3"/>
        <v>Stabil</v>
      </c>
      <c r="L2382" s="84">
        <f t="shared" si="4"/>
        <v>0</v>
      </c>
      <c r="M2382" s="88" t="str">
        <f t="shared" si="5"/>
        <v>Perubahan Normal</v>
      </c>
    </row>
    <row r="2383" ht="18.75" customHeight="1">
      <c r="A2383" s="80" t="s">
        <v>672</v>
      </c>
      <c r="B2383" s="81" t="str">
        <f t="shared" si="1"/>
        <v>Kab Ogan Komering Ilir</v>
      </c>
      <c r="C2383" s="81" t="str">
        <f t="array" ref="C2383">xlookup(B2383,Reference!$A$2:$A$152,Reference!$B$2:$B$152)</f>
        <v>Sumatera Selatan</v>
      </c>
      <c r="D2383" s="82" t="s">
        <v>2822</v>
      </c>
      <c r="E2383" s="83">
        <v>45352.0</v>
      </c>
      <c r="F2383" s="91" t="str">
        <f t="array" ref="F2383">XLOOKUP(G2383,Reference!$F:$F,Reference!$D:$D,"null")</f>
        <v>Makanan dan Pakaian </v>
      </c>
      <c r="G2383" s="85" t="s">
        <v>56</v>
      </c>
      <c r="H2383" s="86">
        <v>102.75</v>
      </c>
      <c r="I2383" s="86">
        <v>102.75</v>
      </c>
      <c r="J2383" s="87">
        <f t="shared" si="2"/>
        <v>0</v>
      </c>
      <c r="K2383" s="84" t="str">
        <f t="shared" si="3"/>
        <v>Stabil</v>
      </c>
      <c r="L2383" s="84">
        <f t="shared" si="4"/>
        <v>0</v>
      </c>
      <c r="M2383" s="88" t="str">
        <f t="shared" si="5"/>
        <v>Perubahan Normal</v>
      </c>
    </row>
    <row r="2384" ht="18.75" customHeight="1">
      <c r="A2384" s="80" t="s">
        <v>337</v>
      </c>
      <c r="B2384" s="81" t="str">
        <f t="shared" si="1"/>
        <v>Merauke</v>
      </c>
      <c r="C2384" s="81" t="str">
        <f t="array" ref="C2384">xlookup(B2384,Reference!$A$2:$A$152,Reference!$B$2:$B$152)</f>
        <v>Papua</v>
      </c>
      <c r="D2384" s="82" t="s">
        <v>2823</v>
      </c>
      <c r="E2384" s="83">
        <v>45352.0</v>
      </c>
      <c r="F2384" s="91" t="str">
        <f t="array" ref="F2384">XLOOKUP(G2384,Reference!$F:$F,Reference!$D:$D,"null")</f>
        <v>Rumah Tangga</v>
      </c>
      <c r="G2384" s="85" t="s">
        <v>89</v>
      </c>
      <c r="H2384" s="86">
        <v>108.57</v>
      </c>
      <c r="I2384" s="86">
        <v>108.57</v>
      </c>
      <c r="J2384" s="87">
        <f t="shared" si="2"/>
        <v>0</v>
      </c>
      <c r="K2384" s="84" t="str">
        <f t="shared" si="3"/>
        <v>Stabil</v>
      </c>
      <c r="L2384" s="84">
        <f t="shared" si="4"/>
        <v>0</v>
      </c>
      <c r="M2384" s="88" t="str">
        <f t="shared" si="5"/>
        <v>Perubahan Normal</v>
      </c>
    </row>
    <row r="2385" ht="18.75" customHeight="1">
      <c r="A2385" s="80" t="s">
        <v>517</v>
      </c>
      <c r="B2385" s="81" t="str">
        <f t="shared" si="1"/>
        <v>Kota Kupang</v>
      </c>
      <c r="C2385" s="81" t="str">
        <f t="array" ref="C2385">xlookup(B2385,Reference!$A$2:$A$152,Reference!$B$2:$B$152)</f>
        <v>Nusa Tenggara Timur (NTT)</v>
      </c>
      <c r="D2385" s="82" t="s">
        <v>2824</v>
      </c>
      <c r="E2385" s="83">
        <v>45323.0</v>
      </c>
      <c r="F2385" s="91" t="str">
        <f t="array" ref="F2385">XLOOKUP(G2385,Reference!$F:$F,Reference!$D:$D,"null")</f>
        <v>Makanan dan Pakaian </v>
      </c>
      <c r="G2385" s="85" t="s">
        <v>56</v>
      </c>
      <c r="H2385" s="86">
        <v>103.25</v>
      </c>
      <c r="I2385" s="86">
        <v>103.07</v>
      </c>
      <c r="J2385" s="87">
        <f t="shared" si="2"/>
        <v>0.1746385951</v>
      </c>
      <c r="K2385" s="84" t="str">
        <f t="shared" si="3"/>
        <v>Inflasi Normal</v>
      </c>
      <c r="L2385" s="84">
        <f t="shared" si="4"/>
        <v>0.18</v>
      </c>
      <c r="M2385" s="88" t="str">
        <f t="shared" si="5"/>
        <v>Perubahan Normal</v>
      </c>
    </row>
    <row r="2386" ht="18.75" customHeight="1">
      <c r="A2386" s="80" t="s">
        <v>586</v>
      </c>
      <c r="B2386" s="81" t="str">
        <f t="shared" si="1"/>
        <v>Kab Karimun</v>
      </c>
      <c r="C2386" s="81" t="str">
        <f t="array" ref="C2386">xlookup(B2386,Reference!$A$2:$A$152,Reference!$B$2:$B$152)</f>
        <v>Kepulauan Riau</v>
      </c>
      <c r="D2386" s="82" t="s">
        <v>2825</v>
      </c>
      <c r="E2386" s="83">
        <v>45323.0</v>
      </c>
      <c r="F2386" s="91" t="str">
        <f t="array" ref="F2386">XLOOKUP(G2386,Reference!$F:$F,Reference!$D:$D,"null")</f>
        <v>Makanan dan Pakaian </v>
      </c>
      <c r="G2386" s="85" t="s">
        <v>72</v>
      </c>
      <c r="H2386" s="86">
        <v>115.86</v>
      </c>
      <c r="I2386" s="86">
        <v>115.86</v>
      </c>
      <c r="J2386" s="87">
        <f t="shared" si="2"/>
        <v>0</v>
      </c>
      <c r="K2386" s="84" t="str">
        <f t="shared" si="3"/>
        <v>Stabil</v>
      </c>
      <c r="L2386" s="84">
        <f t="shared" si="4"/>
        <v>0</v>
      </c>
      <c r="M2386" s="88" t="str">
        <f t="shared" si="5"/>
        <v>Perubahan Normal</v>
      </c>
    </row>
    <row r="2387" ht="18.75" customHeight="1">
      <c r="A2387" s="80" t="s">
        <v>806</v>
      </c>
      <c r="B2387" s="81" t="str">
        <f t="shared" si="1"/>
        <v>Kab Subang</v>
      </c>
      <c r="C2387" s="81" t="str">
        <f t="array" ref="C2387">xlookup(B2387,Reference!$A$2:$A$152,Reference!$B$2:$B$152)</f>
        <v>Jawa Barat</v>
      </c>
      <c r="D2387" s="82" t="s">
        <v>2826</v>
      </c>
      <c r="E2387" s="83">
        <v>45352.0</v>
      </c>
      <c r="F2387" s="91" t="str">
        <f t="array" ref="F2387">XLOOKUP(G2387,Reference!$F:$F,Reference!$D:$D,"null")</f>
        <v>Rekreasi dan Kendaraan</v>
      </c>
      <c r="G2387" s="85" t="s">
        <v>105</v>
      </c>
      <c r="H2387" s="86">
        <v>106.0</v>
      </c>
      <c r="I2387" s="86">
        <v>106.0</v>
      </c>
      <c r="J2387" s="87">
        <f t="shared" si="2"/>
        <v>0</v>
      </c>
      <c r="K2387" s="84" t="str">
        <f t="shared" si="3"/>
        <v>Stabil</v>
      </c>
      <c r="L2387" s="84">
        <f t="shared" si="4"/>
        <v>0</v>
      </c>
      <c r="M2387" s="88" t="str">
        <f t="shared" si="5"/>
        <v>Perubahan Normal</v>
      </c>
    </row>
    <row r="2388" ht="18.75" customHeight="1">
      <c r="A2388" s="80" t="s">
        <v>300</v>
      </c>
      <c r="B2388" s="81" t="str">
        <f t="shared" si="1"/>
        <v>Sintang</v>
      </c>
      <c r="C2388" s="81" t="str">
        <f t="array" ref="C2388">xlookup(B2388,Reference!$A$2:$A$152,Reference!$B$2:$B$152)</f>
        <v>Kalimantan Barat</v>
      </c>
      <c r="D2388" s="82" t="s">
        <v>2827</v>
      </c>
      <c r="E2388" s="83">
        <v>45323.0</v>
      </c>
      <c r="F2388" s="91" t="str">
        <f t="array" ref="F2388">XLOOKUP(G2388,Reference!$F:$F,Reference!$D:$D,"null")</f>
        <v>Makanan dan Pakaian </v>
      </c>
      <c r="G2388" s="85" t="s">
        <v>72</v>
      </c>
      <c r="H2388" s="86">
        <v>101.0</v>
      </c>
      <c r="I2388" s="86">
        <v>101.0</v>
      </c>
      <c r="J2388" s="87">
        <f t="shared" si="2"/>
        <v>0</v>
      </c>
      <c r="K2388" s="84" t="str">
        <f t="shared" si="3"/>
        <v>Stabil</v>
      </c>
      <c r="L2388" s="84">
        <f t="shared" si="4"/>
        <v>0</v>
      </c>
      <c r="M2388" s="88" t="str">
        <f t="shared" si="5"/>
        <v>Perubahan Normal</v>
      </c>
    </row>
    <row r="2389" ht="18.75" customHeight="1">
      <c r="A2389" s="80" t="s">
        <v>806</v>
      </c>
      <c r="B2389" s="81" t="str">
        <f t="shared" si="1"/>
        <v>Kab Subang</v>
      </c>
      <c r="C2389" s="81" t="str">
        <f t="array" ref="C2389">xlookup(B2389,Reference!$A$2:$A$152,Reference!$B$2:$B$152)</f>
        <v>Jawa Barat</v>
      </c>
      <c r="D2389" s="82" t="s">
        <v>2828</v>
      </c>
      <c r="E2389" s="83">
        <v>45323.0</v>
      </c>
      <c r="F2389" s="91" t="str">
        <f t="array" ref="F2389">XLOOKUP(G2389,Reference!$F:$F,Reference!$D:$D,"null")</f>
        <v>Makanan dan Pakaian </v>
      </c>
      <c r="G2389" s="85" t="s">
        <v>56</v>
      </c>
      <c r="H2389" s="86">
        <v>100.19</v>
      </c>
      <c r="I2389" s="86">
        <v>100.93</v>
      </c>
      <c r="J2389" s="87">
        <f t="shared" si="2"/>
        <v>-0.7331814129</v>
      </c>
      <c r="K2389" s="84" t="str">
        <f t="shared" si="3"/>
        <v>Deflasi</v>
      </c>
      <c r="L2389" s="84">
        <f t="shared" si="4"/>
        <v>-0.74</v>
      </c>
      <c r="M2389" s="88" t="str">
        <f t="shared" si="5"/>
        <v>Perubahan Normal</v>
      </c>
    </row>
    <row r="2390" ht="18.75" customHeight="1">
      <c r="A2390" s="80" t="s">
        <v>631</v>
      </c>
      <c r="B2390" s="81" t="str">
        <f t="shared" si="1"/>
        <v>Kab Toli Toli</v>
      </c>
      <c r="C2390" s="81" t="str">
        <f t="array" ref="C2390">xlookup(B2390,Reference!$A$2:$A$152,Reference!$B$2:$B$152)</f>
        <v>Sulawesi Tengah</v>
      </c>
      <c r="D2390" s="82" t="s">
        <v>2829</v>
      </c>
      <c r="E2390" s="83">
        <v>45352.0</v>
      </c>
      <c r="F2390" s="91" t="str">
        <f t="array" ref="F2390">XLOOKUP(G2390,Reference!$F:$F,Reference!$D:$D,"null")</f>
        <v>Makanan dan Pakaian </v>
      </c>
      <c r="G2390" s="85" t="s">
        <v>72</v>
      </c>
      <c r="H2390" s="86">
        <v>114.87</v>
      </c>
      <c r="I2390" s="86">
        <v>114.88</v>
      </c>
      <c r="J2390" s="87">
        <f t="shared" si="2"/>
        <v>-0.008704735376</v>
      </c>
      <c r="K2390" s="84" t="str">
        <f t="shared" si="3"/>
        <v>Deflasi</v>
      </c>
      <c r="L2390" s="84">
        <f t="shared" si="4"/>
        <v>-0.01</v>
      </c>
      <c r="M2390" s="88" t="str">
        <f t="shared" si="5"/>
        <v>Perubahan Normal</v>
      </c>
    </row>
    <row r="2391" ht="18.75" customHeight="1">
      <c r="A2391" s="80" t="s">
        <v>965</v>
      </c>
      <c r="B2391" s="81" t="str">
        <f t="shared" si="1"/>
        <v>Kab Konawe</v>
      </c>
      <c r="C2391" s="81" t="str">
        <f t="array" ref="C2391">xlookup(B2391,Reference!$A$2:$A$152,Reference!$B$2:$B$152)</f>
        <v>Sulawesi Tenggara</v>
      </c>
      <c r="D2391" s="82" t="s">
        <v>2830</v>
      </c>
      <c r="E2391" s="83">
        <v>45352.0</v>
      </c>
      <c r="F2391" s="91" t="str">
        <f t="array" ref="F2391">XLOOKUP(G2391,Reference!$F:$F,Reference!$D:$D,"null")</f>
        <v>Makanan dan Pakaian </v>
      </c>
      <c r="G2391" s="85" t="s">
        <v>56</v>
      </c>
      <c r="H2391" s="86">
        <v>114.0</v>
      </c>
      <c r="I2391" s="86">
        <v>114.02</v>
      </c>
      <c r="J2391" s="87">
        <f t="shared" si="2"/>
        <v>-0.01754078232</v>
      </c>
      <c r="K2391" s="84" t="str">
        <f t="shared" si="3"/>
        <v>Deflasi</v>
      </c>
      <c r="L2391" s="84">
        <f t="shared" si="4"/>
        <v>-0.02</v>
      </c>
      <c r="M2391" s="88" t="str">
        <f t="shared" si="5"/>
        <v>Perubahan Normal</v>
      </c>
    </row>
    <row r="2392" ht="18.75" customHeight="1">
      <c r="A2392" s="80" t="s">
        <v>355</v>
      </c>
      <c r="B2392" s="81" t="str">
        <f t="shared" si="1"/>
        <v>Kota Gorontalo</v>
      </c>
      <c r="C2392" s="81" t="str">
        <f t="array" ref="C2392">xlookup(B2392,Reference!$A$2:$A$152,Reference!$B$2:$B$152)</f>
        <v>Gorontalo</v>
      </c>
      <c r="D2392" s="82" t="s">
        <v>2831</v>
      </c>
      <c r="E2392" s="83">
        <v>45323.0</v>
      </c>
      <c r="F2392" s="91" t="str">
        <f t="array" ref="F2392">XLOOKUP(G2392,Reference!$F:$F,Reference!$D:$D,"null")</f>
        <v>Rekreasi dan Kendaraan</v>
      </c>
      <c r="G2392" s="85" t="s">
        <v>102</v>
      </c>
      <c r="H2392" s="86">
        <v>102.89</v>
      </c>
      <c r="I2392" s="86">
        <v>102.5</v>
      </c>
      <c r="J2392" s="87">
        <f t="shared" si="2"/>
        <v>0.3804878049</v>
      </c>
      <c r="K2392" s="84" t="str">
        <f t="shared" si="3"/>
        <v>Inflasi Normal</v>
      </c>
      <c r="L2392" s="84">
        <f t="shared" si="4"/>
        <v>0.39</v>
      </c>
      <c r="M2392" s="88" t="str">
        <f t="shared" si="5"/>
        <v>Perubahan Normal</v>
      </c>
    </row>
    <row r="2393" ht="18.75" customHeight="1">
      <c r="A2393" s="80" t="s">
        <v>346</v>
      </c>
      <c r="B2393" s="81" t="str">
        <f t="shared" si="1"/>
        <v>Kab Timor Tengah Selatan</v>
      </c>
      <c r="C2393" s="81" t="str">
        <f t="array" ref="C2393">xlookup(B2393,Reference!$A$2:$A$152,Reference!$B$2:$B$152)</f>
        <v>Nusa Tenggara Timur (NTT)</v>
      </c>
      <c r="D2393" s="82" t="s">
        <v>2832</v>
      </c>
      <c r="E2393" s="83">
        <v>45352.0</v>
      </c>
      <c r="F2393" s="91" t="str">
        <f t="array" ref="F2393">XLOOKUP(G2393,Reference!$F:$F,Reference!$D:$D,"null")</f>
        <v>Rumah Tangga</v>
      </c>
      <c r="G2393" s="85" t="s">
        <v>84</v>
      </c>
      <c r="H2393" s="86">
        <v>99.2</v>
      </c>
      <c r="I2393" s="86">
        <v>99.2</v>
      </c>
      <c r="J2393" s="87">
        <f t="shared" si="2"/>
        <v>0</v>
      </c>
      <c r="K2393" s="84" t="str">
        <f t="shared" si="3"/>
        <v>Stabil</v>
      </c>
      <c r="L2393" s="84">
        <f t="shared" si="4"/>
        <v>0</v>
      </c>
      <c r="M2393" s="88" t="str">
        <f t="shared" si="5"/>
        <v>Perubahan Normal</v>
      </c>
    </row>
    <row r="2394" ht="18.75" customHeight="1">
      <c r="A2394" s="80" t="s">
        <v>663</v>
      </c>
      <c r="B2394" s="81" t="str">
        <f t="shared" si="1"/>
        <v>Kota Serang</v>
      </c>
      <c r="C2394" s="81" t="str">
        <f t="array" ref="C2394">xlookup(B2394,Reference!$A$2:$A$152,Reference!$B$2:$B$152)</f>
        <v>Banten</v>
      </c>
      <c r="D2394" s="82" t="s">
        <v>2833</v>
      </c>
      <c r="E2394" s="83">
        <v>45352.0</v>
      </c>
      <c r="F2394" s="91" t="str">
        <f t="array" ref="F2394">XLOOKUP(G2394,Reference!$F:$F,Reference!$D:$D,"null")</f>
        <v>Rumah Tangga</v>
      </c>
      <c r="G2394" s="85" t="s">
        <v>80</v>
      </c>
      <c r="H2394" s="86">
        <v>103.58</v>
      </c>
      <c r="I2394" s="86">
        <v>103.58</v>
      </c>
      <c r="J2394" s="87">
        <f t="shared" si="2"/>
        <v>0</v>
      </c>
      <c r="K2394" s="84" t="str">
        <f t="shared" si="3"/>
        <v>Stabil</v>
      </c>
      <c r="L2394" s="84">
        <f t="shared" si="4"/>
        <v>0</v>
      </c>
      <c r="M2394" s="88" t="str">
        <f t="shared" si="5"/>
        <v>Perubahan Normal</v>
      </c>
    </row>
    <row r="2395" ht="18.75" customHeight="1">
      <c r="A2395" s="80" t="s">
        <v>349</v>
      </c>
      <c r="B2395" s="81" t="str">
        <f t="shared" si="1"/>
        <v>Kota Banjarmasin</v>
      </c>
      <c r="C2395" s="81" t="str">
        <f t="array" ref="C2395">xlookup(B2395,Reference!$A$2:$A$152,Reference!$B$2:$B$152)</f>
        <v>Kalimantan Selatan</v>
      </c>
      <c r="D2395" s="82" t="s">
        <v>2834</v>
      </c>
      <c r="E2395" s="83">
        <v>45352.0</v>
      </c>
      <c r="F2395" s="91" t="str">
        <f t="array" ref="F2395">XLOOKUP(G2395,Reference!$F:$F,Reference!$D:$D,"null")</f>
        <v>Makanan dan Pakaian </v>
      </c>
      <c r="G2395" s="85" t="s">
        <v>56</v>
      </c>
      <c r="H2395" s="86">
        <v>105.45</v>
      </c>
      <c r="I2395" s="86">
        <v>104.13</v>
      </c>
      <c r="J2395" s="87">
        <f t="shared" si="2"/>
        <v>1.267646211</v>
      </c>
      <c r="K2395" s="84" t="str">
        <f t="shared" si="3"/>
        <v>Inflasi Tinggi</v>
      </c>
      <c r="L2395" s="84">
        <f t="shared" si="4"/>
        <v>1.32</v>
      </c>
      <c r="M2395" s="88" t="str">
        <f t="shared" si="5"/>
        <v>Akselerasi Persentase</v>
      </c>
    </row>
    <row r="2396" ht="18.75" customHeight="1">
      <c r="A2396" s="80" t="s">
        <v>466</v>
      </c>
      <c r="B2396" s="81" t="str">
        <f t="shared" si="1"/>
        <v>Kota Surabaya</v>
      </c>
      <c r="C2396" s="81" t="str">
        <f t="array" ref="C2396">xlookup(B2396,Reference!$A$2:$A$152,Reference!$B$2:$B$152)</f>
        <v>Jawa Timur</v>
      </c>
      <c r="D2396" s="82" t="s">
        <v>2835</v>
      </c>
      <c r="E2396" s="83">
        <v>45323.0</v>
      </c>
      <c r="F2396" s="91" t="str">
        <f t="array" ref="F2396">XLOOKUP(G2396,Reference!$F:$F,Reference!$D:$D,"null")</f>
        <v>Rumah Tangga</v>
      </c>
      <c r="G2396" s="85" t="s">
        <v>80</v>
      </c>
      <c r="H2396" s="86">
        <v>102.7</v>
      </c>
      <c r="I2396" s="86">
        <v>102.7</v>
      </c>
      <c r="J2396" s="87">
        <f t="shared" si="2"/>
        <v>0</v>
      </c>
      <c r="K2396" s="84" t="str">
        <f t="shared" si="3"/>
        <v>Stabil</v>
      </c>
      <c r="L2396" s="84">
        <f t="shared" si="4"/>
        <v>0</v>
      </c>
      <c r="M2396" s="88" t="str">
        <f t="shared" si="5"/>
        <v>Perubahan Normal</v>
      </c>
    </row>
    <row r="2397" ht="18.75" customHeight="1">
      <c r="A2397" s="80" t="s">
        <v>448</v>
      </c>
      <c r="B2397" s="81" t="str">
        <f t="shared" si="1"/>
        <v>Tanjung Selor</v>
      </c>
      <c r="C2397" s="81" t="str">
        <f t="array" ref="C2397">xlookup(B2397,Reference!$A$2:$A$152,Reference!$B$2:$B$152)</f>
        <v>Kalimantan Utara</v>
      </c>
      <c r="D2397" s="82" t="s">
        <v>2836</v>
      </c>
      <c r="E2397" s="83">
        <v>45323.0</v>
      </c>
      <c r="F2397" s="91" t="str">
        <f t="array" ref="F2397">XLOOKUP(G2397,Reference!$F:$F,Reference!$D:$D,"null")</f>
        <v>Rekreasi dan Kendaraan</v>
      </c>
      <c r="G2397" s="85" t="s">
        <v>105</v>
      </c>
      <c r="H2397" s="86">
        <v>102.45</v>
      </c>
      <c r="I2397" s="86">
        <v>102.45</v>
      </c>
      <c r="J2397" s="87">
        <f t="shared" si="2"/>
        <v>0</v>
      </c>
      <c r="K2397" s="84" t="str">
        <f t="shared" si="3"/>
        <v>Stabil</v>
      </c>
      <c r="L2397" s="84">
        <f t="shared" si="4"/>
        <v>0</v>
      </c>
      <c r="M2397" s="88" t="str">
        <f t="shared" si="5"/>
        <v>Perubahan Normal</v>
      </c>
    </row>
    <row r="2398" ht="18.75" customHeight="1">
      <c r="A2398" s="80" t="s">
        <v>515</v>
      </c>
      <c r="B2398" s="81" t="str">
        <f t="shared" si="1"/>
        <v>Kab Gresik</v>
      </c>
      <c r="C2398" s="81" t="str">
        <f t="array" ref="C2398">xlookup(B2398,Reference!$A$2:$A$152,Reference!$B$2:$B$152)</f>
        <v>Jawa Timur</v>
      </c>
      <c r="D2398" s="82" t="s">
        <v>2837</v>
      </c>
      <c r="E2398" s="83">
        <v>45323.0</v>
      </c>
      <c r="F2398" s="91" t="str">
        <f t="array" ref="F2398">XLOOKUP(G2398,Reference!$F:$F,Reference!$D:$D,"null")</f>
        <v>Rumah Tangga</v>
      </c>
      <c r="G2398" s="85" t="s">
        <v>84</v>
      </c>
      <c r="H2398" s="86">
        <v>99.6</v>
      </c>
      <c r="I2398" s="86">
        <v>100.01</v>
      </c>
      <c r="J2398" s="87">
        <f t="shared" si="2"/>
        <v>-0.4099590041</v>
      </c>
      <c r="K2398" s="84" t="str">
        <f t="shared" si="3"/>
        <v>Deflasi</v>
      </c>
      <c r="L2398" s="84">
        <f t="shared" si="4"/>
        <v>-0.41</v>
      </c>
      <c r="M2398" s="88" t="str">
        <f t="shared" si="5"/>
        <v>Perubahan Normal</v>
      </c>
    </row>
    <row r="2399" ht="18.75" customHeight="1">
      <c r="A2399" s="80" t="s">
        <v>349</v>
      </c>
      <c r="B2399" s="81" t="str">
        <f t="shared" si="1"/>
        <v>Kota Banjarmasin</v>
      </c>
      <c r="C2399" s="81" t="str">
        <f t="array" ref="C2399">xlookup(B2399,Reference!$A$2:$A$152,Reference!$B$2:$B$152)</f>
        <v>Kalimantan Selatan</v>
      </c>
      <c r="D2399" s="82" t="s">
        <v>2838</v>
      </c>
      <c r="E2399" s="83">
        <v>45352.0</v>
      </c>
      <c r="F2399" s="91" t="str">
        <f t="array" ref="F2399">XLOOKUP(G2399,Reference!$F:$F,Reference!$D:$D,"null")</f>
        <v>Makanan dan Pakaian </v>
      </c>
      <c r="G2399" s="85" t="s">
        <v>72</v>
      </c>
      <c r="H2399" s="86">
        <v>103.28</v>
      </c>
      <c r="I2399" s="86">
        <v>102.42</v>
      </c>
      <c r="J2399" s="87">
        <f t="shared" si="2"/>
        <v>0.83967975</v>
      </c>
      <c r="K2399" s="84" t="str">
        <f t="shared" si="3"/>
        <v>Inflasi Tinggi</v>
      </c>
      <c r="L2399" s="84">
        <f t="shared" si="4"/>
        <v>0.86</v>
      </c>
      <c r="M2399" s="88" t="str">
        <f t="shared" si="5"/>
        <v>Akselerasi Persentase</v>
      </c>
    </row>
    <row r="2400" ht="18.75" customHeight="1">
      <c r="A2400" s="80" t="s">
        <v>734</v>
      </c>
      <c r="B2400" s="81" t="str">
        <f t="shared" si="1"/>
        <v>Kota Tegal</v>
      </c>
      <c r="C2400" s="81" t="str">
        <f t="array" ref="C2400">xlookup(B2400,Reference!$A$2:$A$152,Reference!$B$2:$B$152)</f>
        <v>Jawa Tengah</v>
      </c>
      <c r="D2400" s="82" t="s">
        <v>2839</v>
      </c>
      <c r="E2400" s="83">
        <v>45323.0</v>
      </c>
      <c r="F2400" s="91" t="str">
        <f t="array" ref="F2400">XLOOKUP(G2400,Reference!$F:$F,Reference!$D:$D,"null")</f>
        <v>Makanan dan Pakaian </v>
      </c>
      <c r="G2400" s="85" t="s">
        <v>56</v>
      </c>
      <c r="H2400" s="86">
        <v>108.16</v>
      </c>
      <c r="I2400" s="86">
        <v>107.99</v>
      </c>
      <c r="J2400" s="87">
        <f t="shared" si="2"/>
        <v>0.1574219835</v>
      </c>
      <c r="K2400" s="84" t="str">
        <f t="shared" si="3"/>
        <v>Inflasi Normal</v>
      </c>
      <c r="L2400" s="84">
        <f t="shared" si="4"/>
        <v>0.17</v>
      </c>
      <c r="M2400" s="88" t="str">
        <f t="shared" si="5"/>
        <v>Perubahan Normal</v>
      </c>
    </row>
    <row r="2401" ht="18.75" customHeight="1">
      <c r="A2401" s="80" t="s">
        <v>374</v>
      </c>
      <c r="B2401" s="81" t="str">
        <f t="shared" si="1"/>
        <v>Kab Majalengka</v>
      </c>
      <c r="C2401" s="81" t="str">
        <f t="array" ref="C2401">xlookup(B2401,Reference!$A$2:$A$152,Reference!$B$2:$B$152)</f>
        <v>Jawa Barat</v>
      </c>
      <c r="D2401" s="82" t="s">
        <v>2840</v>
      </c>
      <c r="E2401" s="83">
        <v>45323.0</v>
      </c>
      <c r="F2401" s="91" t="str">
        <f t="array" ref="F2401">XLOOKUP(G2401,Reference!$F:$F,Reference!$D:$D,"null")</f>
        <v>Rumah Tangga</v>
      </c>
      <c r="G2401" s="85" t="s">
        <v>89</v>
      </c>
      <c r="H2401" s="86">
        <v>92.49</v>
      </c>
      <c r="I2401" s="86">
        <v>92.49</v>
      </c>
      <c r="J2401" s="87">
        <f t="shared" si="2"/>
        <v>0</v>
      </c>
      <c r="K2401" s="84" t="str">
        <f t="shared" si="3"/>
        <v>Stabil</v>
      </c>
      <c r="L2401" s="84">
        <f t="shared" si="4"/>
        <v>0</v>
      </c>
      <c r="M2401" s="88" t="str">
        <f t="shared" si="5"/>
        <v>Perubahan Normal</v>
      </c>
    </row>
    <row r="2402" ht="18.75" customHeight="1">
      <c r="A2402" s="80" t="s">
        <v>310</v>
      </c>
      <c r="B2402" s="81" t="str">
        <f t="shared" si="1"/>
        <v>Kab Kampar</v>
      </c>
      <c r="C2402" s="81" t="str">
        <f t="array" ref="C2402">xlookup(B2402,Reference!$A$2:$A$152,Reference!$B$2:$B$152)</f>
        <v>Riau</v>
      </c>
      <c r="D2402" s="82" t="s">
        <v>2841</v>
      </c>
      <c r="E2402" s="83">
        <v>45323.0</v>
      </c>
      <c r="F2402" s="91" t="str">
        <f t="array" ref="F2402">XLOOKUP(G2402,Reference!$F:$F,Reference!$D:$D,"null")</f>
        <v>Rumah Tangga</v>
      </c>
      <c r="G2402" s="85" t="s">
        <v>84</v>
      </c>
      <c r="H2402" s="86">
        <v>100.96</v>
      </c>
      <c r="I2402" s="86">
        <v>100.97</v>
      </c>
      <c r="J2402" s="87">
        <f t="shared" si="2"/>
        <v>-0.009903931861</v>
      </c>
      <c r="K2402" s="84" t="str">
        <f t="shared" si="3"/>
        <v>Deflasi</v>
      </c>
      <c r="L2402" s="84">
        <f t="shared" si="4"/>
        <v>-0.01</v>
      </c>
      <c r="M2402" s="88" t="str">
        <f t="shared" si="5"/>
        <v>Perubahan Normal</v>
      </c>
    </row>
    <row r="2403" ht="18.75" customHeight="1">
      <c r="A2403" s="80" t="s">
        <v>495</v>
      </c>
      <c r="B2403" s="81" t="str">
        <f t="shared" si="1"/>
        <v>Kota Medan</v>
      </c>
      <c r="C2403" s="81" t="str">
        <f t="array" ref="C2403">xlookup(B2403,Reference!$A$2:$A$152,Reference!$B$2:$B$152)</f>
        <v>Sumatera Utara</v>
      </c>
      <c r="D2403" s="82" t="s">
        <v>2842</v>
      </c>
      <c r="E2403" s="83">
        <v>45352.0</v>
      </c>
      <c r="F2403" s="91" t="str">
        <f t="array" ref="F2403">XLOOKUP(G2403,Reference!$F:$F,Reference!$D:$D,"null")</f>
        <v>Rekreasi dan Kendaraan</v>
      </c>
      <c r="G2403" s="85" t="s">
        <v>102</v>
      </c>
      <c r="H2403" s="86">
        <v>106.07</v>
      </c>
      <c r="I2403" s="86">
        <v>106.07</v>
      </c>
      <c r="J2403" s="87">
        <f t="shared" si="2"/>
        <v>0</v>
      </c>
      <c r="K2403" s="84" t="str">
        <f t="shared" si="3"/>
        <v>Stabil</v>
      </c>
      <c r="L2403" s="84">
        <f t="shared" si="4"/>
        <v>0</v>
      </c>
      <c r="M2403" s="88" t="str">
        <f t="shared" si="5"/>
        <v>Perubahan Normal</v>
      </c>
    </row>
    <row r="2404" ht="18.75" customHeight="1">
      <c r="A2404" s="80" t="s">
        <v>495</v>
      </c>
      <c r="B2404" s="81" t="str">
        <f t="shared" si="1"/>
        <v>Kota Medan</v>
      </c>
      <c r="C2404" s="81" t="str">
        <f t="array" ref="C2404">xlookup(B2404,Reference!$A$2:$A$152,Reference!$B$2:$B$152)</f>
        <v>Sumatera Utara</v>
      </c>
      <c r="D2404" s="82" t="s">
        <v>2843</v>
      </c>
      <c r="E2404" s="83">
        <v>45323.0</v>
      </c>
      <c r="F2404" s="91" t="str">
        <f t="array" ref="F2404">XLOOKUP(G2404,Reference!$F:$F,Reference!$D:$D,"null")</f>
        <v>Pendidikan dan Kesehatan</v>
      </c>
      <c r="G2404" s="85" t="s">
        <v>98</v>
      </c>
      <c r="H2404" s="86">
        <v>102.45</v>
      </c>
      <c r="I2404" s="86">
        <v>102.2</v>
      </c>
      <c r="J2404" s="87">
        <f t="shared" si="2"/>
        <v>0.2446183953</v>
      </c>
      <c r="K2404" s="84" t="str">
        <f t="shared" si="3"/>
        <v>Inflasi Normal</v>
      </c>
      <c r="L2404" s="84">
        <f t="shared" si="4"/>
        <v>0.25</v>
      </c>
      <c r="M2404" s="88" t="str">
        <f t="shared" si="5"/>
        <v>Perubahan Normal</v>
      </c>
    </row>
    <row r="2405" ht="18.75" customHeight="1">
      <c r="A2405" s="80" t="s">
        <v>456</v>
      </c>
      <c r="B2405" s="81" t="str">
        <f t="shared" si="1"/>
        <v>Kab Aceh Tamiang</v>
      </c>
      <c r="C2405" s="81" t="str">
        <f t="array" ref="C2405">xlookup(B2405,Reference!$A$2:$A$152,Reference!$B$2:$B$152)</f>
        <v>Aceh</v>
      </c>
      <c r="D2405" s="82" t="s">
        <v>2844</v>
      </c>
      <c r="E2405" s="83">
        <v>45352.0</v>
      </c>
      <c r="F2405" s="91" t="str">
        <f t="array" ref="F2405">XLOOKUP(G2405,Reference!$F:$F,Reference!$D:$D,"null")</f>
        <v>Rumah Tangga</v>
      </c>
      <c r="G2405" s="85" t="s">
        <v>84</v>
      </c>
      <c r="H2405" s="86">
        <v>99.84</v>
      </c>
      <c r="I2405" s="86">
        <v>99.84</v>
      </c>
      <c r="J2405" s="87">
        <f t="shared" si="2"/>
        <v>0</v>
      </c>
      <c r="K2405" s="84" t="str">
        <f t="shared" si="3"/>
        <v>Stabil</v>
      </c>
      <c r="L2405" s="84">
        <f t="shared" si="4"/>
        <v>0</v>
      </c>
      <c r="M2405" s="88" t="str">
        <f t="shared" si="5"/>
        <v>Perubahan Normal</v>
      </c>
    </row>
    <row r="2406" ht="18.75" customHeight="1">
      <c r="A2406" s="80" t="s">
        <v>372</v>
      </c>
      <c r="B2406" s="81" t="str">
        <f t="shared" si="1"/>
        <v>Kota Tanjung Pinang</v>
      </c>
      <c r="C2406" s="81" t="str">
        <f t="array" ref="C2406">xlookup(B2406,Reference!$A$2:$A$152,Reference!$B$2:$B$152)</f>
        <v>Kepulauan Riau</v>
      </c>
      <c r="D2406" s="82" t="s">
        <v>2845</v>
      </c>
      <c r="E2406" s="83">
        <v>45352.0</v>
      </c>
      <c r="F2406" s="91" t="str">
        <f t="array" ref="F2406">XLOOKUP(G2406,Reference!$F:$F,Reference!$D:$D,"null")</f>
        <v>Rumah Tangga</v>
      </c>
      <c r="G2406" s="85" t="s">
        <v>80</v>
      </c>
      <c r="H2406" s="86">
        <v>101.76</v>
      </c>
      <c r="I2406" s="86">
        <v>101.76</v>
      </c>
      <c r="J2406" s="87">
        <f t="shared" si="2"/>
        <v>0</v>
      </c>
      <c r="K2406" s="84" t="str">
        <f t="shared" si="3"/>
        <v>Stabil</v>
      </c>
      <c r="L2406" s="84">
        <f t="shared" si="4"/>
        <v>0</v>
      </c>
      <c r="M2406" s="88" t="str">
        <f t="shared" si="5"/>
        <v>Perubahan Normal</v>
      </c>
    </row>
    <row r="2407" ht="18.75" customHeight="1">
      <c r="A2407" s="80" t="s">
        <v>312</v>
      </c>
      <c r="B2407" s="81" t="str">
        <f t="shared" si="1"/>
        <v>Kab Jayawijaya</v>
      </c>
      <c r="C2407" s="81" t="str">
        <f t="array" ref="C2407">xlookup(B2407,Reference!$A$2:$A$152,Reference!$B$2:$B$152)</f>
        <v>Papua</v>
      </c>
      <c r="D2407" s="82" t="s">
        <v>2846</v>
      </c>
      <c r="E2407" s="83">
        <v>45352.0</v>
      </c>
      <c r="F2407" s="91" t="str">
        <f t="array" ref="F2407">XLOOKUP(G2407,Reference!$F:$F,Reference!$D:$D,"null")</f>
        <v>Rekreasi dan Kendaraan</v>
      </c>
      <c r="G2407" s="85" t="s">
        <v>102</v>
      </c>
      <c r="H2407" s="86">
        <v>101.5</v>
      </c>
      <c r="I2407" s="86">
        <v>101.5</v>
      </c>
      <c r="J2407" s="87">
        <f t="shared" si="2"/>
        <v>0</v>
      </c>
      <c r="K2407" s="84" t="str">
        <f t="shared" si="3"/>
        <v>Stabil</v>
      </c>
      <c r="L2407" s="84">
        <f t="shared" si="4"/>
        <v>0</v>
      </c>
      <c r="M2407" s="88" t="str">
        <f t="shared" si="5"/>
        <v>Perubahan Normal</v>
      </c>
    </row>
    <row r="2408" ht="18.75" customHeight="1">
      <c r="A2408" s="80" t="s">
        <v>419</v>
      </c>
      <c r="B2408" s="81" t="str">
        <f t="shared" si="1"/>
        <v>Kota Singkawang</v>
      </c>
      <c r="C2408" s="81" t="str">
        <f t="array" ref="C2408">xlookup(B2408,Reference!$A$2:$A$152,Reference!$B$2:$B$152)</f>
        <v>Kalimantan Barat</v>
      </c>
      <c r="D2408" s="82" t="s">
        <v>2847</v>
      </c>
      <c r="E2408" s="83">
        <v>45323.0</v>
      </c>
      <c r="F2408" s="91" t="str">
        <f t="array" ref="F2408">XLOOKUP(G2408,Reference!$F:$F,Reference!$D:$D,"null")</f>
        <v>Makanan dan Pakaian </v>
      </c>
      <c r="G2408" s="85" t="s">
        <v>56</v>
      </c>
      <c r="H2408" s="86">
        <v>105.67</v>
      </c>
      <c r="I2408" s="86">
        <v>105.67</v>
      </c>
      <c r="J2408" s="87">
        <f t="shared" si="2"/>
        <v>0</v>
      </c>
      <c r="K2408" s="84" t="str">
        <f t="shared" si="3"/>
        <v>Stabil</v>
      </c>
      <c r="L2408" s="84">
        <f t="shared" si="4"/>
        <v>0</v>
      </c>
      <c r="M2408" s="88" t="str">
        <f t="shared" si="5"/>
        <v>Perubahan Normal</v>
      </c>
    </row>
    <row r="2409" ht="18.75" customHeight="1">
      <c r="A2409" s="80" t="s">
        <v>404</v>
      </c>
      <c r="B2409" s="81" t="str">
        <f t="shared" si="1"/>
        <v>Kab Mesuji</v>
      </c>
      <c r="C2409" s="81" t="str">
        <f t="array" ref="C2409">xlookup(B2409,Reference!$A$2:$A$152,Reference!$B$2:$B$152)</f>
        <v>Lampung</v>
      </c>
      <c r="D2409" s="82" t="s">
        <v>2848</v>
      </c>
      <c r="E2409" s="83">
        <v>45323.0</v>
      </c>
      <c r="F2409" s="91" t="str">
        <f t="array" ref="F2409">XLOOKUP(G2409,Reference!$F:$F,Reference!$D:$D,"null")</f>
        <v>Pendidikan dan Kesehatan</v>
      </c>
      <c r="G2409" s="85" t="s">
        <v>98</v>
      </c>
      <c r="H2409" s="86">
        <v>109.14</v>
      </c>
      <c r="I2409" s="86">
        <v>109.14</v>
      </c>
      <c r="J2409" s="87">
        <f t="shared" si="2"/>
        <v>0</v>
      </c>
      <c r="K2409" s="84" t="str">
        <f t="shared" si="3"/>
        <v>Stabil</v>
      </c>
      <c r="L2409" s="84">
        <f t="shared" si="4"/>
        <v>0</v>
      </c>
      <c r="M2409" s="88" t="str">
        <f t="shared" si="5"/>
        <v>Perubahan Normal</v>
      </c>
    </row>
    <row r="2410" ht="18.75" customHeight="1">
      <c r="A2410" s="80" t="s">
        <v>558</v>
      </c>
      <c r="B2410" s="81" t="str">
        <f t="shared" si="1"/>
        <v>Kab Kapuas</v>
      </c>
      <c r="C2410" s="81" t="str">
        <f t="array" ref="C2410">xlookup(B2410,Reference!$A$2:$A$152,Reference!$B$2:$B$152)</f>
        <v>Kalimantan Tengah</v>
      </c>
      <c r="D2410" s="82" t="s">
        <v>2849</v>
      </c>
      <c r="E2410" s="83">
        <v>45323.0</v>
      </c>
      <c r="F2410" s="91" t="str">
        <f t="array" ref="F2410">XLOOKUP(G2410,Reference!$F:$F,Reference!$D:$D,"null")</f>
        <v>Makanan dan Pakaian </v>
      </c>
      <c r="G2410" s="85" t="s">
        <v>48</v>
      </c>
      <c r="H2410" s="86">
        <v>107.57</v>
      </c>
      <c r="I2410" s="86">
        <v>109.29</v>
      </c>
      <c r="J2410" s="87">
        <f t="shared" si="2"/>
        <v>-1.573794492</v>
      </c>
      <c r="K2410" s="84" t="str">
        <f t="shared" si="3"/>
        <v>Deflasi</v>
      </c>
      <c r="L2410" s="84">
        <f t="shared" si="4"/>
        <v>-1.72</v>
      </c>
      <c r="M2410" s="88" t="str">
        <f t="shared" si="5"/>
        <v>Perubahan Normal</v>
      </c>
    </row>
    <row r="2411" ht="18.75" customHeight="1">
      <c r="A2411" s="80" t="s">
        <v>300</v>
      </c>
      <c r="B2411" s="81" t="str">
        <f t="shared" si="1"/>
        <v>Sintang</v>
      </c>
      <c r="C2411" s="81" t="str">
        <f t="array" ref="C2411">xlookup(B2411,Reference!$A$2:$A$152,Reference!$B$2:$B$152)</f>
        <v>Kalimantan Barat</v>
      </c>
      <c r="D2411" s="82" t="s">
        <v>2850</v>
      </c>
      <c r="E2411" s="83">
        <v>45352.0</v>
      </c>
      <c r="F2411" s="91" t="str">
        <f t="array" ref="F2411">XLOOKUP(G2411,Reference!$F:$F,Reference!$D:$D,"null")</f>
        <v>Rekreasi dan Kendaraan</v>
      </c>
      <c r="G2411" s="85" t="s">
        <v>105</v>
      </c>
      <c r="H2411" s="86">
        <v>105.29</v>
      </c>
      <c r="I2411" s="86">
        <v>105.29</v>
      </c>
      <c r="J2411" s="87">
        <f t="shared" si="2"/>
        <v>0</v>
      </c>
      <c r="K2411" s="84" t="str">
        <f t="shared" si="3"/>
        <v>Stabil</v>
      </c>
      <c r="L2411" s="84">
        <f t="shared" si="4"/>
        <v>0</v>
      </c>
      <c r="M2411" s="88" t="str">
        <f t="shared" si="5"/>
        <v>Perubahan Normal</v>
      </c>
    </row>
    <row r="2412" ht="18.75" customHeight="1">
      <c r="A2412" s="80" t="s">
        <v>488</v>
      </c>
      <c r="B2412" s="81" t="str">
        <f t="shared" si="1"/>
        <v>Kab Muko Muko</v>
      </c>
      <c r="C2412" s="81" t="str">
        <f t="array" ref="C2412">xlookup(B2412,Reference!$A$2:$A$152,Reference!$B$2:$B$152)</f>
        <v>Bengkulu</v>
      </c>
      <c r="D2412" s="82" t="s">
        <v>2851</v>
      </c>
      <c r="E2412" s="83">
        <v>45352.0</v>
      </c>
      <c r="F2412" s="91" t="str">
        <f t="array" ref="F2412">XLOOKUP(G2412,Reference!$F:$F,Reference!$D:$D,"null")</f>
        <v>Rekreasi dan Kendaraan</v>
      </c>
      <c r="G2412" s="89" t="s">
        <v>102</v>
      </c>
      <c r="H2412" s="90">
        <v>100.71</v>
      </c>
      <c r="I2412" s="90">
        <v>100.71</v>
      </c>
      <c r="J2412" s="87">
        <f t="shared" si="2"/>
        <v>0</v>
      </c>
      <c r="K2412" s="84" t="str">
        <f t="shared" si="3"/>
        <v>Stabil</v>
      </c>
      <c r="L2412" s="91">
        <f t="shared" si="4"/>
        <v>0</v>
      </c>
      <c r="M2412" s="88" t="str">
        <f t="shared" si="5"/>
        <v>Perubahan Normal</v>
      </c>
    </row>
    <row r="2413" ht="18.75" customHeight="1">
      <c r="A2413" s="80" t="s">
        <v>616</v>
      </c>
      <c r="B2413" s="81" t="str">
        <f t="shared" si="1"/>
        <v>Kab Sorong</v>
      </c>
      <c r="C2413" s="81" t="str">
        <f t="array" ref="C2413">xlookup(B2413,Reference!$A$2:$A$152,Reference!$B$2:$B$152)</f>
        <v>Papua Barat Daya</v>
      </c>
      <c r="D2413" s="82" t="s">
        <v>2852</v>
      </c>
      <c r="E2413" s="83">
        <v>45323.0</v>
      </c>
      <c r="F2413" s="91" t="str">
        <f t="array" ref="F2413">XLOOKUP(G2413,Reference!$F:$F,Reference!$D:$D,"null")</f>
        <v>Rekreasi dan Kendaraan</v>
      </c>
      <c r="G2413" s="85" t="s">
        <v>105</v>
      </c>
      <c r="H2413" s="86">
        <v>100.11</v>
      </c>
      <c r="I2413" s="86">
        <v>100.11</v>
      </c>
      <c r="J2413" s="87">
        <f t="shared" si="2"/>
        <v>0</v>
      </c>
      <c r="K2413" s="84" t="str">
        <f t="shared" si="3"/>
        <v>Stabil</v>
      </c>
      <c r="L2413" s="84">
        <f t="shared" si="4"/>
        <v>0</v>
      </c>
      <c r="M2413" s="88" t="str">
        <f t="shared" si="5"/>
        <v>Perubahan Normal</v>
      </c>
    </row>
    <row r="2414" ht="18.75" customHeight="1">
      <c r="A2414" s="80" t="s">
        <v>471</v>
      </c>
      <c r="B2414" s="81" t="str">
        <f t="shared" si="1"/>
        <v>Kab Gunungkidul</v>
      </c>
      <c r="C2414" s="81" t="str">
        <f t="array" ref="C2414">xlookup(B2414,Reference!$A$2:$A$152,Reference!$B$2:$B$152)</f>
        <v>D.I. Yogyakarta</v>
      </c>
      <c r="D2414" s="82" t="s">
        <v>2853</v>
      </c>
      <c r="E2414" s="83">
        <v>45323.0</v>
      </c>
      <c r="F2414" s="91" t="str">
        <f t="array" ref="F2414">XLOOKUP(G2414,Reference!$F:$F,Reference!$D:$D,"null")</f>
        <v>Pendidikan dan Kesehatan</v>
      </c>
      <c r="G2414" s="85" t="s">
        <v>98</v>
      </c>
      <c r="H2414" s="86">
        <v>102.43</v>
      </c>
      <c r="I2414" s="86">
        <v>102.43</v>
      </c>
      <c r="J2414" s="87">
        <f t="shared" si="2"/>
        <v>0</v>
      </c>
      <c r="K2414" s="84" t="str">
        <f t="shared" si="3"/>
        <v>Stabil</v>
      </c>
      <c r="L2414" s="84">
        <f t="shared" si="4"/>
        <v>0</v>
      </c>
      <c r="M2414" s="88" t="str">
        <f t="shared" si="5"/>
        <v>Perubahan Normal</v>
      </c>
    </row>
    <row r="2415" ht="18.75" customHeight="1">
      <c r="A2415" s="80" t="s">
        <v>360</v>
      </c>
      <c r="B2415" s="81" t="str">
        <f t="shared" si="1"/>
        <v>Kab Wonosobo</v>
      </c>
      <c r="C2415" s="81" t="str">
        <f t="array" ref="C2415">xlookup(B2415,Reference!$A$2:$A$152,Reference!$B$2:$B$152)</f>
        <v>Jawa Tengah</v>
      </c>
      <c r="D2415" s="82" t="s">
        <v>2854</v>
      </c>
      <c r="E2415" s="83">
        <v>45352.0</v>
      </c>
      <c r="F2415" s="91" t="str">
        <f t="array" ref="F2415">XLOOKUP(G2415,Reference!$F:$F,Reference!$D:$D,"null")</f>
        <v>Rumah Tangga</v>
      </c>
      <c r="G2415" s="85" t="s">
        <v>80</v>
      </c>
      <c r="H2415" s="86">
        <v>101.15</v>
      </c>
      <c r="I2415" s="86">
        <v>100.16</v>
      </c>
      <c r="J2415" s="87">
        <f t="shared" si="2"/>
        <v>0.9884185304</v>
      </c>
      <c r="K2415" s="84" t="str">
        <f t="shared" si="3"/>
        <v>Inflasi Tinggi</v>
      </c>
      <c r="L2415" s="84">
        <f t="shared" si="4"/>
        <v>0.99</v>
      </c>
      <c r="M2415" s="88" t="str">
        <f t="shared" si="5"/>
        <v>Akselerasi Persentase</v>
      </c>
    </row>
    <row r="2416" ht="18.75" customHeight="1">
      <c r="A2416" s="80" t="s">
        <v>308</v>
      </c>
      <c r="B2416" s="81" t="str">
        <f t="shared" si="1"/>
        <v>Kab Sukamara</v>
      </c>
      <c r="C2416" s="81" t="str">
        <f t="array" ref="C2416">xlookup(B2416,Reference!$A$2:$A$152,Reference!$B$2:$B$152)</f>
        <v>Kalimantan Tengah</v>
      </c>
      <c r="D2416" s="82" t="s">
        <v>2855</v>
      </c>
      <c r="E2416" s="83">
        <v>45352.0</v>
      </c>
      <c r="F2416" s="91" t="str">
        <f t="array" ref="F2416">XLOOKUP(G2416,Reference!$F:$F,Reference!$D:$D,"null")</f>
        <v>Rumah Tangga</v>
      </c>
      <c r="G2416" s="85" t="s">
        <v>84</v>
      </c>
      <c r="H2416" s="86">
        <v>101.0</v>
      </c>
      <c r="I2416" s="86">
        <v>100.83</v>
      </c>
      <c r="J2416" s="87">
        <f t="shared" si="2"/>
        <v>0.1686006149</v>
      </c>
      <c r="K2416" s="84" t="str">
        <f t="shared" si="3"/>
        <v>Inflasi Normal</v>
      </c>
      <c r="L2416" s="84">
        <f t="shared" si="4"/>
        <v>0.17</v>
      </c>
      <c r="M2416" s="88" t="str">
        <f t="shared" si="5"/>
        <v>Perubahan Normal</v>
      </c>
    </row>
    <row r="2417" ht="18.75" customHeight="1">
      <c r="A2417" s="80" t="s">
        <v>314</v>
      </c>
      <c r="B2417" s="81" t="str">
        <f t="shared" si="1"/>
        <v>Kota Jayapura</v>
      </c>
      <c r="C2417" s="81" t="str">
        <f t="array" ref="C2417">xlookup(B2417,Reference!$A$2:$A$152,Reference!$B$2:$B$152)</f>
        <v>Papua</v>
      </c>
      <c r="D2417" s="82" t="s">
        <v>2856</v>
      </c>
      <c r="E2417" s="83">
        <v>45323.0</v>
      </c>
      <c r="F2417" s="91" t="str">
        <f t="array" ref="F2417">XLOOKUP(G2417,Reference!$F:$F,Reference!$D:$D,"null")</f>
        <v>Makanan dan Pakaian </v>
      </c>
      <c r="G2417" s="85" t="s">
        <v>48</v>
      </c>
      <c r="H2417" s="86">
        <v>99.93</v>
      </c>
      <c r="I2417" s="86">
        <v>101.85</v>
      </c>
      <c r="J2417" s="87">
        <f t="shared" si="2"/>
        <v>-1.885125184</v>
      </c>
      <c r="K2417" s="84" t="str">
        <f t="shared" si="3"/>
        <v>Deflasi</v>
      </c>
      <c r="L2417" s="84">
        <f t="shared" si="4"/>
        <v>-1.92</v>
      </c>
      <c r="M2417" s="88" t="str">
        <f t="shared" si="5"/>
        <v>Perubahan Normal</v>
      </c>
    </row>
    <row r="2418" ht="18.75" customHeight="1">
      <c r="A2418" s="80" t="s">
        <v>532</v>
      </c>
      <c r="B2418" s="81" t="str">
        <f t="shared" si="1"/>
        <v>Kota Palembang</v>
      </c>
      <c r="C2418" s="81" t="str">
        <f t="array" ref="C2418">xlookup(B2418,Reference!$A$2:$A$152,Reference!$B$2:$B$152)</f>
        <v>Sumatera Selatan</v>
      </c>
      <c r="D2418" s="82" t="s">
        <v>2857</v>
      </c>
      <c r="E2418" s="83">
        <v>45352.0</v>
      </c>
      <c r="F2418" s="91" t="str">
        <f t="array" ref="F2418">XLOOKUP(G2418,Reference!$F:$F,Reference!$D:$D,"null")</f>
        <v>Rekreasi dan Kendaraan</v>
      </c>
      <c r="G2418" s="85" t="s">
        <v>102</v>
      </c>
      <c r="H2418" s="86">
        <v>102.15</v>
      </c>
      <c r="I2418" s="86">
        <v>102.15</v>
      </c>
      <c r="J2418" s="87">
        <f t="shared" si="2"/>
        <v>0</v>
      </c>
      <c r="K2418" s="84" t="str">
        <f t="shared" si="3"/>
        <v>Stabil</v>
      </c>
      <c r="L2418" s="84">
        <f t="shared" si="4"/>
        <v>0</v>
      </c>
      <c r="M2418" s="88" t="str">
        <f t="shared" si="5"/>
        <v>Perubahan Normal</v>
      </c>
    </row>
    <row r="2419" ht="18.75" customHeight="1">
      <c r="A2419" s="80" t="s">
        <v>300</v>
      </c>
      <c r="B2419" s="81" t="str">
        <f t="shared" si="1"/>
        <v>Sintang</v>
      </c>
      <c r="C2419" s="81" t="str">
        <f t="array" ref="C2419">xlookup(B2419,Reference!$A$2:$A$152,Reference!$B$2:$B$152)</f>
        <v>Kalimantan Barat</v>
      </c>
      <c r="D2419" s="82" t="s">
        <v>2858</v>
      </c>
      <c r="E2419" s="83">
        <v>45352.0</v>
      </c>
      <c r="F2419" s="91" t="str">
        <f t="array" ref="F2419">XLOOKUP(G2419,Reference!$F:$F,Reference!$D:$D,"null")</f>
        <v>Makanan dan Pakaian </v>
      </c>
      <c r="G2419" s="85" t="s">
        <v>72</v>
      </c>
      <c r="H2419" s="86">
        <v>101.0</v>
      </c>
      <c r="I2419" s="86">
        <v>101.0</v>
      </c>
      <c r="J2419" s="87">
        <f t="shared" si="2"/>
        <v>0</v>
      </c>
      <c r="K2419" s="84" t="str">
        <f t="shared" si="3"/>
        <v>Stabil</v>
      </c>
      <c r="L2419" s="84">
        <f t="shared" si="4"/>
        <v>0</v>
      </c>
      <c r="M2419" s="88" t="str">
        <f t="shared" si="5"/>
        <v>Perubahan Normal</v>
      </c>
    </row>
    <row r="2420" ht="18.75" customHeight="1">
      <c r="A2420" s="80" t="s">
        <v>431</v>
      </c>
      <c r="B2420" s="81" t="str">
        <f t="shared" si="1"/>
        <v>Kota Ternate</v>
      </c>
      <c r="C2420" s="81" t="str">
        <f t="array" ref="C2420">xlookup(B2420,Reference!$A$2:$A$152,Reference!$B$2:$B$152)</f>
        <v>Maluku Utara</v>
      </c>
      <c r="D2420" s="82" t="s">
        <v>2859</v>
      </c>
      <c r="E2420" s="83">
        <v>45323.0</v>
      </c>
      <c r="F2420" s="91" t="str">
        <f t="array" ref="F2420">XLOOKUP(G2420,Reference!$F:$F,Reference!$D:$D,"null")</f>
        <v>Pendidikan dan Kesehatan</v>
      </c>
      <c r="G2420" s="85" t="s">
        <v>98</v>
      </c>
      <c r="H2420" s="86">
        <v>102.83</v>
      </c>
      <c r="I2420" s="86">
        <v>102.82</v>
      </c>
      <c r="J2420" s="87">
        <f t="shared" si="2"/>
        <v>0.009725734293</v>
      </c>
      <c r="K2420" s="84" t="str">
        <f t="shared" si="3"/>
        <v>Inflasi Normal</v>
      </c>
      <c r="L2420" s="84">
        <f t="shared" si="4"/>
        <v>0.01</v>
      </c>
      <c r="M2420" s="88" t="str">
        <f t="shared" si="5"/>
        <v>Perubahan Normal</v>
      </c>
    </row>
    <row r="2421" ht="18.75" customHeight="1">
      <c r="A2421" s="80" t="s">
        <v>429</v>
      </c>
      <c r="B2421" s="81" t="str">
        <f t="shared" si="1"/>
        <v>Kab Nabire</v>
      </c>
      <c r="C2421" s="81" t="str">
        <f t="array" ref="C2421">xlookup(B2421,Reference!$A$2:$A$152,Reference!$B$2:$B$152)</f>
        <v>Papua</v>
      </c>
      <c r="D2421" s="82" t="s">
        <v>2860</v>
      </c>
      <c r="E2421" s="83">
        <v>45352.0</v>
      </c>
      <c r="F2421" s="91" t="str">
        <f t="array" ref="F2421">XLOOKUP(G2421,Reference!$F:$F,Reference!$D:$D,"null")</f>
        <v>Makanan dan Pakaian </v>
      </c>
      <c r="G2421" s="85" t="s">
        <v>72</v>
      </c>
      <c r="H2421" s="86">
        <v>108.61</v>
      </c>
      <c r="I2421" s="86">
        <v>108.61</v>
      </c>
      <c r="J2421" s="87">
        <f t="shared" si="2"/>
        <v>0</v>
      </c>
      <c r="K2421" s="84" t="str">
        <f t="shared" si="3"/>
        <v>Stabil</v>
      </c>
      <c r="L2421" s="84">
        <f t="shared" si="4"/>
        <v>0</v>
      </c>
      <c r="M2421" s="88" t="str">
        <f t="shared" si="5"/>
        <v>Perubahan Normal</v>
      </c>
    </row>
    <row r="2422" ht="18.75" customHeight="1">
      <c r="A2422" s="80" t="s">
        <v>320</v>
      </c>
      <c r="B2422" s="81" t="str">
        <f t="shared" si="1"/>
        <v>Kota Manado</v>
      </c>
      <c r="C2422" s="81" t="str">
        <f t="array" ref="C2422">xlookup(B2422,Reference!$A$2:$A$152,Reference!$B$2:$B$152)</f>
        <v>Sulawesi Utara</v>
      </c>
      <c r="D2422" s="82" t="s">
        <v>2861</v>
      </c>
      <c r="E2422" s="83">
        <v>45352.0</v>
      </c>
      <c r="F2422" s="91" t="str">
        <f t="array" ref="F2422">XLOOKUP(G2422,Reference!$F:$F,Reference!$D:$D,"null")</f>
        <v>Rekreasi dan Kendaraan</v>
      </c>
      <c r="G2422" s="85" t="s">
        <v>105</v>
      </c>
      <c r="H2422" s="86">
        <v>104.98</v>
      </c>
      <c r="I2422" s="86">
        <v>104.98</v>
      </c>
      <c r="J2422" s="87">
        <f t="shared" si="2"/>
        <v>0</v>
      </c>
      <c r="K2422" s="84" t="str">
        <f t="shared" si="3"/>
        <v>Stabil</v>
      </c>
      <c r="L2422" s="84">
        <f t="shared" si="4"/>
        <v>0</v>
      </c>
      <c r="M2422" s="88" t="str">
        <f t="shared" si="5"/>
        <v>Perubahan Normal</v>
      </c>
    </row>
    <row r="2423" ht="18.75" customHeight="1">
      <c r="A2423" s="80" t="s">
        <v>762</v>
      </c>
      <c r="B2423" s="81" t="str">
        <f t="shared" si="1"/>
        <v>Kota Pangkal Pinang</v>
      </c>
      <c r="C2423" s="81" t="str">
        <f t="array" ref="C2423">xlookup(B2423,Reference!$A$2:$A$152,Reference!$B$2:$B$152)</f>
        <v>Kepulauan Bangka Belitung</v>
      </c>
      <c r="D2423" s="82" t="s">
        <v>2862</v>
      </c>
      <c r="E2423" s="83">
        <v>45323.0</v>
      </c>
      <c r="F2423" s="91" t="str">
        <f t="array" ref="F2423">XLOOKUP(G2423,Reference!$F:$F,Reference!$D:$D,"null")</f>
        <v>Makanan dan Pakaian </v>
      </c>
      <c r="G2423" s="85" t="s">
        <v>56</v>
      </c>
      <c r="H2423" s="86">
        <v>106.88</v>
      </c>
      <c r="I2423" s="86">
        <v>106.88</v>
      </c>
      <c r="J2423" s="87">
        <f t="shared" si="2"/>
        <v>0</v>
      </c>
      <c r="K2423" s="84" t="str">
        <f t="shared" si="3"/>
        <v>Stabil</v>
      </c>
      <c r="L2423" s="84">
        <f t="shared" si="4"/>
        <v>0</v>
      </c>
      <c r="M2423" s="88" t="str">
        <f t="shared" si="5"/>
        <v>Perubahan Normal</v>
      </c>
    </row>
    <row r="2424" ht="18.75" customHeight="1">
      <c r="A2424" s="80" t="s">
        <v>473</v>
      </c>
      <c r="B2424" s="81" t="str">
        <f t="shared" si="1"/>
        <v>Kab Wajo</v>
      </c>
      <c r="C2424" s="81" t="str">
        <f t="array" ref="C2424">xlookup(B2424,Reference!$A$2:$A$152,Reference!$B$2:$B$152)</f>
        <v>Sulawesi Selatan</v>
      </c>
      <c r="D2424" s="82" t="s">
        <v>2863</v>
      </c>
      <c r="E2424" s="83">
        <v>45323.0</v>
      </c>
      <c r="F2424" s="91" t="str">
        <f t="array" ref="F2424">XLOOKUP(G2424,Reference!$F:$F,Reference!$D:$D,"null")</f>
        <v>Makanan dan Pakaian </v>
      </c>
      <c r="G2424" s="85" t="s">
        <v>64</v>
      </c>
      <c r="H2424" s="86">
        <v>107.3</v>
      </c>
      <c r="I2424" s="86">
        <v>106.97</v>
      </c>
      <c r="J2424" s="87">
        <f t="shared" si="2"/>
        <v>0.3084977096</v>
      </c>
      <c r="K2424" s="84" t="str">
        <f t="shared" si="3"/>
        <v>Inflasi Normal</v>
      </c>
      <c r="L2424" s="84">
        <f t="shared" si="4"/>
        <v>0.33</v>
      </c>
      <c r="M2424" s="88" t="str">
        <f t="shared" si="5"/>
        <v>Perubahan Normal</v>
      </c>
    </row>
    <row r="2425" ht="18.75" customHeight="1">
      <c r="A2425" s="80" t="s">
        <v>539</v>
      </c>
      <c r="B2425" s="81" t="str">
        <f t="shared" si="1"/>
        <v>Kab Sorong Selatan</v>
      </c>
      <c r="C2425" s="81" t="str">
        <f t="array" ref="C2425">xlookup(B2425,Reference!$A$2:$A$152,Reference!$B$2:$B$152)</f>
        <v>Papua Barat Daya</v>
      </c>
      <c r="D2425" s="82" t="s">
        <v>2864</v>
      </c>
      <c r="E2425" s="83">
        <v>45352.0</v>
      </c>
      <c r="F2425" s="91" t="str">
        <f t="array" ref="F2425">XLOOKUP(G2425,Reference!$F:$F,Reference!$D:$D,"null")</f>
        <v>Rekreasi dan Kendaraan</v>
      </c>
      <c r="G2425" s="85" t="s">
        <v>102</v>
      </c>
      <c r="H2425" s="86">
        <v>104.16</v>
      </c>
      <c r="I2425" s="86">
        <v>104.16</v>
      </c>
      <c r="J2425" s="87">
        <f t="shared" si="2"/>
        <v>0</v>
      </c>
      <c r="K2425" s="84" t="str">
        <f t="shared" si="3"/>
        <v>Stabil</v>
      </c>
      <c r="L2425" s="84">
        <f t="shared" si="4"/>
        <v>0</v>
      </c>
      <c r="M2425" s="88" t="str">
        <f t="shared" si="5"/>
        <v>Perubahan Normal</v>
      </c>
    </row>
    <row r="2426" ht="18.75" customHeight="1">
      <c r="A2426" s="80" t="s">
        <v>925</v>
      </c>
      <c r="B2426" s="81" t="str">
        <f t="shared" si="1"/>
        <v>Kota Jakarta</v>
      </c>
      <c r="C2426" s="81" t="str">
        <f t="array" ref="C2426">xlookup(B2426,Reference!$A$2:$A$152,Reference!$B$2:$B$152)</f>
        <v>DKI Jakarta</v>
      </c>
      <c r="D2426" s="82" t="s">
        <v>2865</v>
      </c>
      <c r="E2426" s="83">
        <v>45323.0</v>
      </c>
      <c r="F2426" s="91" t="str">
        <f t="array" ref="F2426">XLOOKUP(G2426,Reference!$F:$F,Reference!$D:$D,"null")</f>
        <v>Makanan dan Pakaian </v>
      </c>
      <c r="G2426" s="85" t="s">
        <v>48</v>
      </c>
      <c r="H2426" s="86">
        <v>109.52</v>
      </c>
      <c r="I2426" s="86">
        <v>107.97</v>
      </c>
      <c r="J2426" s="87">
        <f t="shared" si="2"/>
        <v>1.435583959</v>
      </c>
      <c r="K2426" s="84" t="str">
        <f t="shared" si="3"/>
        <v>Inflasi Tinggi</v>
      </c>
      <c r="L2426" s="84">
        <f t="shared" si="4"/>
        <v>1.55</v>
      </c>
      <c r="M2426" s="88" t="str">
        <f t="shared" si="5"/>
        <v>Akselerasi Persentase</v>
      </c>
    </row>
    <row r="2427" ht="18.75" customHeight="1">
      <c r="A2427" s="80" t="s">
        <v>382</v>
      </c>
      <c r="B2427" s="81" t="str">
        <f t="shared" si="1"/>
        <v>Kab Ngada</v>
      </c>
      <c r="C2427" s="81" t="str">
        <f t="array" ref="C2427">xlookup(B2427,Reference!$A$2:$A$152,Reference!$B$2:$B$152)</f>
        <v>Nusa Tenggara Timur (NTT)</v>
      </c>
      <c r="D2427" s="82" t="s">
        <v>2866</v>
      </c>
      <c r="E2427" s="83">
        <v>45352.0</v>
      </c>
      <c r="F2427" s="91" t="str">
        <f t="array" ref="F2427">XLOOKUP(G2427,Reference!$F:$F,Reference!$D:$D,"null")</f>
        <v>Rumah Tangga</v>
      </c>
      <c r="G2427" s="85" t="s">
        <v>84</v>
      </c>
      <c r="H2427" s="86">
        <v>101.09</v>
      </c>
      <c r="I2427" s="86">
        <v>101.09</v>
      </c>
      <c r="J2427" s="87">
        <f t="shared" si="2"/>
        <v>0</v>
      </c>
      <c r="K2427" s="84" t="str">
        <f t="shared" si="3"/>
        <v>Stabil</v>
      </c>
      <c r="L2427" s="84">
        <f t="shared" si="4"/>
        <v>0</v>
      </c>
      <c r="M2427" s="88" t="str">
        <f t="shared" si="5"/>
        <v>Perubahan Normal</v>
      </c>
    </row>
    <row r="2428" ht="18.75" customHeight="1">
      <c r="A2428" s="80" t="s">
        <v>485</v>
      </c>
      <c r="B2428" s="81" t="str">
        <f t="shared" si="1"/>
        <v>Banyuwangi</v>
      </c>
      <c r="C2428" s="81" t="str">
        <f t="array" ref="C2428">xlookup(B2428,Reference!$A$2:$A$152,Reference!$B$2:$B$152)</f>
        <v>Jawa Timur</v>
      </c>
      <c r="D2428" s="82" t="s">
        <v>2867</v>
      </c>
      <c r="E2428" s="83">
        <v>45352.0</v>
      </c>
      <c r="F2428" s="91" t="str">
        <f t="array" ref="F2428">XLOOKUP(G2428,Reference!$F:$F,Reference!$D:$D,"null")</f>
        <v>Rumah Tangga</v>
      </c>
      <c r="G2428" s="85" t="s">
        <v>80</v>
      </c>
      <c r="H2428" s="86">
        <v>101.25</v>
      </c>
      <c r="I2428" s="86">
        <v>101.18</v>
      </c>
      <c r="J2428" s="87">
        <f t="shared" si="2"/>
        <v>0.06918363313</v>
      </c>
      <c r="K2428" s="84" t="str">
        <f t="shared" si="3"/>
        <v>Inflasi Normal</v>
      </c>
      <c r="L2428" s="84">
        <f t="shared" si="4"/>
        <v>0.07</v>
      </c>
      <c r="M2428" s="88" t="str">
        <f t="shared" si="5"/>
        <v>Perubahan Normal</v>
      </c>
    </row>
    <row r="2429" ht="18.75" customHeight="1">
      <c r="A2429" s="80" t="s">
        <v>837</v>
      </c>
      <c r="B2429" s="81" t="str">
        <f t="shared" si="1"/>
        <v>Kab Luwu Timur</v>
      </c>
      <c r="C2429" s="81" t="str">
        <f t="array" ref="C2429">xlookup(B2429,Reference!$A$2:$A$152,Reference!$B$2:$B$152)</f>
        <v>Sulawesi Selatan</v>
      </c>
      <c r="D2429" s="82" t="s">
        <v>2868</v>
      </c>
      <c r="E2429" s="83">
        <v>45352.0</v>
      </c>
      <c r="F2429" s="91" t="str">
        <f t="array" ref="F2429">XLOOKUP(G2429,Reference!$F:$F,Reference!$D:$D,"null")</f>
        <v>Pendidikan dan Kesehatan</v>
      </c>
      <c r="G2429" s="85" t="s">
        <v>98</v>
      </c>
      <c r="H2429" s="86">
        <v>97.74</v>
      </c>
      <c r="I2429" s="86">
        <v>98.14</v>
      </c>
      <c r="J2429" s="87">
        <f t="shared" si="2"/>
        <v>-0.4075810067</v>
      </c>
      <c r="K2429" s="84" t="str">
        <f t="shared" si="3"/>
        <v>Deflasi</v>
      </c>
      <c r="L2429" s="84">
        <f t="shared" si="4"/>
        <v>-0.4</v>
      </c>
      <c r="M2429" s="88" t="str">
        <f t="shared" si="5"/>
        <v>Perubahan Normal</v>
      </c>
    </row>
    <row r="2430" ht="18.75" customHeight="1">
      <c r="A2430" s="80" t="s">
        <v>367</v>
      </c>
      <c r="B2430" s="81" t="str">
        <f t="shared" si="1"/>
        <v>Kota Jambi</v>
      </c>
      <c r="C2430" s="81" t="str">
        <f t="array" ref="C2430">xlookup(B2430,Reference!$A$2:$A$152,Reference!$B$2:$B$152)</f>
        <v>Jambi</v>
      </c>
      <c r="D2430" s="82" t="s">
        <v>2869</v>
      </c>
      <c r="E2430" s="83">
        <v>45352.0</v>
      </c>
      <c r="F2430" s="91" t="str">
        <f t="array" ref="F2430">XLOOKUP(G2430,Reference!$F:$F,Reference!$D:$D,"null")</f>
        <v>Makanan dan Pakaian </v>
      </c>
      <c r="G2430" s="85" t="s">
        <v>72</v>
      </c>
      <c r="H2430" s="86">
        <v>100.42</v>
      </c>
      <c r="I2430" s="86">
        <v>100.42</v>
      </c>
      <c r="J2430" s="87">
        <f t="shared" si="2"/>
        <v>0</v>
      </c>
      <c r="K2430" s="84" t="str">
        <f t="shared" si="3"/>
        <v>Stabil</v>
      </c>
      <c r="L2430" s="84">
        <f t="shared" si="4"/>
        <v>0</v>
      </c>
      <c r="M2430" s="88" t="str">
        <f t="shared" si="5"/>
        <v>Perubahan Normal</v>
      </c>
    </row>
    <row r="2431" ht="18.75" customHeight="1">
      <c r="A2431" s="80" t="s">
        <v>360</v>
      </c>
      <c r="B2431" s="81" t="str">
        <f t="shared" si="1"/>
        <v>Kab Wonosobo</v>
      </c>
      <c r="C2431" s="81" t="str">
        <f t="array" ref="C2431">xlookup(B2431,Reference!$A$2:$A$152,Reference!$B$2:$B$152)</f>
        <v>Jawa Tengah</v>
      </c>
      <c r="D2431" s="82" t="s">
        <v>2870</v>
      </c>
      <c r="E2431" s="83">
        <v>45352.0</v>
      </c>
      <c r="F2431" s="91" t="str">
        <f t="array" ref="F2431">XLOOKUP(G2431,Reference!$F:$F,Reference!$D:$D,"null")</f>
        <v>Makanan dan Pakaian </v>
      </c>
      <c r="G2431" s="85" t="s">
        <v>56</v>
      </c>
      <c r="H2431" s="86">
        <v>105.86</v>
      </c>
      <c r="I2431" s="86">
        <v>105.86</v>
      </c>
      <c r="J2431" s="87">
        <f t="shared" si="2"/>
        <v>0</v>
      </c>
      <c r="K2431" s="84" t="str">
        <f t="shared" si="3"/>
        <v>Stabil</v>
      </c>
      <c r="L2431" s="84">
        <f t="shared" si="4"/>
        <v>0</v>
      </c>
      <c r="M2431" s="88" t="str">
        <f t="shared" si="5"/>
        <v>Perubahan Normal</v>
      </c>
    </row>
    <row r="2432" ht="18.75" customHeight="1">
      <c r="A2432" s="80" t="s">
        <v>454</v>
      </c>
      <c r="B2432" s="81" t="str">
        <f t="shared" si="1"/>
        <v>Kab Ketapang</v>
      </c>
      <c r="C2432" s="81" t="str">
        <f t="array" ref="C2432">xlookup(B2432,Reference!$A$2:$A$152,Reference!$B$2:$B$152)</f>
        <v>Kalimantan Barat</v>
      </c>
      <c r="D2432" s="82" t="s">
        <v>2871</v>
      </c>
      <c r="E2432" s="83">
        <v>45352.0</v>
      </c>
      <c r="F2432" s="91" t="str">
        <f t="array" ref="F2432">XLOOKUP(G2432,Reference!$F:$F,Reference!$D:$D,"null")</f>
        <v>Makanan dan Pakaian </v>
      </c>
      <c r="G2432" s="89" t="s">
        <v>64</v>
      </c>
      <c r="H2432" s="90">
        <v>101.77</v>
      </c>
      <c r="I2432" s="90">
        <v>101.77</v>
      </c>
      <c r="J2432" s="87">
        <f t="shared" si="2"/>
        <v>0</v>
      </c>
      <c r="K2432" s="84" t="str">
        <f t="shared" si="3"/>
        <v>Stabil</v>
      </c>
      <c r="L2432" s="91">
        <f t="shared" si="4"/>
        <v>0</v>
      </c>
      <c r="M2432" s="88" t="str">
        <f t="shared" si="5"/>
        <v>Perubahan Normal</v>
      </c>
    </row>
    <row r="2433" ht="18.75" customHeight="1">
      <c r="A2433" s="80" t="s">
        <v>304</v>
      </c>
      <c r="B2433" s="81" t="str">
        <f t="shared" si="1"/>
        <v>Kota Kediri</v>
      </c>
      <c r="C2433" s="81" t="str">
        <f t="array" ref="C2433">xlookup(B2433,Reference!$A$2:$A$152,Reference!$B$2:$B$152)</f>
        <v>Jawa Timur</v>
      </c>
      <c r="D2433" s="82" t="s">
        <v>2872</v>
      </c>
      <c r="E2433" s="83">
        <v>45323.0</v>
      </c>
      <c r="F2433" s="91" t="str">
        <f t="array" ref="F2433">XLOOKUP(G2433,Reference!$F:$F,Reference!$D:$D,"null")</f>
        <v>Rekreasi dan Kendaraan</v>
      </c>
      <c r="G2433" s="89" t="s">
        <v>102</v>
      </c>
      <c r="H2433" s="90">
        <v>100.0</v>
      </c>
      <c r="I2433" s="90">
        <v>100.0</v>
      </c>
      <c r="J2433" s="87">
        <f t="shared" si="2"/>
        <v>0</v>
      </c>
      <c r="K2433" s="84" t="str">
        <f t="shared" si="3"/>
        <v>Stabil</v>
      </c>
      <c r="L2433" s="91">
        <f t="shared" si="4"/>
        <v>0</v>
      </c>
      <c r="M2433" s="88" t="str">
        <f t="shared" si="5"/>
        <v>Perubahan Normal</v>
      </c>
    </row>
    <row r="2434" ht="18.75" customHeight="1">
      <c r="A2434" s="80" t="s">
        <v>502</v>
      </c>
      <c r="B2434" s="81" t="str">
        <f t="shared" si="1"/>
        <v>Muara Bungo</v>
      </c>
      <c r="C2434" s="81" t="str">
        <f t="array" ref="C2434">xlookup(B2434,Reference!$A$2:$A$152,Reference!$B$2:$B$152)</f>
        <v>Jambi</v>
      </c>
      <c r="D2434" s="82" t="s">
        <v>2873</v>
      </c>
      <c r="E2434" s="83">
        <v>45352.0</v>
      </c>
      <c r="F2434" s="91" t="str">
        <f t="array" ref="F2434">XLOOKUP(G2434,Reference!$F:$F,Reference!$D:$D,"null")</f>
        <v>Makanan dan Pakaian </v>
      </c>
      <c r="G2434" s="85" t="s">
        <v>56</v>
      </c>
      <c r="H2434" s="86">
        <v>106.16</v>
      </c>
      <c r="I2434" s="86">
        <v>104.91</v>
      </c>
      <c r="J2434" s="87">
        <f t="shared" si="2"/>
        <v>1.191497474</v>
      </c>
      <c r="K2434" s="84" t="str">
        <f t="shared" si="3"/>
        <v>Inflasi Tinggi</v>
      </c>
      <c r="L2434" s="84">
        <f t="shared" si="4"/>
        <v>1.25</v>
      </c>
      <c r="M2434" s="88" t="str">
        <f t="shared" si="5"/>
        <v>Akselerasi Persentase</v>
      </c>
    </row>
    <row r="2435" ht="18.75" customHeight="1">
      <c r="A2435" s="80" t="s">
        <v>425</v>
      </c>
      <c r="B2435" s="81" t="str">
        <f t="shared" si="1"/>
        <v>Kab Gorontalo</v>
      </c>
      <c r="C2435" s="81" t="str">
        <f t="array" ref="C2435">xlookup(B2435,Reference!$A$2:$A$152,Reference!$B$2:$B$152)</f>
        <v>Gorontalo</v>
      </c>
      <c r="D2435" s="82" t="s">
        <v>2874</v>
      </c>
      <c r="E2435" s="83">
        <v>45323.0</v>
      </c>
      <c r="F2435" s="91" t="str">
        <f t="array" ref="F2435">XLOOKUP(G2435,Reference!$F:$F,Reference!$D:$D,"null")</f>
        <v>Makanan dan Pakaian </v>
      </c>
      <c r="G2435" s="85" t="s">
        <v>72</v>
      </c>
      <c r="H2435" s="86">
        <v>102.92</v>
      </c>
      <c r="I2435" s="86">
        <v>102.92</v>
      </c>
      <c r="J2435" s="87">
        <f t="shared" si="2"/>
        <v>0</v>
      </c>
      <c r="K2435" s="84" t="str">
        <f t="shared" si="3"/>
        <v>Stabil</v>
      </c>
      <c r="L2435" s="84">
        <f t="shared" si="4"/>
        <v>0</v>
      </c>
      <c r="M2435" s="88" t="str">
        <f t="shared" si="5"/>
        <v>Perubahan Normal</v>
      </c>
    </row>
    <row r="2436" ht="18.75" customHeight="1">
      <c r="A2436" s="80" t="s">
        <v>342</v>
      </c>
      <c r="B2436" s="81" t="str">
        <f t="shared" si="1"/>
        <v>Kab Bandung</v>
      </c>
      <c r="C2436" s="81" t="str">
        <f t="array" ref="C2436">xlookup(B2436,Reference!$A$2:$A$152,Reference!$B$2:$B$152)</f>
        <v>Jawa Barat</v>
      </c>
      <c r="D2436" s="82" t="s">
        <v>2875</v>
      </c>
      <c r="E2436" s="83">
        <v>45323.0</v>
      </c>
      <c r="F2436" s="91" t="str">
        <f t="array" ref="F2436">XLOOKUP(G2436,Reference!$F:$F,Reference!$D:$D,"null")</f>
        <v>Makanan dan Pakaian </v>
      </c>
      <c r="G2436" s="85" t="s">
        <v>72</v>
      </c>
      <c r="H2436" s="86">
        <v>100.95</v>
      </c>
      <c r="I2436" s="86">
        <v>100.93</v>
      </c>
      <c r="J2436" s="87">
        <f t="shared" si="2"/>
        <v>0.01981571386</v>
      </c>
      <c r="K2436" s="84" t="str">
        <f t="shared" si="3"/>
        <v>Inflasi Normal</v>
      </c>
      <c r="L2436" s="84">
        <f t="shared" si="4"/>
        <v>0.02</v>
      </c>
      <c r="M2436" s="88" t="str">
        <f t="shared" si="5"/>
        <v>Perubahan Normal</v>
      </c>
    </row>
    <row r="2437" ht="18.75" customHeight="1">
      <c r="A2437" s="80" t="s">
        <v>581</v>
      </c>
      <c r="B2437" s="81" t="str">
        <f t="shared" si="1"/>
        <v>Kab Dharmasraya</v>
      </c>
      <c r="C2437" s="81" t="str">
        <f t="array" ref="C2437">xlookup(B2437,Reference!$A$2:$A$152,Reference!$B$2:$B$152)</f>
        <v>Sumatera Barat</v>
      </c>
      <c r="D2437" s="82" t="s">
        <v>2876</v>
      </c>
      <c r="E2437" s="83">
        <v>45323.0</v>
      </c>
      <c r="F2437" s="91" t="str">
        <f t="array" ref="F2437">XLOOKUP(G2437,Reference!$F:$F,Reference!$D:$D,"null")</f>
        <v>Rumah Tangga</v>
      </c>
      <c r="G2437" s="85" t="s">
        <v>80</v>
      </c>
      <c r="H2437" s="86">
        <v>100.52</v>
      </c>
      <c r="I2437" s="86">
        <v>100.52</v>
      </c>
      <c r="J2437" s="87">
        <f t="shared" si="2"/>
        <v>0</v>
      </c>
      <c r="K2437" s="84" t="str">
        <f t="shared" si="3"/>
        <v>Stabil</v>
      </c>
      <c r="L2437" s="84">
        <f t="shared" si="4"/>
        <v>0</v>
      </c>
      <c r="M2437" s="88" t="str">
        <f t="shared" si="5"/>
        <v>Perubahan Normal</v>
      </c>
    </row>
    <row r="2438" ht="18.75" customHeight="1">
      <c r="A2438" s="80" t="s">
        <v>399</v>
      </c>
      <c r="B2438" s="81" t="str">
        <f t="shared" si="1"/>
        <v>Sampit</v>
      </c>
      <c r="C2438" s="81" t="str">
        <f t="array" ref="C2438">xlookup(B2438,Reference!$A$2:$A$152,Reference!$B$2:$B$152)</f>
        <v>Kalimantan Tengah</v>
      </c>
      <c r="D2438" s="82" t="s">
        <v>2877</v>
      </c>
      <c r="E2438" s="83">
        <v>45352.0</v>
      </c>
      <c r="F2438" s="91" t="str">
        <f t="array" ref="F2438">XLOOKUP(G2438,Reference!$F:$F,Reference!$D:$D,"null")</f>
        <v>Makanan dan Pakaian </v>
      </c>
      <c r="G2438" s="85" t="s">
        <v>56</v>
      </c>
      <c r="H2438" s="86">
        <v>103.89</v>
      </c>
      <c r="I2438" s="86">
        <v>103.8</v>
      </c>
      <c r="J2438" s="87">
        <f t="shared" si="2"/>
        <v>0.08670520231</v>
      </c>
      <c r="K2438" s="84" t="str">
        <f t="shared" si="3"/>
        <v>Inflasi Normal</v>
      </c>
      <c r="L2438" s="84">
        <f t="shared" si="4"/>
        <v>0.09</v>
      </c>
      <c r="M2438" s="88" t="str">
        <f t="shared" si="5"/>
        <v>Perubahan Normal</v>
      </c>
    </row>
    <row r="2439" ht="18.75" customHeight="1">
      <c r="A2439" s="80" t="s">
        <v>423</v>
      </c>
      <c r="B2439" s="81" t="str">
        <f t="shared" si="1"/>
        <v>Kota Kotamobagu</v>
      </c>
      <c r="C2439" s="81" t="str">
        <f t="array" ref="C2439">xlookup(B2439,Reference!$A$2:$A$152,Reference!$B$2:$B$152)</f>
        <v>Sulawesi Utara</v>
      </c>
      <c r="D2439" s="82" t="s">
        <v>2878</v>
      </c>
      <c r="E2439" s="83">
        <v>45323.0</v>
      </c>
      <c r="F2439" s="91" t="str">
        <f t="array" ref="F2439">XLOOKUP(G2439,Reference!$F:$F,Reference!$D:$D,"null")</f>
        <v>Rekreasi dan Kendaraan</v>
      </c>
      <c r="G2439" s="89" t="s">
        <v>102</v>
      </c>
      <c r="H2439" s="90">
        <v>103.2</v>
      </c>
      <c r="I2439" s="90">
        <v>103.2</v>
      </c>
      <c r="J2439" s="87">
        <f t="shared" si="2"/>
        <v>0</v>
      </c>
      <c r="K2439" s="84" t="str">
        <f t="shared" si="3"/>
        <v>Stabil</v>
      </c>
      <c r="L2439" s="91">
        <f t="shared" si="4"/>
        <v>0</v>
      </c>
      <c r="M2439" s="88" t="str">
        <f t="shared" si="5"/>
        <v>Perubahan Normal</v>
      </c>
    </row>
    <row r="2440" ht="18.75" customHeight="1">
      <c r="A2440" s="80" t="s">
        <v>581</v>
      </c>
      <c r="B2440" s="81" t="str">
        <f t="shared" si="1"/>
        <v>Kab Dharmasraya</v>
      </c>
      <c r="C2440" s="81" t="str">
        <f t="array" ref="C2440">xlookup(B2440,Reference!$A$2:$A$152,Reference!$B$2:$B$152)</f>
        <v>Sumatera Barat</v>
      </c>
      <c r="D2440" s="82" t="s">
        <v>2879</v>
      </c>
      <c r="E2440" s="83">
        <v>45323.0</v>
      </c>
      <c r="F2440" s="91" t="str">
        <f t="array" ref="F2440">XLOOKUP(G2440,Reference!$F:$F,Reference!$D:$D,"null")</f>
        <v>Rumah Tangga</v>
      </c>
      <c r="G2440" s="85" t="s">
        <v>84</v>
      </c>
      <c r="H2440" s="86">
        <v>100.79</v>
      </c>
      <c r="I2440" s="86">
        <v>100.79</v>
      </c>
      <c r="J2440" s="87">
        <f t="shared" si="2"/>
        <v>0</v>
      </c>
      <c r="K2440" s="84" t="str">
        <f t="shared" si="3"/>
        <v>Stabil</v>
      </c>
      <c r="L2440" s="84">
        <f t="shared" si="4"/>
        <v>0</v>
      </c>
      <c r="M2440" s="88" t="str">
        <f t="shared" si="5"/>
        <v>Perubahan Normal</v>
      </c>
    </row>
    <row r="2441" ht="18.75" customHeight="1">
      <c r="A2441" s="80" t="s">
        <v>412</v>
      </c>
      <c r="B2441" s="81" t="str">
        <f t="shared" si="1"/>
        <v>Cilacap</v>
      </c>
      <c r="C2441" s="81" t="str">
        <f t="array" ref="C2441">xlookup(B2441,Reference!$A$2:$A$152,Reference!$B$2:$B$152)</f>
        <v>Jawa Tengah</v>
      </c>
      <c r="D2441" s="82" t="s">
        <v>2880</v>
      </c>
      <c r="E2441" s="83">
        <v>45352.0</v>
      </c>
      <c r="F2441" s="91" t="str">
        <f t="array" ref="F2441">XLOOKUP(G2441,Reference!$F:$F,Reference!$D:$D,"null")</f>
        <v>Makanan dan Pakaian </v>
      </c>
      <c r="G2441" s="85" t="s">
        <v>64</v>
      </c>
      <c r="H2441" s="86">
        <v>101.89</v>
      </c>
      <c r="I2441" s="86">
        <v>101.91</v>
      </c>
      <c r="J2441" s="87">
        <f t="shared" si="2"/>
        <v>-0.01962515945</v>
      </c>
      <c r="K2441" s="84" t="str">
        <f t="shared" si="3"/>
        <v>Deflasi</v>
      </c>
      <c r="L2441" s="84">
        <f t="shared" si="4"/>
        <v>-0.02</v>
      </c>
      <c r="M2441" s="88" t="str">
        <f t="shared" si="5"/>
        <v>Perubahan Normal</v>
      </c>
    </row>
    <row r="2442" ht="18.75" customHeight="1">
      <c r="A2442" s="80" t="s">
        <v>318</v>
      </c>
      <c r="B2442" s="81" t="str">
        <f t="shared" si="1"/>
        <v>Tanjung</v>
      </c>
      <c r="C2442" s="81" t="str">
        <f t="array" ref="C2442">xlookup(B2442,Reference!$A$2:$A$152,Reference!$B$2:$B$152)</f>
        <v>Kalimantan Selatan</v>
      </c>
      <c r="D2442" s="82" t="s">
        <v>2881</v>
      </c>
      <c r="E2442" s="83">
        <v>45352.0</v>
      </c>
      <c r="F2442" s="91" t="str">
        <f t="array" ref="F2442">XLOOKUP(G2442,Reference!$F:$F,Reference!$D:$D,"null")</f>
        <v>Makanan dan Pakaian </v>
      </c>
      <c r="G2442" s="85" t="s">
        <v>56</v>
      </c>
      <c r="H2442" s="86">
        <v>100.36</v>
      </c>
      <c r="I2442" s="86">
        <v>100.36</v>
      </c>
      <c r="J2442" s="87">
        <f t="shared" si="2"/>
        <v>0</v>
      </c>
      <c r="K2442" s="84" t="str">
        <f t="shared" si="3"/>
        <v>Stabil</v>
      </c>
      <c r="L2442" s="84">
        <f t="shared" si="4"/>
        <v>0</v>
      </c>
      <c r="M2442" s="88" t="str">
        <f t="shared" si="5"/>
        <v>Perubahan Normal</v>
      </c>
    </row>
    <row r="2443" ht="18.75" customHeight="1">
      <c r="A2443" s="80" t="s">
        <v>458</v>
      </c>
      <c r="B2443" s="81" t="str">
        <f t="shared" si="1"/>
        <v>Kota Dumai</v>
      </c>
      <c r="C2443" s="81" t="str">
        <f t="array" ref="C2443">xlookup(B2443,Reference!$A$2:$A$152,Reference!$B$2:$B$152)</f>
        <v>Riau</v>
      </c>
      <c r="D2443" s="82" t="s">
        <v>2882</v>
      </c>
      <c r="E2443" s="83">
        <v>45352.0</v>
      </c>
      <c r="F2443" s="91" t="str">
        <f t="array" ref="F2443">XLOOKUP(G2443,Reference!$F:$F,Reference!$D:$D,"null")</f>
        <v>Rumah Tangga</v>
      </c>
      <c r="G2443" s="85" t="s">
        <v>84</v>
      </c>
      <c r="H2443" s="86">
        <v>99.85</v>
      </c>
      <c r="I2443" s="86">
        <v>99.85</v>
      </c>
      <c r="J2443" s="87">
        <f t="shared" si="2"/>
        <v>0</v>
      </c>
      <c r="K2443" s="84" t="str">
        <f t="shared" si="3"/>
        <v>Stabil</v>
      </c>
      <c r="L2443" s="84">
        <f t="shared" si="4"/>
        <v>0</v>
      </c>
      <c r="M2443" s="88" t="str">
        <f t="shared" si="5"/>
        <v>Perubahan Normal</v>
      </c>
    </row>
    <row r="2444" ht="18.75" customHeight="1">
      <c r="A2444" s="80" t="s">
        <v>471</v>
      </c>
      <c r="B2444" s="81" t="str">
        <f t="shared" si="1"/>
        <v>Kab Gunungkidul</v>
      </c>
      <c r="C2444" s="81" t="str">
        <f t="array" ref="C2444">xlookup(B2444,Reference!$A$2:$A$152,Reference!$B$2:$B$152)</f>
        <v>D.I. Yogyakarta</v>
      </c>
      <c r="D2444" s="82" t="s">
        <v>2883</v>
      </c>
      <c r="E2444" s="83">
        <v>45352.0</v>
      </c>
      <c r="F2444" s="91" t="str">
        <f t="array" ref="F2444">XLOOKUP(G2444,Reference!$F:$F,Reference!$D:$D,"null")</f>
        <v>Makanan dan Pakaian </v>
      </c>
      <c r="G2444" s="85" t="s">
        <v>64</v>
      </c>
      <c r="H2444" s="86">
        <v>102.27</v>
      </c>
      <c r="I2444" s="86">
        <v>102.29</v>
      </c>
      <c r="J2444" s="87">
        <f t="shared" si="2"/>
        <v>-0.0195522534</v>
      </c>
      <c r="K2444" s="84" t="str">
        <f t="shared" si="3"/>
        <v>Deflasi</v>
      </c>
      <c r="L2444" s="84">
        <f t="shared" si="4"/>
        <v>-0.02</v>
      </c>
      <c r="M2444" s="88" t="str">
        <f t="shared" si="5"/>
        <v>Perubahan Normal</v>
      </c>
    </row>
    <row r="2445" ht="18.75" customHeight="1">
      <c r="A2445" s="80" t="s">
        <v>401</v>
      </c>
      <c r="B2445" s="81" t="str">
        <f t="shared" si="1"/>
        <v>Kota Tual</v>
      </c>
      <c r="C2445" s="81" t="str">
        <f t="array" ref="C2445">xlookup(B2445,Reference!$A$2:$A$152,Reference!$B$2:$B$152)</f>
        <v>Maluku</v>
      </c>
      <c r="D2445" s="82" t="s">
        <v>2884</v>
      </c>
      <c r="E2445" s="83">
        <v>45323.0</v>
      </c>
      <c r="F2445" s="91" t="str">
        <f t="array" ref="F2445">XLOOKUP(G2445,Reference!$F:$F,Reference!$D:$D,"null")</f>
        <v>Pendidikan dan Kesehatan</v>
      </c>
      <c r="G2445" s="85" t="s">
        <v>98</v>
      </c>
      <c r="H2445" s="86">
        <v>97.5</v>
      </c>
      <c r="I2445" s="86">
        <v>97.5</v>
      </c>
      <c r="J2445" s="87">
        <f t="shared" si="2"/>
        <v>0</v>
      </c>
      <c r="K2445" s="84" t="str">
        <f t="shared" si="3"/>
        <v>Stabil</v>
      </c>
      <c r="L2445" s="84">
        <f t="shared" si="4"/>
        <v>0</v>
      </c>
      <c r="M2445" s="88" t="str">
        <f t="shared" si="5"/>
        <v>Perubahan Normal</v>
      </c>
    </row>
    <row r="2446" ht="18.75" customHeight="1">
      <c r="A2446" s="80" t="s">
        <v>427</v>
      </c>
      <c r="B2446" s="81" t="str">
        <f t="shared" si="1"/>
        <v>Kota Malang</v>
      </c>
      <c r="C2446" s="81" t="str">
        <f t="array" ref="C2446">xlookup(B2446,Reference!$A$2:$A$152,Reference!$B$2:$B$152)</f>
        <v>Jawa Timur</v>
      </c>
      <c r="D2446" s="82" t="s">
        <v>2885</v>
      </c>
      <c r="E2446" s="83">
        <v>45352.0</v>
      </c>
      <c r="F2446" s="91" t="str">
        <f t="array" ref="F2446">XLOOKUP(G2446,Reference!$F:$F,Reference!$D:$D,"null")</f>
        <v>Makanan dan Pakaian </v>
      </c>
      <c r="G2446" s="85" t="s">
        <v>64</v>
      </c>
      <c r="H2446" s="86">
        <v>105.28</v>
      </c>
      <c r="I2446" s="86">
        <v>104.46</v>
      </c>
      <c r="J2446" s="87">
        <f t="shared" si="2"/>
        <v>0.7849894697</v>
      </c>
      <c r="K2446" s="84" t="str">
        <f t="shared" si="3"/>
        <v>Inflasi Tinggi</v>
      </c>
      <c r="L2446" s="84">
        <f t="shared" si="4"/>
        <v>0.82</v>
      </c>
      <c r="M2446" s="88" t="str">
        <f t="shared" si="5"/>
        <v>Akselerasi Persentase</v>
      </c>
    </row>
    <row r="2447" ht="18.75" customHeight="1">
      <c r="A2447" s="80" t="s">
        <v>442</v>
      </c>
      <c r="B2447" s="81" t="str">
        <f t="shared" si="1"/>
        <v>Kota Cirebon</v>
      </c>
      <c r="C2447" s="81" t="str">
        <f t="array" ref="C2447">xlookup(B2447,Reference!$A$2:$A$152,Reference!$B$2:$B$152)</f>
        <v>Jawa Barat</v>
      </c>
      <c r="D2447" s="82" t="s">
        <v>2886</v>
      </c>
      <c r="E2447" s="83">
        <v>45323.0</v>
      </c>
      <c r="F2447" s="91" t="str">
        <f t="array" ref="F2447">XLOOKUP(G2447,Reference!$F:$F,Reference!$D:$D,"null")</f>
        <v>Makanan dan Pakaian </v>
      </c>
      <c r="G2447" s="85" t="s">
        <v>72</v>
      </c>
      <c r="H2447" s="86">
        <v>101.25</v>
      </c>
      <c r="I2447" s="86">
        <v>101.21</v>
      </c>
      <c r="J2447" s="87">
        <f t="shared" si="2"/>
        <v>0.03952178638</v>
      </c>
      <c r="K2447" s="84" t="str">
        <f t="shared" si="3"/>
        <v>Inflasi Normal</v>
      </c>
      <c r="L2447" s="84">
        <f t="shared" si="4"/>
        <v>0.04</v>
      </c>
      <c r="M2447" s="88" t="str">
        <f t="shared" si="5"/>
        <v>Perubahan Normal</v>
      </c>
    </row>
    <row r="2448" ht="18.75" customHeight="1">
      <c r="A2448" s="80" t="s">
        <v>814</v>
      </c>
      <c r="B2448" s="81" t="str">
        <f t="shared" si="1"/>
        <v>Kota Samarinda</v>
      </c>
      <c r="C2448" s="81" t="str">
        <f t="array" ref="C2448">xlookup(B2448,Reference!$A$2:$A$152,Reference!$B$2:$B$152)</f>
        <v>Kalimantan Timur</v>
      </c>
      <c r="D2448" s="82" t="s">
        <v>2887</v>
      </c>
      <c r="E2448" s="83">
        <v>45323.0</v>
      </c>
      <c r="F2448" s="91" t="str">
        <f t="array" ref="F2448">XLOOKUP(G2448,Reference!$F:$F,Reference!$D:$D,"null")</f>
        <v>Pendidikan dan Kesehatan</v>
      </c>
      <c r="G2448" s="85" t="s">
        <v>95</v>
      </c>
      <c r="H2448" s="86">
        <v>102.05</v>
      </c>
      <c r="I2448" s="86">
        <v>101.5</v>
      </c>
      <c r="J2448" s="87">
        <f t="shared" si="2"/>
        <v>0.5418719212</v>
      </c>
      <c r="K2448" s="84" t="str">
        <f t="shared" si="3"/>
        <v>Inflasi Tinggi</v>
      </c>
      <c r="L2448" s="84">
        <f t="shared" si="4"/>
        <v>0.55</v>
      </c>
      <c r="M2448" s="88" t="str">
        <f t="shared" si="5"/>
        <v>Akselerasi Persentase</v>
      </c>
    </row>
    <row r="2449" ht="18.75" customHeight="1">
      <c r="A2449" s="80" t="s">
        <v>905</v>
      </c>
      <c r="B2449" s="81" t="str">
        <f t="shared" si="1"/>
        <v>Kota Ambon</v>
      </c>
      <c r="C2449" s="81" t="str">
        <f t="array" ref="C2449">xlookup(B2449,Reference!$A$2:$A$152,Reference!$B$2:$B$152)</f>
        <v>Maluku</v>
      </c>
      <c r="D2449" s="82" t="s">
        <v>2888</v>
      </c>
      <c r="E2449" s="83">
        <v>45352.0</v>
      </c>
      <c r="F2449" s="91" t="str">
        <f t="array" ref="F2449">XLOOKUP(G2449,Reference!$F:$F,Reference!$D:$D,"null")</f>
        <v>Pendidikan dan Kesehatan</v>
      </c>
      <c r="G2449" s="85" t="s">
        <v>98</v>
      </c>
      <c r="H2449" s="86">
        <v>103.8</v>
      </c>
      <c r="I2449" s="86">
        <v>103.79</v>
      </c>
      <c r="J2449" s="87">
        <f t="shared" si="2"/>
        <v>0.00963483958</v>
      </c>
      <c r="K2449" s="84" t="str">
        <f t="shared" si="3"/>
        <v>Inflasi Normal</v>
      </c>
      <c r="L2449" s="84">
        <f t="shared" si="4"/>
        <v>0.01</v>
      </c>
      <c r="M2449" s="88" t="str">
        <f t="shared" si="5"/>
        <v>Perubahan Normal</v>
      </c>
    </row>
    <row r="2450" ht="18.75" customHeight="1">
      <c r="A2450" s="80" t="s">
        <v>550</v>
      </c>
      <c r="B2450" s="81" t="str">
        <f t="shared" si="1"/>
        <v>Kota Sukabumi</v>
      </c>
      <c r="C2450" s="81" t="str">
        <f t="array" ref="C2450">xlookup(B2450,Reference!$A$2:$A$152,Reference!$B$2:$B$152)</f>
        <v>Jawa Barat</v>
      </c>
      <c r="D2450" s="82" t="s">
        <v>2889</v>
      </c>
      <c r="E2450" s="83">
        <v>45352.0</v>
      </c>
      <c r="F2450" s="91" t="str">
        <f t="array" ref="F2450">XLOOKUP(G2450,Reference!$F:$F,Reference!$D:$D,"null")</f>
        <v>Makanan dan Pakaian </v>
      </c>
      <c r="G2450" s="85" t="s">
        <v>48</v>
      </c>
      <c r="H2450" s="86">
        <v>111.43</v>
      </c>
      <c r="I2450" s="86">
        <v>109.67</v>
      </c>
      <c r="J2450" s="87">
        <f t="shared" si="2"/>
        <v>1.604814443</v>
      </c>
      <c r="K2450" s="84" t="str">
        <f t="shared" si="3"/>
        <v>Inflasi Tinggi</v>
      </c>
      <c r="L2450" s="84">
        <f t="shared" si="4"/>
        <v>1.76</v>
      </c>
      <c r="M2450" s="88" t="str">
        <f t="shared" si="5"/>
        <v>Akselerasi Persentase</v>
      </c>
    </row>
    <row r="2451" ht="18.75" customHeight="1">
      <c r="A2451" s="80" t="s">
        <v>384</v>
      </c>
      <c r="B2451" s="81" t="str">
        <f t="shared" si="1"/>
        <v>Kab Lebak</v>
      </c>
      <c r="C2451" s="81" t="str">
        <f t="array" ref="C2451">xlookup(B2451,Reference!$A$2:$A$152,Reference!$B$2:$B$152)</f>
        <v>Banten</v>
      </c>
      <c r="D2451" s="82" t="s">
        <v>2890</v>
      </c>
      <c r="E2451" s="83">
        <v>45352.0</v>
      </c>
      <c r="F2451" s="91" t="str">
        <f t="array" ref="F2451">XLOOKUP(G2451,Reference!$F:$F,Reference!$D:$D,"null")</f>
        <v>Makanan dan Pakaian </v>
      </c>
      <c r="G2451" s="85" t="s">
        <v>64</v>
      </c>
      <c r="H2451" s="86">
        <v>103.41</v>
      </c>
      <c r="I2451" s="86">
        <v>103.39</v>
      </c>
      <c r="J2451" s="87">
        <f t="shared" si="2"/>
        <v>0.01934423058</v>
      </c>
      <c r="K2451" s="84" t="str">
        <f t="shared" si="3"/>
        <v>Inflasi Normal</v>
      </c>
      <c r="L2451" s="84">
        <f t="shared" si="4"/>
        <v>0.02</v>
      </c>
      <c r="M2451" s="88" t="str">
        <f t="shared" si="5"/>
        <v>Perubahan Normal</v>
      </c>
    </row>
    <row r="2452" ht="18.75" customHeight="1">
      <c r="A2452" s="80" t="s">
        <v>423</v>
      </c>
      <c r="B2452" s="81" t="str">
        <f t="shared" si="1"/>
        <v>Kota Kotamobagu</v>
      </c>
      <c r="C2452" s="81" t="str">
        <f t="array" ref="C2452">xlookup(B2452,Reference!$A$2:$A$152,Reference!$B$2:$B$152)</f>
        <v>Sulawesi Utara</v>
      </c>
      <c r="D2452" s="82" t="s">
        <v>2891</v>
      </c>
      <c r="E2452" s="83">
        <v>45323.0</v>
      </c>
      <c r="F2452" s="91" t="str">
        <f t="array" ref="F2452">XLOOKUP(G2452,Reference!$F:$F,Reference!$D:$D,"null")</f>
        <v>Makanan dan Pakaian </v>
      </c>
      <c r="G2452" s="85" t="s">
        <v>56</v>
      </c>
      <c r="H2452" s="86">
        <v>106.59</v>
      </c>
      <c r="I2452" s="86">
        <v>106.59</v>
      </c>
      <c r="J2452" s="87">
        <f t="shared" si="2"/>
        <v>0</v>
      </c>
      <c r="K2452" s="84" t="str">
        <f t="shared" si="3"/>
        <v>Stabil</v>
      </c>
      <c r="L2452" s="84">
        <f t="shared" si="4"/>
        <v>0</v>
      </c>
      <c r="M2452" s="88" t="str">
        <f t="shared" si="5"/>
        <v>Perubahan Normal</v>
      </c>
    </row>
    <row r="2453" ht="18.75" customHeight="1">
      <c r="A2453" s="80" t="s">
        <v>399</v>
      </c>
      <c r="B2453" s="81" t="str">
        <f t="shared" si="1"/>
        <v>Sampit</v>
      </c>
      <c r="C2453" s="81" t="str">
        <f t="array" ref="C2453">xlookup(B2453,Reference!$A$2:$A$152,Reference!$B$2:$B$152)</f>
        <v>Kalimantan Tengah</v>
      </c>
      <c r="D2453" s="82" t="s">
        <v>2892</v>
      </c>
      <c r="E2453" s="83">
        <v>45352.0</v>
      </c>
      <c r="F2453" s="91" t="str">
        <f t="array" ref="F2453">XLOOKUP(G2453,Reference!$F:$F,Reference!$D:$D,"null")</f>
        <v>Pendidikan dan Kesehatan</v>
      </c>
      <c r="G2453" s="85" t="s">
        <v>98</v>
      </c>
      <c r="H2453" s="86">
        <v>103.41</v>
      </c>
      <c r="I2453" s="86">
        <v>103.27</v>
      </c>
      <c r="J2453" s="87">
        <f t="shared" si="2"/>
        <v>0.1355669604</v>
      </c>
      <c r="K2453" s="84" t="str">
        <f t="shared" si="3"/>
        <v>Inflasi Normal</v>
      </c>
      <c r="L2453" s="84">
        <f t="shared" si="4"/>
        <v>0.14</v>
      </c>
      <c r="M2453" s="88" t="str">
        <f t="shared" si="5"/>
        <v>Perubahan Normal</v>
      </c>
    </row>
    <row r="2454" ht="18.75" customHeight="1">
      <c r="A2454" s="80" t="s">
        <v>658</v>
      </c>
      <c r="B2454" s="81" t="str">
        <f t="shared" si="1"/>
        <v>Kota Mataram</v>
      </c>
      <c r="C2454" s="81" t="str">
        <f t="array" ref="C2454">xlookup(B2454,Reference!$A$2:$A$152,Reference!$B$2:$B$152)</f>
        <v>Nusa Tenggara Barat (NTB)</v>
      </c>
      <c r="D2454" s="82" t="s">
        <v>2893</v>
      </c>
      <c r="E2454" s="83">
        <v>45323.0</v>
      </c>
      <c r="F2454" s="91" t="str">
        <f t="array" ref="F2454">XLOOKUP(G2454,Reference!$F:$F,Reference!$D:$D,"null")</f>
        <v>Rekreasi dan Kendaraan</v>
      </c>
      <c r="G2454" s="85" t="s">
        <v>102</v>
      </c>
      <c r="H2454" s="86">
        <v>102.65</v>
      </c>
      <c r="I2454" s="86">
        <v>102.52</v>
      </c>
      <c r="J2454" s="87">
        <f t="shared" si="2"/>
        <v>0.1268045259</v>
      </c>
      <c r="K2454" s="84" t="str">
        <f t="shared" si="3"/>
        <v>Inflasi Normal</v>
      </c>
      <c r="L2454" s="84">
        <f t="shared" si="4"/>
        <v>0.13</v>
      </c>
      <c r="M2454" s="88" t="str">
        <f t="shared" si="5"/>
        <v>Perubahan Normal</v>
      </c>
    </row>
    <row r="2455" ht="18.75" customHeight="1">
      <c r="A2455" s="80" t="s">
        <v>618</v>
      </c>
      <c r="B2455" s="81" t="str">
        <f t="shared" si="1"/>
        <v>Kota Tangerang</v>
      </c>
      <c r="C2455" s="81" t="str">
        <f t="array" ref="C2455">xlookup(B2455,Reference!$A$2:$A$152,Reference!$B$2:$B$152)</f>
        <v>Banten</v>
      </c>
      <c r="D2455" s="82" t="s">
        <v>2894</v>
      </c>
      <c r="E2455" s="83">
        <v>45352.0</v>
      </c>
      <c r="F2455" s="91" t="str">
        <f t="array" ref="F2455">XLOOKUP(G2455,Reference!$F:$F,Reference!$D:$D,"null")</f>
        <v>Makanan dan Pakaian </v>
      </c>
      <c r="G2455" s="85" t="s">
        <v>72</v>
      </c>
      <c r="H2455" s="86">
        <v>98.53</v>
      </c>
      <c r="I2455" s="86">
        <v>97.41</v>
      </c>
      <c r="J2455" s="87">
        <f t="shared" si="2"/>
        <v>1.149779283</v>
      </c>
      <c r="K2455" s="84" t="str">
        <f t="shared" si="3"/>
        <v>Inflasi Tinggi</v>
      </c>
      <c r="L2455" s="84">
        <f t="shared" si="4"/>
        <v>1.12</v>
      </c>
      <c r="M2455" s="88" t="str">
        <f t="shared" si="5"/>
        <v>Akselerasi Persentase</v>
      </c>
    </row>
    <row r="2456" ht="18.75" customHeight="1">
      <c r="A2456" s="80" t="s">
        <v>322</v>
      </c>
      <c r="B2456" s="81" t="str">
        <f t="shared" si="1"/>
        <v>Purwokerto</v>
      </c>
      <c r="C2456" s="81" t="str">
        <f t="array" ref="C2456">xlookup(B2456,Reference!$A$2:$A$152,Reference!$B$2:$B$152)</f>
        <v>Jawa Tengah</v>
      </c>
      <c r="D2456" s="82" t="s">
        <v>2895</v>
      </c>
      <c r="E2456" s="83">
        <v>45323.0</v>
      </c>
      <c r="F2456" s="91" t="str">
        <f t="array" ref="F2456">XLOOKUP(G2456,Reference!$F:$F,Reference!$D:$D,"null")</f>
        <v>Rekreasi dan Kendaraan</v>
      </c>
      <c r="G2456" s="85" t="s">
        <v>102</v>
      </c>
      <c r="H2456" s="86">
        <v>99.16</v>
      </c>
      <c r="I2456" s="86">
        <v>99.16</v>
      </c>
      <c r="J2456" s="87">
        <f t="shared" si="2"/>
        <v>0</v>
      </c>
      <c r="K2456" s="84" t="str">
        <f t="shared" si="3"/>
        <v>Stabil</v>
      </c>
      <c r="L2456" s="84">
        <f t="shared" si="4"/>
        <v>0</v>
      </c>
      <c r="M2456" s="88" t="str">
        <f t="shared" si="5"/>
        <v>Perubahan Normal</v>
      </c>
    </row>
    <row r="2457" ht="18.75" customHeight="1">
      <c r="A2457" s="80" t="s">
        <v>376</v>
      </c>
      <c r="B2457" s="81" t="str">
        <f t="shared" si="1"/>
        <v>Bulukumba</v>
      </c>
      <c r="C2457" s="81" t="str">
        <f t="array" ref="C2457">xlookup(B2457,Reference!$A$2:$A$152,Reference!$B$2:$B$152)</f>
        <v>Sulawesi Selatan</v>
      </c>
      <c r="D2457" s="82" t="s">
        <v>2896</v>
      </c>
      <c r="E2457" s="83">
        <v>45352.0</v>
      </c>
      <c r="F2457" s="91" t="str">
        <f t="array" ref="F2457">XLOOKUP(G2457,Reference!$F:$F,Reference!$D:$D,"null")</f>
        <v>Rumah Tangga</v>
      </c>
      <c r="G2457" s="85" t="s">
        <v>80</v>
      </c>
      <c r="H2457" s="86">
        <v>101.63</v>
      </c>
      <c r="I2457" s="86">
        <v>101.63</v>
      </c>
      <c r="J2457" s="87">
        <f t="shared" si="2"/>
        <v>0</v>
      </c>
      <c r="K2457" s="84" t="str">
        <f t="shared" si="3"/>
        <v>Stabil</v>
      </c>
      <c r="L2457" s="84">
        <f t="shared" si="4"/>
        <v>0</v>
      </c>
      <c r="M2457" s="88" t="str">
        <f t="shared" si="5"/>
        <v>Perubahan Normal</v>
      </c>
    </row>
    <row r="2458" ht="18.75" customHeight="1">
      <c r="A2458" s="80" t="s">
        <v>488</v>
      </c>
      <c r="B2458" s="81" t="str">
        <f t="shared" si="1"/>
        <v>Kab Muko Muko</v>
      </c>
      <c r="C2458" s="81" t="str">
        <f t="array" ref="C2458">xlookup(B2458,Reference!$A$2:$A$152,Reference!$B$2:$B$152)</f>
        <v>Bengkulu</v>
      </c>
      <c r="D2458" s="82" t="s">
        <v>2897</v>
      </c>
      <c r="E2458" s="83">
        <v>45352.0</v>
      </c>
      <c r="F2458" s="91" t="str">
        <f t="array" ref="F2458">XLOOKUP(G2458,Reference!$F:$F,Reference!$D:$D,"null")</f>
        <v>Pendidikan dan Kesehatan</v>
      </c>
      <c r="G2458" s="85" t="s">
        <v>95</v>
      </c>
      <c r="H2458" s="86">
        <v>103.87</v>
      </c>
      <c r="I2458" s="86">
        <v>103.87</v>
      </c>
      <c r="J2458" s="87">
        <f t="shared" si="2"/>
        <v>0</v>
      </c>
      <c r="K2458" s="84" t="str">
        <f t="shared" si="3"/>
        <v>Stabil</v>
      </c>
      <c r="L2458" s="84">
        <f t="shared" si="4"/>
        <v>0</v>
      </c>
      <c r="M2458" s="88" t="str">
        <f t="shared" si="5"/>
        <v>Perubahan Normal</v>
      </c>
    </row>
    <row r="2459" ht="18.75" customHeight="1">
      <c r="A2459" s="80" t="s">
        <v>314</v>
      </c>
      <c r="B2459" s="81" t="str">
        <f t="shared" si="1"/>
        <v>Kota Jayapura</v>
      </c>
      <c r="C2459" s="81" t="str">
        <f t="array" ref="C2459">xlookup(B2459,Reference!$A$2:$A$152,Reference!$B$2:$B$152)</f>
        <v>Papua</v>
      </c>
      <c r="D2459" s="82" t="s">
        <v>2898</v>
      </c>
      <c r="E2459" s="83">
        <v>45352.0</v>
      </c>
      <c r="F2459" s="91" t="str">
        <f t="array" ref="F2459">XLOOKUP(G2459,Reference!$F:$F,Reference!$D:$D,"null")</f>
        <v>Makanan dan Pakaian </v>
      </c>
      <c r="G2459" s="85" t="s">
        <v>72</v>
      </c>
      <c r="H2459" s="86">
        <v>98.47</v>
      </c>
      <c r="I2459" s="86">
        <v>98.48</v>
      </c>
      <c r="J2459" s="87">
        <f t="shared" si="2"/>
        <v>-0.01015434606</v>
      </c>
      <c r="K2459" s="84" t="str">
        <f t="shared" si="3"/>
        <v>Deflasi</v>
      </c>
      <c r="L2459" s="84">
        <f t="shared" si="4"/>
        <v>-0.01</v>
      </c>
      <c r="M2459" s="88" t="str">
        <f t="shared" si="5"/>
        <v>Perubahan Normal</v>
      </c>
    </row>
    <row r="2460" ht="18.75" customHeight="1">
      <c r="A2460" s="80" t="s">
        <v>965</v>
      </c>
      <c r="B2460" s="81" t="str">
        <f t="shared" si="1"/>
        <v>Kab Konawe</v>
      </c>
      <c r="C2460" s="81" t="str">
        <f t="array" ref="C2460">xlookup(B2460,Reference!$A$2:$A$152,Reference!$B$2:$B$152)</f>
        <v>Sulawesi Tenggara</v>
      </c>
      <c r="D2460" s="82" t="s">
        <v>2899</v>
      </c>
      <c r="E2460" s="83">
        <v>45323.0</v>
      </c>
      <c r="F2460" s="91" t="str">
        <f t="array" ref="F2460">XLOOKUP(G2460,Reference!$F:$F,Reference!$D:$D,"null")</f>
        <v>Rumah Tangga</v>
      </c>
      <c r="G2460" s="85" t="s">
        <v>89</v>
      </c>
      <c r="H2460" s="86">
        <v>104.95</v>
      </c>
      <c r="I2460" s="86">
        <v>104.95</v>
      </c>
      <c r="J2460" s="87">
        <f t="shared" si="2"/>
        <v>0</v>
      </c>
      <c r="K2460" s="84" t="str">
        <f t="shared" si="3"/>
        <v>Stabil</v>
      </c>
      <c r="L2460" s="84">
        <f t="shared" si="4"/>
        <v>0</v>
      </c>
      <c r="M2460" s="88" t="str">
        <f t="shared" si="5"/>
        <v>Perubahan Normal</v>
      </c>
    </row>
    <row r="2461" ht="18.75" customHeight="1">
      <c r="A2461" s="80" t="s">
        <v>606</v>
      </c>
      <c r="B2461" s="81" t="str">
        <f t="shared" si="1"/>
        <v>Kota Pare Pare</v>
      </c>
      <c r="C2461" s="81" t="str">
        <f t="array" ref="C2461">xlookup(B2461,Reference!$A$2:$A$152,Reference!$B$2:$B$152)</f>
        <v>Sulawesi Selatan</v>
      </c>
      <c r="D2461" s="82" t="s">
        <v>2900</v>
      </c>
      <c r="E2461" s="83">
        <v>45323.0</v>
      </c>
      <c r="F2461" s="91" t="str">
        <f t="array" ref="F2461">XLOOKUP(G2461,Reference!$F:$F,Reference!$D:$D,"null")</f>
        <v>Rumah Tangga</v>
      </c>
      <c r="G2461" s="85" t="s">
        <v>80</v>
      </c>
      <c r="H2461" s="86">
        <v>103.03</v>
      </c>
      <c r="I2461" s="86">
        <v>102.53</v>
      </c>
      <c r="J2461" s="87">
        <f t="shared" si="2"/>
        <v>0.4876621477</v>
      </c>
      <c r="K2461" s="84" t="str">
        <f t="shared" si="3"/>
        <v>Inflasi Normal</v>
      </c>
      <c r="L2461" s="84">
        <f t="shared" si="4"/>
        <v>0.5</v>
      </c>
      <c r="M2461" s="88" t="str">
        <f t="shared" si="5"/>
        <v>Perubahan Normal</v>
      </c>
    </row>
    <row r="2462" ht="18.75" customHeight="1">
      <c r="A2462" s="80" t="s">
        <v>515</v>
      </c>
      <c r="B2462" s="81" t="str">
        <f t="shared" si="1"/>
        <v>Kab Gresik</v>
      </c>
      <c r="C2462" s="81" t="str">
        <f t="array" ref="C2462">xlookup(B2462,Reference!$A$2:$A$152,Reference!$B$2:$B$152)</f>
        <v>Jawa Timur</v>
      </c>
      <c r="D2462" s="82" t="s">
        <v>2901</v>
      </c>
      <c r="E2462" s="83">
        <v>45323.0</v>
      </c>
      <c r="F2462" s="91" t="str">
        <f t="array" ref="F2462">XLOOKUP(G2462,Reference!$F:$F,Reference!$D:$D,"null")</f>
        <v>Makanan dan Pakaian </v>
      </c>
      <c r="G2462" s="85" t="s">
        <v>64</v>
      </c>
      <c r="H2462" s="86">
        <v>98.47</v>
      </c>
      <c r="I2462" s="86">
        <v>98.62</v>
      </c>
      <c r="J2462" s="87">
        <f t="shared" si="2"/>
        <v>-0.1520989657</v>
      </c>
      <c r="K2462" s="84" t="str">
        <f t="shared" si="3"/>
        <v>Deflasi</v>
      </c>
      <c r="L2462" s="84">
        <f t="shared" si="4"/>
        <v>-0.15</v>
      </c>
      <c r="M2462" s="88" t="str">
        <f t="shared" si="5"/>
        <v>Perubahan Normal</v>
      </c>
    </row>
    <row r="2463" ht="18.75" customHeight="1">
      <c r="A2463" s="80" t="s">
        <v>417</v>
      </c>
      <c r="B2463" s="81" t="str">
        <f t="shared" si="1"/>
        <v>Kotabaru</v>
      </c>
      <c r="C2463" s="81" t="str">
        <f t="array" ref="C2463">xlookup(B2463,Reference!$A$2:$A$152,Reference!$B$2:$B$152)</f>
        <v>Kalimantan Selatan</v>
      </c>
      <c r="D2463" s="82" t="s">
        <v>2902</v>
      </c>
      <c r="E2463" s="83">
        <v>45323.0</v>
      </c>
      <c r="F2463" s="91" t="str">
        <f t="array" ref="F2463">XLOOKUP(G2463,Reference!$F:$F,Reference!$D:$D,"null")</f>
        <v>Makanan dan Pakaian </v>
      </c>
      <c r="G2463" s="85" t="s">
        <v>48</v>
      </c>
      <c r="H2463" s="86">
        <v>109.2</v>
      </c>
      <c r="I2463" s="86">
        <v>110.0</v>
      </c>
      <c r="J2463" s="87">
        <f t="shared" si="2"/>
        <v>-0.7272727273</v>
      </c>
      <c r="K2463" s="84" t="str">
        <f t="shared" si="3"/>
        <v>Deflasi</v>
      </c>
      <c r="L2463" s="84">
        <f t="shared" si="4"/>
        <v>-0.8</v>
      </c>
      <c r="M2463" s="88" t="str">
        <f t="shared" si="5"/>
        <v>Perubahan Normal</v>
      </c>
    </row>
    <row r="2464" ht="18.75" customHeight="1">
      <c r="A2464" s="80" t="s">
        <v>706</v>
      </c>
      <c r="B2464" s="81" t="str">
        <f t="shared" si="1"/>
        <v>Kota Makassar</v>
      </c>
      <c r="C2464" s="81" t="str">
        <f t="array" ref="C2464">xlookup(B2464,Reference!$A$2:$A$152,Reference!$B$2:$B$152)</f>
        <v>Sulawesi Selatan</v>
      </c>
      <c r="D2464" s="82" t="s">
        <v>2903</v>
      </c>
      <c r="E2464" s="83">
        <v>45323.0</v>
      </c>
      <c r="F2464" s="91" t="str">
        <f t="array" ref="F2464">XLOOKUP(G2464,Reference!$F:$F,Reference!$D:$D,"null")</f>
        <v>Rekreasi dan Kendaraan</v>
      </c>
      <c r="G2464" s="85" t="s">
        <v>102</v>
      </c>
      <c r="H2464" s="86">
        <v>102.9</v>
      </c>
      <c r="I2464" s="86">
        <v>102.9</v>
      </c>
      <c r="J2464" s="87">
        <f t="shared" si="2"/>
        <v>0</v>
      </c>
      <c r="K2464" s="84" t="str">
        <f t="shared" si="3"/>
        <v>Stabil</v>
      </c>
      <c r="L2464" s="84">
        <f t="shared" si="4"/>
        <v>0</v>
      </c>
      <c r="M2464" s="88" t="str">
        <f t="shared" si="5"/>
        <v>Perubahan Normal</v>
      </c>
    </row>
    <row r="2465" ht="18.75" customHeight="1">
      <c r="A2465" s="80" t="s">
        <v>302</v>
      </c>
      <c r="B2465" s="81" t="str">
        <f t="shared" si="1"/>
        <v>Kota Lubuk Linggau</v>
      </c>
      <c r="C2465" s="81" t="str">
        <f t="array" ref="C2465">xlookup(B2465,Reference!$A$2:$A$152,Reference!$B$2:$B$152)</f>
        <v>Sumatera Selatan</v>
      </c>
      <c r="D2465" s="82" t="s">
        <v>2904</v>
      </c>
      <c r="E2465" s="83">
        <v>45352.0</v>
      </c>
      <c r="F2465" s="91" t="str">
        <f t="array" ref="F2465">XLOOKUP(G2465,Reference!$F:$F,Reference!$D:$D,"null")</f>
        <v>Makanan dan Pakaian </v>
      </c>
      <c r="G2465" s="85" t="s">
        <v>56</v>
      </c>
      <c r="H2465" s="86">
        <v>110.54</v>
      </c>
      <c r="I2465" s="86">
        <v>109.71</v>
      </c>
      <c r="J2465" s="87">
        <f t="shared" si="2"/>
        <v>0.756539969</v>
      </c>
      <c r="K2465" s="84" t="str">
        <f t="shared" si="3"/>
        <v>Inflasi Tinggi</v>
      </c>
      <c r="L2465" s="84">
        <f t="shared" si="4"/>
        <v>0.83</v>
      </c>
      <c r="M2465" s="88" t="str">
        <f t="shared" si="5"/>
        <v>Akselerasi Persentase</v>
      </c>
    </row>
    <row r="2466" ht="18.75" customHeight="1">
      <c r="A2466" s="80" t="s">
        <v>822</v>
      </c>
      <c r="B2466" s="81" t="str">
        <f t="shared" si="1"/>
        <v>Kota Pontianak</v>
      </c>
      <c r="C2466" s="81" t="str">
        <f t="array" ref="C2466">xlookup(B2466,Reference!$A$2:$A$152,Reference!$B$2:$B$152)</f>
        <v>Kalimantan Barat</v>
      </c>
      <c r="D2466" s="82" t="s">
        <v>2905</v>
      </c>
      <c r="E2466" s="83">
        <v>45352.0</v>
      </c>
      <c r="F2466" s="91" t="str">
        <f t="array" ref="F2466">XLOOKUP(G2466,Reference!$F:$F,Reference!$D:$D,"null")</f>
        <v>Pendidikan dan Kesehatan</v>
      </c>
      <c r="G2466" s="85" t="s">
        <v>95</v>
      </c>
      <c r="H2466" s="86">
        <v>102.0</v>
      </c>
      <c r="I2466" s="86">
        <v>102.0</v>
      </c>
      <c r="J2466" s="87">
        <f t="shared" si="2"/>
        <v>0</v>
      </c>
      <c r="K2466" s="84" t="str">
        <f t="shared" si="3"/>
        <v>Stabil</v>
      </c>
      <c r="L2466" s="84">
        <f t="shared" si="4"/>
        <v>0</v>
      </c>
      <c r="M2466" s="88" t="str">
        <f t="shared" si="5"/>
        <v>Perubahan Normal</v>
      </c>
    </row>
    <row r="2467" ht="18.75" customHeight="1">
      <c r="A2467" s="80" t="s">
        <v>1031</v>
      </c>
      <c r="B2467" s="81" t="str">
        <f t="shared" si="1"/>
        <v>Kab Majene</v>
      </c>
      <c r="C2467" s="81" t="str">
        <f t="array" ref="C2467">xlookup(B2467,Reference!$A$2:$A$152,Reference!$B$2:$B$152)</f>
        <v>Sulawesi Barat</v>
      </c>
      <c r="D2467" s="82" t="s">
        <v>2906</v>
      </c>
      <c r="E2467" s="83">
        <v>45323.0</v>
      </c>
      <c r="F2467" s="91" t="str">
        <f t="array" ref="F2467">XLOOKUP(G2467,Reference!$F:$F,Reference!$D:$D,"null")</f>
        <v>Makanan dan Pakaian </v>
      </c>
      <c r="G2467" s="85" t="s">
        <v>64</v>
      </c>
      <c r="H2467" s="86">
        <v>100.37</v>
      </c>
      <c r="I2467" s="86">
        <v>100.4</v>
      </c>
      <c r="J2467" s="87">
        <f t="shared" si="2"/>
        <v>-0.02988047809</v>
      </c>
      <c r="K2467" s="84" t="str">
        <f t="shared" si="3"/>
        <v>Deflasi</v>
      </c>
      <c r="L2467" s="84">
        <f t="shared" si="4"/>
        <v>-0.03</v>
      </c>
      <c r="M2467" s="88" t="str">
        <f t="shared" si="5"/>
        <v>Perubahan Normal</v>
      </c>
    </row>
    <row r="2468" ht="18.75" customHeight="1">
      <c r="A2468" s="80" t="s">
        <v>374</v>
      </c>
      <c r="B2468" s="81" t="str">
        <f t="shared" si="1"/>
        <v>Kab Majalengka</v>
      </c>
      <c r="C2468" s="81" t="str">
        <f t="array" ref="C2468">xlookup(B2468,Reference!$A$2:$A$152,Reference!$B$2:$B$152)</f>
        <v>Jawa Barat</v>
      </c>
      <c r="D2468" s="82" t="s">
        <v>2907</v>
      </c>
      <c r="E2468" s="83">
        <v>45352.0</v>
      </c>
      <c r="F2468" s="91" t="str">
        <f t="array" ref="F2468">XLOOKUP(G2468,Reference!$F:$F,Reference!$D:$D,"null")</f>
        <v>Rumah Tangga</v>
      </c>
      <c r="G2468" s="85" t="s">
        <v>89</v>
      </c>
      <c r="H2468" s="86">
        <v>92.3</v>
      </c>
      <c r="I2468" s="86">
        <v>92.49</v>
      </c>
      <c r="J2468" s="87">
        <f t="shared" si="2"/>
        <v>-0.2054276138</v>
      </c>
      <c r="K2468" s="84" t="str">
        <f t="shared" si="3"/>
        <v>Deflasi</v>
      </c>
      <c r="L2468" s="84">
        <f t="shared" si="4"/>
        <v>-0.19</v>
      </c>
      <c r="M2468" s="88" t="str">
        <f t="shared" si="5"/>
        <v>Perubahan Normal</v>
      </c>
    </row>
    <row r="2469" ht="18.75" customHeight="1">
      <c r="A2469" s="80" t="s">
        <v>429</v>
      </c>
      <c r="B2469" s="81" t="str">
        <f t="shared" si="1"/>
        <v>Kab Nabire</v>
      </c>
      <c r="C2469" s="81" t="str">
        <f t="array" ref="C2469">xlookup(B2469,Reference!$A$2:$A$152,Reference!$B$2:$B$152)</f>
        <v>Papua</v>
      </c>
      <c r="D2469" s="82" t="s">
        <v>2908</v>
      </c>
      <c r="E2469" s="83">
        <v>45352.0</v>
      </c>
      <c r="F2469" s="91" t="str">
        <f t="array" ref="F2469">XLOOKUP(G2469,Reference!$F:$F,Reference!$D:$D,"null")</f>
        <v>Rekreasi dan Kendaraan</v>
      </c>
      <c r="G2469" s="85" t="s">
        <v>105</v>
      </c>
      <c r="H2469" s="86">
        <v>103.36</v>
      </c>
      <c r="I2469" s="86">
        <v>103.04</v>
      </c>
      <c r="J2469" s="87">
        <f t="shared" si="2"/>
        <v>0.3105590062</v>
      </c>
      <c r="K2469" s="84" t="str">
        <f t="shared" si="3"/>
        <v>Inflasi Normal</v>
      </c>
      <c r="L2469" s="84">
        <f t="shared" si="4"/>
        <v>0.32</v>
      </c>
      <c r="M2469" s="88" t="str">
        <f t="shared" si="5"/>
        <v>Perubahan Normal</v>
      </c>
    </row>
    <row r="2470" ht="18.75" customHeight="1">
      <c r="A2470" s="80" t="s">
        <v>406</v>
      </c>
      <c r="B2470" s="81" t="str">
        <f t="shared" si="1"/>
        <v>Kota Tasikmalaya</v>
      </c>
      <c r="C2470" s="81" t="str">
        <f t="array" ref="C2470">xlookup(B2470,Reference!$A$2:$A$152,Reference!$B$2:$B$152)</f>
        <v>Jawa Barat</v>
      </c>
      <c r="D2470" s="82" t="s">
        <v>2909</v>
      </c>
      <c r="E2470" s="83">
        <v>45323.0</v>
      </c>
      <c r="F2470" s="91" t="str">
        <f t="array" ref="F2470">XLOOKUP(G2470,Reference!$F:$F,Reference!$D:$D,"null")</f>
        <v>Makanan dan Pakaian </v>
      </c>
      <c r="G2470" s="85" t="s">
        <v>56</v>
      </c>
      <c r="H2470" s="86">
        <v>106.39</v>
      </c>
      <c r="I2470" s="86">
        <v>106.38</v>
      </c>
      <c r="J2470" s="87">
        <f t="shared" si="2"/>
        <v>0.009400263207</v>
      </c>
      <c r="K2470" s="84" t="str">
        <f t="shared" si="3"/>
        <v>Inflasi Normal</v>
      </c>
      <c r="L2470" s="84">
        <f t="shared" si="4"/>
        <v>0.01</v>
      </c>
      <c r="M2470" s="88" t="str">
        <f t="shared" si="5"/>
        <v>Perubahan Normal</v>
      </c>
    </row>
    <row r="2471" ht="18.75" customHeight="1">
      <c r="A2471" s="80" t="s">
        <v>380</v>
      </c>
      <c r="B2471" s="81" t="str">
        <f t="shared" si="1"/>
        <v>Kota Bengkulu</v>
      </c>
      <c r="C2471" s="81" t="str">
        <f t="array" ref="C2471">xlookup(B2471,Reference!$A$2:$A$152,Reference!$B$2:$B$152)</f>
        <v>Bengkulu</v>
      </c>
      <c r="D2471" s="82" t="s">
        <v>2910</v>
      </c>
      <c r="E2471" s="83">
        <v>45323.0</v>
      </c>
      <c r="F2471" s="91" t="str">
        <f t="array" ref="F2471">XLOOKUP(G2471,Reference!$F:$F,Reference!$D:$D,"null")</f>
        <v>Rumah Tangga</v>
      </c>
      <c r="G2471" s="85" t="s">
        <v>84</v>
      </c>
      <c r="H2471" s="86">
        <v>101.46</v>
      </c>
      <c r="I2471" s="86">
        <v>101.46</v>
      </c>
      <c r="J2471" s="87">
        <f t="shared" si="2"/>
        <v>0</v>
      </c>
      <c r="K2471" s="84" t="str">
        <f t="shared" si="3"/>
        <v>Stabil</v>
      </c>
      <c r="L2471" s="84">
        <f t="shared" si="4"/>
        <v>0</v>
      </c>
      <c r="M2471" s="88" t="str">
        <f t="shared" si="5"/>
        <v>Perubahan Normal</v>
      </c>
    </row>
    <row r="2472" ht="18.75" customHeight="1">
      <c r="A2472" s="80" t="s">
        <v>642</v>
      </c>
      <c r="B2472" s="81" t="str">
        <f t="shared" si="1"/>
        <v>Kota Bandar Lampung</v>
      </c>
      <c r="C2472" s="81" t="str">
        <f t="array" ref="C2472">xlookup(B2472,Reference!$A$2:$A$152,Reference!$B$2:$B$152)</f>
        <v>Lampung</v>
      </c>
      <c r="D2472" s="82" t="s">
        <v>2911</v>
      </c>
      <c r="E2472" s="83">
        <v>45352.0</v>
      </c>
      <c r="F2472" s="91" t="str">
        <f t="array" ref="F2472">XLOOKUP(G2472,Reference!$F:$F,Reference!$D:$D,"null")</f>
        <v>Makanan dan Pakaian </v>
      </c>
      <c r="G2472" s="85" t="s">
        <v>72</v>
      </c>
      <c r="H2472" s="86">
        <v>109.83</v>
      </c>
      <c r="I2472" s="86">
        <v>109.44</v>
      </c>
      <c r="J2472" s="87">
        <f t="shared" si="2"/>
        <v>0.3563596491</v>
      </c>
      <c r="K2472" s="84" t="str">
        <f t="shared" si="3"/>
        <v>Inflasi Normal</v>
      </c>
      <c r="L2472" s="84">
        <f t="shared" si="4"/>
        <v>0.39</v>
      </c>
      <c r="M2472" s="88" t="str">
        <f t="shared" si="5"/>
        <v>Perubahan Normal</v>
      </c>
    </row>
    <row r="2473" ht="18.75" customHeight="1">
      <c r="A2473" s="80" t="s">
        <v>508</v>
      </c>
      <c r="B2473" s="81" t="str">
        <f t="shared" si="1"/>
        <v>Kab Minahasa Selatan</v>
      </c>
      <c r="C2473" s="81" t="str">
        <f t="array" ref="C2473">xlookup(B2473,Reference!$A$2:$A$152,Reference!$B$2:$B$152)</f>
        <v>Sulawesi Utara</v>
      </c>
      <c r="D2473" s="82" t="s">
        <v>2912</v>
      </c>
      <c r="E2473" s="83">
        <v>45352.0</v>
      </c>
      <c r="F2473" s="91" t="str">
        <f t="array" ref="F2473">XLOOKUP(G2473,Reference!$F:$F,Reference!$D:$D,"null")</f>
        <v>Makanan dan Pakaian </v>
      </c>
      <c r="G2473" s="89" t="s">
        <v>72</v>
      </c>
      <c r="H2473" s="90">
        <v>93.83</v>
      </c>
      <c r="I2473" s="90">
        <v>93.83</v>
      </c>
      <c r="J2473" s="87">
        <f t="shared" si="2"/>
        <v>0</v>
      </c>
      <c r="K2473" s="84" t="str">
        <f t="shared" si="3"/>
        <v>Stabil</v>
      </c>
      <c r="L2473" s="91">
        <f t="shared" si="4"/>
        <v>0</v>
      </c>
      <c r="M2473" s="88" t="str">
        <f t="shared" si="5"/>
        <v>Perubahan Normal</v>
      </c>
    </row>
    <row r="2474" ht="18.75" customHeight="1">
      <c r="A2474" s="80" t="s">
        <v>380</v>
      </c>
      <c r="B2474" s="81" t="str">
        <f t="shared" si="1"/>
        <v>Kota Bengkulu</v>
      </c>
      <c r="C2474" s="81" t="str">
        <f t="array" ref="C2474">xlookup(B2474,Reference!$A$2:$A$152,Reference!$B$2:$B$152)</f>
        <v>Bengkulu</v>
      </c>
      <c r="D2474" s="82" t="s">
        <v>2913</v>
      </c>
      <c r="E2474" s="83">
        <v>45323.0</v>
      </c>
      <c r="F2474" s="91" t="str">
        <f t="array" ref="F2474">XLOOKUP(G2474,Reference!$F:$F,Reference!$D:$D,"null")</f>
        <v>Makanan dan Pakaian </v>
      </c>
      <c r="G2474" s="85" t="s">
        <v>48</v>
      </c>
      <c r="H2474" s="86">
        <v>109.16</v>
      </c>
      <c r="I2474" s="86">
        <v>106.82</v>
      </c>
      <c r="J2474" s="87">
        <f t="shared" si="2"/>
        <v>2.190601011</v>
      </c>
      <c r="K2474" s="84" t="str">
        <f t="shared" si="3"/>
        <v>Inflasi Tinggi</v>
      </c>
      <c r="L2474" s="84">
        <f t="shared" si="4"/>
        <v>2.34</v>
      </c>
      <c r="M2474" s="88" t="str">
        <f t="shared" si="5"/>
        <v>Akselerasi Kuat</v>
      </c>
    </row>
    <row r="2475" ht="18.75" customHeight="1">
      <c r="A2475" s="80" t="s">
        <v>634</v>
      </c>
      <c r="B2475" s="81" t="str">
        <f t="shared" si="1"/>
        <v>Kota Depok</v>
      </c>
      <c r="C2475" s="81" t="str">
        <f t="array" ref="C2475">xlookup(B2475,Reference!$A$2:$A$152,Reference!$B$2:$B$152)</f>
        <v>Jawa Barat</v>
      </c>
      <c r="D2475" s="82" t="s">
        <v>2914</v>
      </c>
      <c r="E2475" s="83">
        <v>45323.0</v>
      </c>
      <c r="F2475" s="91" t="str">
        <f t="array" ref="F2475">XLOOKUP(G2475,Reference!$F:$F,Reference!$D:$D,"null")</f>
        <v>Makanan dan Pakaian </v>
      </c>
      <c r="G2475" s="85" t="s">
        <v>72</v>
      </c>
      <c r="H2475" s="86">
        <v>100.05</v>
      </c>
      <c r="I2475" s="86">
        <v>100.33</v>
      </c>
      <c r="J2475" s="87">
        <f t="shared" si="2"/>
        <v>-0.2790790392</v>
      </c>
      <c r="K2475" s="84" t="str">
        <f t="shared" si="3"/>
        <v>Deflasi</v>
      </c>
      <c r="L2475" s="84">
        <f t="shared" si="4"/>
        <v>-0.28</v>
      </c>
      <c r="M2475" s="88" t="str">
        <f t="shared" si="5"/>
        <v>Perubahan Normal</v>
      </c>
    </row>
    <row r="2476" ht="18.75" customHeight="1">
      <c r="A2476" s="80" t="s">
        <v>349</v>
      </c>
      <c r="B2476" s="81" t="str">
        <f t="shared" si="1"/>
        <v>Kota Banjarmasin</v>
      </c>
      <c r="C2476" s="81" t="str">
        <f t="array" ref="C2476">xlookup(B2476,Reference!$A$2:$A$152,Reference!$B$2:$B$152)</f>
        <v>Kalimantan Selatan</v>
      </c>
      <c r="D2476" s="82" t="s">
        <v>2915</v>
      </c>
      <c r="E2476" s="83">
        <v>45323.0</v>
      </c>
      <c r="F2476" s="91" t="str">
        <f t="array" ref="F2476">XLOOKUP(G2476,Reference!$F:$F,Reference!$D:$D,"null")</f>
        <v>Rumah Tangga</v>
      </c>
      <c r="G2476" s="85" t="s">
        <v>89</v>
      </c>
      <c r="H2476" s="86">
        <v>104.44</v>
      </c>
      <c r="I2476" s="86">
        <v>102.51</v>
      </c>
      <c r="J2476" s="87">
        <f t="shared" si="2"/>
        <v>1.882743147</v>
      </c>
      <c r="K2476" s="84" t="str">
        <f t="shared" si="3"/>
        <v>Inflasi Tinggi</v>
      </c>
      <c r="L2476" s="84">
        <f t="shared" si="4"/>
        <v>1.93</v>
      </c>
      <c r="M2476" s="88" t="str">
        <f t="shared" si="5"/>
        <v>Akselerasi Persentase</v>
      </c>
    </row>
    <row r="2477" ht="18.75" customHeight="1">
      <c r="A2477" s="80" t="s">
        <v>837</v>
      </c>
      <c r="B2477" s="81" t="str">
        <f t="shared" si="1"/>
        <v>Kab Luwu Timur</v>
      </c>
      <c r="C2477" s="81" t="str">
        <f t="array" ref="C2477">xlookup(B2477,Reference!$A$2:$A$152,Reference!$B$2:$B$152)</f>
        <v>Sulawesi Selatan</v>
      </c>
      <c r="D2477" s="82" t="s">
        <v>2916</v>
      </c>
      <c r="E2477" s="83">
        <v>45352.0</v>
      </c>
      <c r="F2477" s="91" t="str">
        <f t="array" ref="F2477">XLOOKUP(G2477,Reference!$F:$F,Reference!$D:$D,"null")</f>
        <v>Pendidikan dan Kesehatan</v>
      </c>
      <c r="G2477" s="85" t="s">
        <v>95</v>
      </c>
      <c r="H2477" s="86">
        <v>105.78</v>
      </c>
      <c r="I2477" s="86">
        <v>105.78</v>
      </c>
      <c r="J2477" s="87">
        <f t="shared" si="2"/>
        <v>0</v>
      </c>
      <c r="K2477" s="84" t="str">
        <f t="shared" si="3"/>
        <v>Stabil</v>
      </c>
      <c r="L2477" s="84">
        <f t="shared" si="4"/>
        <v>0</v>
      </c>
      <c r="M2477" s="88" t="str">
        <f t="shared" si="5"/>
        <v>Perubahan Normal</v>
      </c>
    </row>
    <row r="2478" ht="18.75" customHeight="1">
      <c r="A2478" s="80" t="s">
        <v>594</v>
      </c>
      <c r="B2478" s="81" t="str">
        <f t="shared" si="1"/>
        <v>Kota Kendari</v>
      </c>
      <c r="C2478" s="81" t="str">
        <f t="array" ref="C2478">xlookup(B2478,Reference!$A$2:$A$152,Reference!$B$2:$B$152)</f>
        <v>Sulawesi Tenggara</v>
      </c>
      <c r="D2478" s="82" t="s">
        <v>2917</v>
      </c>
      <c r="E2478" s="83">
        <v>45352.0</v>
      </c>
      <c r="F2478" s="91" t="str">
        <f t="array" ref="F2478">XLOOKUP(G2478,Reference!$F:$F,Reference!$D:$D,"null")</f>
        <v>Rumah Tangga</v>
      </c>
      <c r="G2478" s="85" t="s">
        <v>89</v>
      </c>
      <c r="H2478" s="86">
        <v>100.9</v>
      </c>
      <c r="I2478" s="86">
        <v>100.9</v>
      </c>
      <c r="J2478" s="87">
        <f t="shared" si="2"/>
        <v>0</v>
      </c>
      <c r="K2478" s="84" t="str">
        <f t="shared" si="3"/>
        <v>Stabil</v>
      </c>
      <c r="L2478" s="84">
        <f t="shared" si="4"/>
        <v>0</v>
      </c>
      <c r="M2478" s="88" t="str">
        <f t="shared" si="5"/>
        <v>Perubahan Normal</v>
      </c>
    </row>
    <row r="2479" ht="18.75" customHeight="1">
      <c r="A2479" s="80" t="s">
        <v>296</v>
      </c>
      <c r="B2479" s="81" t="str">
        <f t="shared" si="1"/>
        <v>Kota Bogor</v>
      </c>
      <c r="C2479" s="81" t="str">
        <f t="array" ref="C2479">xlookup(B2479,Reference!$A$2:$A$152,Reference!$B$2:$B$152)</f>
        <v>Jawa Barat</v>
      </c>
      <c r="D2479" s="82" t="s">
        <v>2918</v>
      </c>
      <c r="E2479" s="83">
        <v>45323.0</v>
      </c>
      <c r="F2479" s="91" t="str">
        <f t="array" ref="F2479">XLOOKUP(G2479,Reference!$F:$F,Reference!$D:$D,"null")</f>
        <v>Pendidikan dan Kesehatan</v>
      </c>
      <c r="G2479" s="85" t="s">
        <v>95</v>
      </c>
      <c r="H2479" s="86">
        <v>102.38</v>
      </c>
      <c r="I2479" s="86">
        <v>102.38</v>
      </c>
      <c r="J2479" s="87">
        <f t="shared" si="2"/>
        <v>0</v>
      </c>
      <c r="K2479" s="84" t="str">
        <f t="shared" si="3"/>
        <v>Stabil</v>
      </c>
      <c r="L2479" s="84">
        <f t="shared" si="4"/>
        <v>0</v>
      </c>
      <c r="M2479" s="88" t="str">
        <f t="shared" si="5"/>
        <v>Perubahan Normal</v>
      </c>
    </row>
    <row r="2480" ht="18.75" customHeight="1">
      <c r="A2480" s="80" t="s">
        <v>592</v>
      </c>
      <c r="B2480" s="81" t="str">
        <f t="shared" si="1"/>
        <v>Kab Lampung Timur</v>
      </c>
      <c r="C2480" s="81" t="str">
        <f t="array" ref="C2480">xlookup(B2480,Reference!$A$2:$A$152,Reference!$B$2:$B$152)</f>
        <v>Lampung</v>
      </c>
      <c r="D2480" s="82" t="s">
        <v>2919</v>
      </c>
      <c r="E2480" s="83">
        <v>45323.0</v>
      </c>
      <c r="F2480" s="91" t="str">
        <f t="array" ref="F2480">XLOOKUP(G2480,Reference!$F:$F,Reference!$D:$D,"null")</f>
        <v>Rekreasi dan Kendaraan</v>
      </c>
      <c r="G2480" s="85" t="s">
        <v>105</v>
      </c>
      <c r="H2480" s="86">
        <v>109.04</v>
      </c>
      <c r="I2480" s="86">
        <v>109.15</v>
      </c>
      <c r="J2480" s="87">
        <f t="shared" si="2"/>
        <v>-0.1007787448</v>
      </c>
      <c r="K2480" s="84" t="str">
        <f t="shared" si="3"/>
        <v>Deflasi</v>
      </c>
      <c r="L2480" s="84">
        <f t="shared" si="4"/>
        <v>-0.11</v>
      </c>
      <c r="M2480" s="88" t="str">
        <f t="shared" si="5"/>
        <v>Perubahan Normal</v>
      </c>
    </row>
    <row r="2481" ht="18.75" customHeight="1">
      <c r="A2481" s="80" t="s">
        <v>497</v>
      </c>
      <c r="B2481" s="81" t="str">
        <f t="shared" si="1"/>
        <v>Tanjung Pandan</v>
      </c>
      <c r="C2481" s="81" t="str">
        <f t="array" ref="C2481">xlookup(B2481,Reference!$A$2:$A$152,Reference!$B$2:$B$152)</f>
        <v>Kepulauan Bangka Belitung</v>
      </c>
      <c r="D2481" s="82" t="s">
        <v>2920</v>
      </c>
      <c r="E2481" s="83">
        <v>45352.0</v>
      </c>
      <c r="F2481" s="91" t="str">
        <f t="array" ref="F2481">XLOOKUP(G2481,Reference!$F:$F,Reference!$D:$D,"null")</f>
        <v>Rekreasi dan Kendaraan</v>
      </c>
      <c r="G2481" s="89" t="s">
        <v>102</v>
      </c>
      <c r="H2481" s="90">
        <v>98.67</v>
      </c>
      <c r="I2481" s="90">
        <v>98.68</v>
      </c>
      <c r="J2481" s="87">
        <f t="shared" si="2"/>
        <v>-0.01013376571</v>
      </c>
      <c r="K2481" s="84" t="str">
        <f t="shared" si="3"/>
        <v>Deflasi</v>
      </c>
      <c r="L2481" s="91">
        <f t="shared" si="4"/>
        <v>-0.01</v>
      </c>
      <c r="M2481" s="88" t="str">
        <f t="shared" si="5"/>
        <v>Perubahan Normal</v>
      </c>
    </row>
    <row r="2482" ht="18.75" customHeight="1">
      <c r="A2482" s="80" t="s">
        <v>490</v>
      </c>
      <c r="B2482" s="81" t="str">
        <f t="shared" si="1"/>
        <v>Kab Kerinci</v>
      </c>
      <c r="C2482" s="81" t="str">
        <f t="array" ref="C2482">xlookup(B2482,Reference!$A$2:$A$152,Reference!$B$2:$B$152)</f>
        <v>Jambi</v>
      </c>
      <c r="D2482" s="82" t="s">
        <v>2921</v>
      </c>
      <c r="E2482" s="83">
        <v>45352.0</v>
      </c>
      <c r="F2482" s="91" t="str">
        <f t="array" ref="F2482">XLOOKUP(G2482,Reference!$F:$F,Reference!$D:$D,"null")</f>
        <v>Rumah Tangga</v>
      </c>
      <c r="G2482" s="85" t="s">
        <v>84</v>
      </c>
      <c r="H2482" s="86">
        <v>92.11</v>
      </c>
      <c r="I2482" s="86">
        <v>92.0</v>
      </c>
      <c r="J2482" s="87">
        <f t="shared" si="2"/>
        <v>0.1195652174</v>
      </c>
      <c r="K2482" s="84" t="str">
        <f t="shared" si="3"/>
        <v>Inflasi Normal</v>
      </c>
      <c r="L2482" s="84">
        <f t="shared" si="4"/>
        <v>0.11</v>
      </c>
      <c r="M2482" s="88" t="str">
        <f t="shared" si="5"/>
        <v>Perubahan Normal</v>
      </c>
    </row>
    <row r="2483" ht="18.75" customHeight="1">
      <c r="A2483" s="80" t="s">
        <v>401</v>
      </c>
      <c r="B2483" s="81" t="str">
        <f t="shared" si="1"/>
        <v>Kota Tual</v>
      </c>
      <c r="C2483" s="81" t="str">
        <f t="array" ref="C2483">xlookup(B2483,Reference!$A$2:$A$152,Reference!$B$2:$B$152)</f>
        <v>Maluku</v>
      </c>
      <c r="D2483" s="82" t="s">
        <v>2922</v>
      </c>
      <c r="E2483" s="83">
        <v>45352.0</v>
      </c>
      <c r="F2483" s="91" t="str">
        <f t="array" ref="F2483">XLOOKUP(G2483,Reference!$F:$F,Reference!$D:$D,"null")</f>
        <v>Makanan dan Pakaian </v>
      </c>
      <c r="G2483" s="85" t="s">
        <v>64</v>
      </c>
      <c r="H2483" s="86">
        <v>98.32</v>
      </c>
      <c r="I2483" s="86">
        <v>98.32</v>
      </c>
      <c r="J2483" s="87">
        <f t="shared" si="2"/>
        <v>0</v>
      </c>
      <c r="K2483" s="84" t="str">
        <f t="shared" si="3"/>
        <v>Stabil</v>
      </c>
      <c r="L2483" s="84">
        <f t="shared" si="4"/>
        <v>0</v>
      </c>
      <c r="M2483" s="88" t="str">
        <f t="shared" si="5"/>
        <v>Perubahan Normal</v>
      </c>
    </row>
    <row r="2484" ht="18.75" customHeight="1">
      <c r="A2484" s="80" t="s">
        <v>598</v>
      </c>
      <c r="B2484" s="81" t="str">
        <f t="shared" si="1"/>
        <v>Kota Surakarta</v>
      </c>
      <c r="C2484" s="81" t="str">
        <f t="array" ref="C2484">xlookup(B2484,Reference!$A$2:$A$152,Reference!$B$2:$B$152)</f>
        <v>Jawa Tengah</v>
      </c>
      <c r="D2484" s="82" t="s">
        <v>2923</v>
      </c>
      <c r="E2484" s="83">
        <v>45352.0</v>
      </c>
      <c r="F2484" s="91" t="str">
        <f t="array" ref="F2484">XLOOKUP(G2484,Reference!$F:$F,Reference!$D:$D,"null")</f>
        <v>Pendidikan dan Kesehatan</v>
      </c>
      <c r="G2484" s="85" t="s">
        <v>98</v>
      </c>
      <c r="H2484" s="86">
        <v>105.55</v>
      </c>
      <c r="I2484" s="86">
        <v>104.94</v>
      </c>
      <c r="J2484" s="87">
        <f t="shared" si="2"/>
        <v>0.5812845435</v>
      </c>
      <c r="K2484" s="84" t="str">
        <f t="shared" si="3"/>
        <v>Inflasi Tinggi</v>
      </c>
      <c r="L2484" s="84">
        <f t="shared" si="4"/>
        <v>0.61</v>
      </c>
      <c r="M2484" s="88" t="str">
        <f t="shared" si="5"/>
        <v>Akselerasi Persentase</v>
      </c>
    </row>
    <row r="2485" ht="18.75" customHeight="1">
      <c r="A2485" s="80" t="s">
        <v>669</v>
      </c>
      <c r="B2485" s="81" t="str">
        <f t="shared" si="1"/>
        <v>Kab Sidenreng Rappang</v>
      </c>
      <c r="C2485" s="81" t="str">
        <f t="array" ref="C2485">xlookup(B2485,Reference!$A$2:$A$152,Reference!$B$2:$B$152)</f>
        <v>Sulawesi Selatan</v>
      </c>
      <c r="D2485" s="82" t="s">
        <v>2924</v>
      </c>
      <c r="E2485" s="83">
        <v>45323.0</v>
      </c>
      <c r="F2485" s="91" t="str">
        <f t="array" ref="F2485">XLOOKUP(G2485,Reference!$F:$F,Reference!$D:$D,"null")</f>
        <v>Rumah Tangga</v>
      </c>
      <c r="G2485" s="89" t="s">
        <v>89</v>
      </c>
      <c r="H2485" s="90">
        <v>100.51</v>
      </c>
      <c r="I2485" s="90">
        <v>100.51</v>
      </c>
      <c r="J2485" s="87">
        <f t="shared" si="2"/>
        <v>0</v>
      </c>
      <c r="K2485" s="84" t="str">
        <f t="shared" si="3"/>
        <v>Stabil</v>
      </c>
      <c r="L2485" s="91">
        <f t="shared" si="4"/>
        <v>0</v>
      </c>
      <c r="M2485" s="88" t="str">
        <f t="shared" si="5"/>
        <v>Perubahan Normal</v>
      </c>
    </row>
    <row r="2486" ht="18.75" customHeight="1">
      <c r="A2486" s="80" t="s">
        <v>408</v>
      </c>
      <c r="B2486" s="81" t="str">
        <f t="shared" si="1"/>
        <v>Manokwari</v>
      </c>
      <c r="C2486" s="81" t="str">
        <f t="array" ref="C2486">xlookup(B2486,Reference!$A$2:$A$152,Reference!$B$2:$B$152)</f>
        <v>Papua Barat Daya</v>
      </c>
      <c r="D2486" s="82" t="s">
        <v>2925</v>
      </c>
      <c r="E2486" s="83">
        <v>45323.0</v>
      </c>
      <c r="F2486" s="91" t="str">
        <f t="array" ref="F2486">XLOOKUP(G2486,Reference!$F:$F,Reference!$D:$D,"null")</f>
        <v>Makanan dan Pakaian </v>
      </c>
      <c r="G2486" s="85" t="s">
        <v>64</v>
      </c>
      <c r="H2486" s="86">
        <v>100.78</v>
      </c>
      <c r="I2486" s="86">
        <v>100.78</v>
      </c>
      <c r="J2486" s="87">
        <f t="shared" si="2"/>
        <v>0</v>
      </c>
      <c r="K2486" s="84" t="str">
        <f t="shared" si="3"/>
        <v>Stabil</v>
      </c>
      <c r="L2486" s="84">
        <f t="shared" si="4"/>
        <v>0</v>
      </c>
      <c r="M2486" s="88" t="str">
        <f t="shared" si="5"/>
        <v>Perubahan Normal</v>
      </c>
    </row>
    <row r="2487" ht="18.75" customHeight="1">
      <c r="A2487" s="80" t="s">
        <v>558</v>
      </c>
      <c r="B2487" s="81" t="str">
        <f t="shared" si="1"/>
        <v>Kab Kapuas</v>
      </c>
      <c r="C2487" s="81" t="str">
        <f t="array" ref="C2487">xlookup(B2487,Reference!$A$2:$A$152,Reference!$B$2:$B$152)</f>
        <v>Kalimantan Tengah</v>
      </c>
      <c r="D2487" s="82" t="s">
        <v>2926</v>
      </c>
      <c r="E2487" s="83">
        <v>45323.0</v>
      </c>
      <c r="F2487" s="91" t="str">
        <f t="array" ref="F2487">XLOOKUP(G2487,Reference!$F:$F,Reference!$D:$D,"null")</f>
        <v>Rekreasi dan Kendaraan</v>
      </c>
      <c r="G2487" s="85" t="s">
        <v>105</v>
      </c>
      <c r="H2487" s="86">
        <v>104.4</v>
      </c>
      <c r="I2487" s="86">
        <v>104.53</v>
      </c>
      <c r="J2487" s="87">
        <f t="shared" si="2"/>
        <v>-0.1243662107</v>
      </c>
      <c r="K2487" s="84" t="str">
        <f t="shared" si="3"/>
        <v>Deflasi</v>
      </c>
      <c r="L2487" s="84">
        <f t="shared" si="4"/>
        <v>-0.13</v>
      </c>
      <c r="M2487" s="88" t="str">
        <f t="shared" si="5"/>
        <v>Perubahan Normal</v>
      </c>
    </row>
    <row r="2488" ht="18.75" customHeight="1">
      <c r="A2488" s="80" t="s">
        <v>423</v>
      </c>
      <c r="B2488" s="81" t="str">
        <f t="shared" si="1"/>
        <v>Kota Kotamobagu</v>
      </c>
      <c r="C2488" s="81" t="str">
        <f t="array" ref="C2488">xlookup(B2488,Reference!$A$2:$A$152,Reference!$B$2:$B$152)</f>
        <v>Sulawesi Utara</v>
      </c>
      <c r="D2488" s="82" t="s">
        <v>2927</v>
      </c>
      <c r="E2488" s="83">
        <v>45323.0</v>
      </c>
      <c r="F2488" s="91" t="str">
        <f t="array" ref="F2488">XLOOKUP(G2488,Reference!$F:$F,Reference!$D:$D,"null")</f>
        <v>Makanan dan Pakaian </v>
      </c>
      <c r="G2488" s="85" t="s">
        <v>72</v>
      </c>
      <c r="H2488" s="86">
        <v>99.51</v>
      </c>
      <c r="I2488" s="86">
        <v>99.51</v>
      </c>
      <c r="J2488" s="87">
        <f t="shared" si="2"/>
        <v>0</v>
      </c>
      <c r="K2488" s="84" t="str">
        <f t="shared" si="3"/>
        <v>Stabil</v>
      </c>
      <c r="L2488" s="84">
        <f t="shared" si="4"/>
        <v>0</v>
      </c>
      <c r="M2488" s="88" t="str">
        <f t="shared" si="5"/>
        <v>Perubahan Normal</v>
      </c>
    </row>
    <row r="2489" ht="18.75" customHeight="1">
      <c r="A2489" s="80" t="s">
        <v>294</v>
      </c>
      <c r="B2489" s="81" t="str">
        <f t="shared" si="1"/>
        <v>Kab Labuhanbatu</v>
      </c>
      <c r="C2489" s="81" t="str">
        <f t="array" ref="C2489">xlookup(B2489,Reference!$A$2:$A$152,Reference!$B$2:$B$152)</f>
        <v>Sumatera Utara</v>
      </c>
      <c r="D2489" s="82" t="s">
        <v>2928</v>
      </c>
      <c r="E2489" s="83">
        <v>45323.0</v>
      </c>
      <c r="F2489" s="91" t="str">
        <f t="array" ref="F2489">XLOOKUP(G2489,Reference!$F:$F,Reference!$D:$D,"null")</f>
        <v>Rekreasi dan Kendaraan</v>
      </c>
      <c r="G2489" s="85" t="s">
        <v>102</v>
      </c>
      <c r="H2489" s="86">
        <v>109.6</v>
      </c>
      <c r="I2489" s="86">
        <v>110.58</v>
      </c>
      <c r="J2489" s="87">
        <f t="shared" si="2"/>
        <v>-0.8862362091</v>
      </c>
      <c r="K2489" s="84" t="str">
        <f t="shared" si="3"/>
        <v>Deflasi</v>
      </c>
      <c r="L2489" s="84">
        <f t="shared" si="4"/>
        <v>-0.98</v>
      </c>
      <c r="M2489" s="88" t="str">
        <f t="shared" si="5"/>
        <v>Perubahan Normal</v>
      </c>
    </row>
    <row r="2490" ht="18.75" customHeight="1">
      <c r="A2490" s="80" t="s">
        <v>642</v>
      </c>
      <c r="B2490" s="81" t="str">
        <f t="shared" si="1"/>
        <v>Kota Bandar Lampung</v>
      </c>
      <c r="C2490" s="81" t="str">
        <f t="array" ref="C2490">xlookup(B2490,Reference!$A$2:$A$152,Reference!$B$2:$B$152)</f>
        <v>Lampung</v>
      </c>
      <c r="D2490" s="82" t="s">
        <v>2929</v>
      </c>
      <c r="E2490" s="83">
        <v>45323.0</v>
      </c>
      <c r="F2490" s="91" t="str">
        <f t="array" ref="F2490">XLOOKUP(G2490,Reference!$F:$F,Reference!$D:$D,"null")</f>
        <v>Pendidikan dan Kesehatan</v>
      </c>
      <c r="G2490" s="85" t="s">
        <v>95</v>
      </c>
      <c r="H2490" s="86">
        <v>109.8</v>
      </c>
      <c r="I2490" s="86">
        <v>109.8</v>
      </c>
      <c r="J2490" s="87">
        <f t="shared" si="2"/>
        <v>0</v>
      </c>
      <c r="K2490" s="84" t="str">
        <f t="shared" si="3"/>
        <v>Stabil</v>
      </c>
      <c r="L2490" s="84">
        <f t="shared" si="4"/>
        <v>0</v>
      </c>
      <c r="M2490" s="88" t="str">
        <f t="shared" si="5"/>
        <v>Perubahan Normal</v>
      </c>
    </row>
    <row r="2491" ht="18.75" customHeight="1">
      <c r="A2491" s="80" t="s">
        <v>433</v>
      </c>
      <c r="B2491" s="81" t="str">
        <f t="shared" si="1"/>
        <v>Kab Tulungagung</v>
      </c>
      <c r="C2491" s="81" t="str">
        <f t="array" ref="C2491">xlookup(B2491,Reference!$A$2:$A$152,Reference!$B$2:$B$152)</f>
        <v>Jawa Timur</v>
      </c>
      <c r="D2491" s="82" t="s">
        <v>2930</v>
      </c>
      <c r="E2491" s="83">
        <v>45352.0</v>
      </c>
      <c r="F2491" s="91" t="str">
        <f t="array" ref="F2491">XLOOKUP(G2491,Reference!$F:$F,Reference!$D:$D,"null")</f>
        <v>Makanan dan Pakaian </v>
      </c>
      <c r="G2491" s="85" t="s">
        <v>56</v>
      </c>
      <c r="H2491" s="86">
        <v>98.54</v>
      </c>
      <c r="I2491" s="86">
        <v>97.66</v>
      </c>
      <c r="J2491" s="87">
        <f t="shared" si="2"/>
        <v>0.9010853983</v>
      </c>
      <c r="K2491" s="84" t="str">
        <f t="shared" si="3"/>
        <v>Inflasi Tinggi</v>
      </c>
      <c r="L2491" s="84">
        <f t="shared" si="4"/>
        <v>0.88</v>
      </c>
      <c r="M2491" s="88" t="str">
        <f t="shared" si="5"/>
        <v>Akselerasi Persentase</v>
      </c>
    </row>
    <row r="2492" ht="18.75" customHeight="1">
      <c r="A2492" s="80" t="s">
        <v>731</v>
      </c>
      <c r="B2492" s="81" t="str">
        <f t="shared" si="1"/>
        <v>Kab Hulu Sungai Tengah</v>
      </c>
      <c r="C2492" s="81" t="str">
        <f t="array" ref="C2492">xlookup(B2492,Reference!$A$2:$A$152,Reference!$B$2:$B$152)</f>
        <v>Kalimantan Selatan</v>
      </c>
      <c r="D2492" s="82" t="s">
        <v>2931</v>
      </c>
      <c r="E2492" s="83">
        <v>45352.0</v>
      </c>
      <c r="F2492" s="91" t="str">
        <f t="array" ref="F2492">XLOOKUP(G2492,Reference!$F:$F,Reference!$D:$D,"null")</f>
        <v>Pendidikan dan Kesehatan</v>
      </c>
      <c r="G2492" s="85" t="s">
        <v>95</v>
      </c>
      <c r="H2492" s="86">
        <v>100.4</v>
      </c>
      <c r="I2492" s="86">
        <v>100.0</v>
      </c>
      <c r="J2492" s="87">
        <f t="shared" si="2"/>
        <v>0.4</v>
      </c>
      <c r="K2492" s="84" t="str">
        <f t="shared" si="3"/>
        <v>Inflasi Normal</v>
      </c>
      <c r="L2492" s="84">
        <f t="shared" si="4"/>
        <v>0.4</v>
      </c>
      <c r="M2492" s="88" t="str">
        <f t="shared" si="5"/>
        <v>Perubahan Normal</v>
      </c>
    </row>
    <row r="2493" ht="18.75" customHeight="1">
      <c r="A2493" s="80" t="s">
        <v>360</v>
      </c>
      <c r="B2493" s="81" t="str">
        <f t="shared" si="1"/>
        <v>Kab Wonosobo</v>
      </c>
      <c r="C2493" s="81" t="str">
        <f t="array" ref="C2493">xlookup(B2493,Reference!$A$2:$A$152,Reference!$B$2:$B$152)</f>
        <v>Jawa Tengah</v>
      </c>
      <c r="D2493" s="82" t="s">
        <v>2932</v>
      </c>
      <c r="E2493" s="83">
        <v>45352.0</v>
      </c>
      <c r="F2493" s="91" t="str">
        <f t="array" ref="F2493">XLOOKUP(G2493,Reference!$F:$F,Reference!$D:$D,"null")</f>
        <v>Rekreasi dan Kendaraan</v>
      </c>
      <c r="G2493" s="85" t="s">
        <v>105</v>
      </c>
      <c r="H2493" s="86">
        <v>102.76</v>
      </c>
      <c r="I2493" s="86">
        <v>102.76</v>
      </c>
      <c r="J2493" s="87">
        <f t="shared" si="2"/>
        <v>0</v>
      </c>
      <c r="K2493" s="84" t="str">
        <f t="shared" si="3"/>
        <v>Stabil</v>
      </c>
      <c r="L2493" s="84">
        <f t="shared" si="4"/>
        <v>0</v>
      </c>
      <c r="M2493" s="88" t="str">
        <f t="shared" si="5"/>
        <v>Perubahan Normal</v>
      </c>
    </row>
    <row r="2494" ht="18.75" customHeight="1">
      <c r="A2494" s="80" t="s">
        <v>445</v>
      </c>
      <c r="B2494" s="81" t="str">
        <f t="shared" si="1"/>
        <v>Kab Bangka Barat</v>
      </c>
      <c r="C2494" s="81" t="str">
        <f t="array" ref="C2494">xlookup(B2494,Reference!$A$2:$A$152,Reference!$B$2:$B$152)</f>
        <v>Kepulauan Bangka Belitung</v>
      </c>
      <c r="D2494" s="82" t="s">
        <v>2933</v>
      </c>
      <c r="E2494" s="83">
        <v>45352.0</v>
      </c>
      <c r="F2494" s="91" t="str">
        <f t="array" ref="F2494">XLOOKUP(G2494,Reference!$F:$F,Reference!$D:$D,"null")</f>
        <v>Makanan dan Pakaian </v>
      </c>
      <c r="G2494" s="85" t="s">
        <v>56</v>
      </c>
      <c r="H2494" s="86">
        <v>109.08</v>
      </c>
      <c r="I2494" s="86">
        <v>107.19</v>
      </c>
      <c r="J2494" s="87">
        <f t="shared" si="2"/>
        <v>1.763224181</v>
      </c>
      <c r="K2494" s="84" t="str">
        <f t="shared" si="3"/>
        <v>Inflasi Tinggi</v>
      </c>
      <c r="L2494" s="84">
        <f t="shared" si="4"/>
        <v>1.89</v>
      </c>
      <c r="M2494" s="88" t="str">
        <f t="shared" si="5"/>
        <v>Akselerasi Persentase</v>
      </c>
    </row>
    <row r="2495" ht="18.75" customHeight="1">
      <c r="A2495" s="80" t="s">
        <v>401</v>
      </c>
      <c r="B2495" s="81" t="str">
        <f t="shared" si="1"/>
        <v>Kota Tual</v>
      </c>
      <c r="C2495" s="81" t="str">
        <f t="array" ref="C2495">xlookup(B2495,Reference!$A$2:$A$152,Reference!$B$2:$B$152)</f>
        <v>Maluku</v>
      </c>
      <c r="D2495" s="82" t="s">
        <v>2934</v>
      </c>
      <c r="E2495" s="83">
        <v>45323.0</v>
      </c>
      <c r="F2495" s="91" t="str">
        <f t="array" ref="F2495">XLOOKUP(G2495,Reference!$F:$F,Reference!$D:$D,"null")</f>
        <v>Rekreasi dan Kendaraan</v>
      </c>
      <c r="G2495" s="85" t="s">
        <v>105</v>
      </c>
      <c r="H2495" s="86">
        <v>103.76</v>
      </c>
      <c r="I2495" s="86">
        <v>103.61</v>
      </c>
      <c r="J2495" s="87">
        <f t="shared" si="2"/>
        <v>0.1447736705</v>
      </c>
      <c r="K2495" s="84" t="str">
        <f t="shared" si="3"/>
        <v>Inflasi Normal</v>
      </c>
      <c r="L2495" s="84">
        <f t="shared" si="4"/>
        <v>0.15</v>
      </c>
      <c r="M2495" s="88" t="str">
        <f t="shared" si="5"/>
        <v>Perubahan Normal</v>
      </c>
    </row>
    <row r="2496" ht="18.75" customHeight="1">
      <c r="A2496" s="80" t="s">
        <v>663</v>
      </c>
      <c r="B2496" s="81" t="str">
        <f t="shared" si="1"/>
        <v>Kota Serang</v>
      </c>
      <c r="C2496" s="81" t="str">
        <f t="array" ref="C2496">xlookup(B2496,Reference!$A$2:$A$152,Reference!$B$2:$B$152)</f>
        <v>Banten</v>
      </c>
      <c r="D2496" s="82" t="s">
        <v>2935</v>
      </c>
      <c r="E2496" s="83">
        <v>45323.0</v>
      </c>
      <c r="F2496" s="91" t="str">
        <f t="array" ref="F2496">XLOOKUP(G2496,Reference!$F:$F,Reference!$D:$D,"null")</f>
        <v>Pendidikan dan Kesehatan</v>
      </c>
      <c r="G2496" s="85" t="s">
        <v>98</v>
      </c>
      <c r="H2496" s="86">
        <v>100.33</v>
      </c>
      <c r="I2496" s="86">
        <v>99.82</v>
      </c>
      <c r="J2496" s="87">
        <f t="shared" si="2"/>
        <v>0.5109196554</v>
      </c>
      <c r="K2496" s="84" t="str">
        <f t="shared" si="3"/>
        <v>Inflasi Tinggi</v>
      </c>
      <c r="L2496" s="84">
        <f t="shared" si="4"/>
        <v>0.51</v>
      </c>
      <c r="M2496" s="88" t="str">
        <f t="shared" si="5"/>
        <v>Akselerasi Persentase</v>
      </c>
    </row>
    <row r="2497" ht="18.75" customHeight="1">
      <c r="A2497" s="80" t="s">
        <v>378</v>
      </c>
      <c r="B2497" s="81" t="str">
        <f t="shared" si="1"/>
        <v>Kab Berau</v>
      </c>
      <c r="C2497" s="81" t="str">
        <f t="array" ref="C2497">xlookup(B2497,Reference!$A$2:$A$152,Reference!$B$2:$B$152)</f>
        <v>Kalimantan Timur</v>
      </c>
      <c r="D2497" s="82" t="s">
        <v>2936</v>
      </c>
      <c r="E2497" s="83">
        <v>45323.0</v>
      </c>
      <c r="F2497" s="91" t="str">
        <f t="array" ref="F2497">XLOOKUP(G2497,Reference!$F:$F,Reference!$D:$D,"null")</f>
        <v>Makanan dan Pakaian </v>
      </c>
      <c r="G2497" s="85" t="s">
        <v>48</v>
      </c>
      <c r="H2497" s="86">
        <v>109.4</v>
      </c>
      <c r="I2497" s="86">
        <v>106.48</v>
      </c>
      <c r="J2497" s="87">
        <f t="shared" si="2"/>
        <v>2.742299023</v>
      </c>
      <c r="K2497" s="84" t="str">
        <f t="shared" si="3"/>
        <v>Inflasi Tinggi</v>
      </c>
      <c r="L2497" s="84">
        <f t="shared" si="4"/>
        <v>2.92</v>
      </c>
      <c r="M2497" s="88" t="str">
        <f t="shared" si="5"/>
        <v>Akselerasi Kuat</v>
      </c>
    </row>
    <row r="2498" ht="18.75" customHeight="1">
      <c r="A2498" s="80" t="s">
        <v>433</v>
      </c>
      <c r="B2498" s="81" t="str">
        <f t="shared" si="1"/>
        <v>Kab Tulungagung</v>
      </c>
      <c r="C2498" s="81" t="str">
        <f t="array" ref="C2498">xlookup(B2498,Reference!$A$2:$A$152,Reference!$B$2:$B$152)</f>
        <v>Jawa Timur</v>
      </c>
      <c r="D2498" s="82" t="s">
        <v>2937</v>
      </c>
      <c r="E2498" s="83">
        <v>45323.0</v>
      </c>
      <c r="F2498" s="91" t="str">
        <f t="array" ref="F2498">XLOOKUP(G2498,Reference!$F:$F,Reference!$D:$D,"null")</f>
        <v>Rekreasi dan Kendaraan</v>
      </c>
      <c r="G2498" s="85" t="s">
        <v>102</v>
      </c>
      <c r="H2498" s="86">
        <v>102.42</v>
      </c>
      <c r="I2498" s="86">
        <v>102.42</v>
      </c>
      <c r="J2498" s="87">
        <f t="shared" si="2"/>
        <v>0</v>
      </c>
      <c r="K2498" s="84" t="str">
        <f t="shared" si="3"/>
        <v>Stabil</v>
      </c>
      <c r="L2498" s="84">
        <f t="shared" si="4"/>
        <v>0</v>
      </c>
      <c r="M2498" s="88" t="str">
        <f t="shared" si="5"/>
        <v>Perubahan Normal</v>
      </c>
    </row>
    <row r="2499" ht="18.75" customHeight="1">
      <c r="A2499" s="80" t="s">
        <v>450</v>
      </c>
      <c r="B2499" s="81" t="str">
        <f t="shared" si="1"/>
        <v>Waingapu</v>
      </c>
      <c r="C2499" s="81" t="str">
        <f t="array" ref="C2499">xlookup(B2499,Reference!$A$2:$A$152,Reference!$B$2:$B$152)</f>
        <v>Nusa Tenggara Timur (NTT)</v>
      </c>
      <c r="D2499" s="82" t="s">
        <v>2938</v>
      </c>
      <c r="E2499" s="83">
        <v>45323.0</v>
      </c>
      <c r="F2499" s="91" t="str">
        <f t="array" ref="F2499">XLOOKUP(G2499,Reference!$F:$F,Reference!$D:$D,"null")</f>
        <v>Makanan dan Pakaian </v>
      </c>
      <c r="G2499" s="85" t="s">
        <v>56</v>
      </c>
      <c r="H2499" s="86">
        <v>97.06</v>
      </c>
      <c r="I2499" s="86">
        <v>97.38</v>
      </c>
      <c r="J2499" s="87">
        <f t="shared" si="2"/>
        <v>-0.3286095708</v>
      </c>
      <c r="K2499" s="84" t="str">
        <f t="shared" si="3"/>
        <v>Deflasi</v>
      </c>
      <c r="L2499" s="84">
        <f t="shared" si="4"/>
        <v>-0.32</v>
      </c>
      <c r="M2499" s="88" t="str">
        <f t="shared" si="5"/>
        <v>Perubahan Normal</v>
      </c>
    </row>
    <row r="2500" ht="18.75" customHeight="1">
      <c r="A2500" s="80" t="s">
        <v>406</v>
      </c>
      <c r="B2500" s="81" t="str">
        <f t="shared" si="1"/>
        <v>Kota Tasikmalaya</v>
      </c>
      <c r="C2500" s="81" t="str">
        <f t="array" ref="C2500">xlookup(B2500,Reference!$A$2:$A$152,Reference!$B$2:$B$152)</f>
        <v>Jawa Barat</v>
      </c>
      <c r="D2500" s="82" t="s">
        <v>2939</v>
      </c>
      <c r="E2500" s="83">
        <v>45352.0</v>
      </c>
      <c r="F2500" s="91" t="str">
        <f t="array" ref="F2500">XLOOKUP(G2500,Reference!$F:$F,Reference!$D:$D,"null")</f>
        <v>Rekreasi dan Kendaraan</v>
      </c>
      <c r="G2500" s="85" t="s">
        <v>102</v>
      </c>
      <c r="H2500" s="86">
        <v>103.01</v>
      </c>
      <c r="I2500" s="86">
        <v>103.0</v>
      </c>
      <c r="J2500" s="87">
        <f t="shared" si="2"/>
        <v>0.009708737864</v>
      </c>
      <c r="K2500" s="84" t="str">
        <f t="shared" si="3"/>
        <v>Inflasi Normal</v>
      </c>
      <c r="L2500" s="84">
        <f t="shared" si="4"/>
        <v>0.01</v>
      </c>
      <c r="M2500" s="88" t="str">
        <f t="shared" si="5"/>
        <v>Perubahan Normal</v>
      </c>
    </row>
    <row r="2501" ht="18.75" customHeight="1">
      <c r="A2501" s="80" t="s">
        <v>349</v>
      </c>
      <c r="B2501" s="81" t="str">
        <f t="shared" si="1"/>
        <v>Kota Banjarmasin</v>
      </c>
      <c r="C2501" s="81" t="str">
        <f t="array" ref="C2501">xlookup(B2501,Reference!$A$2:$A$152,Reference!$B$2:$B$152)</f>
        <v>Kalimantan Selatan</v>
      </c>
      <c r="D2501" s="82" t="s">
        <v>2940</v>
      </c>
      <c r="E2501" s="83">
        <v>45352.0</v>
      </c>
      <c r="F2501" s="91" t="str">
        <f t="array" ref="F2501">XLOOKUP(G2501,Reference!$F:$F,Reference!$D:$D,"null")</f>
        <v>Rumah Tangga</v>
      </c>
      <c r="G2501" s="85" t="s">
        <v>84</v>
      </c>
      <c r="H2501" s="86">
        <v>100.64</v>
      </c>
      <c r="I2501" s="86">
        <v>100.2</v>
      </c>
      <c r="J2501" s="87">
        <f t="shared" si="2"/>
        <v>0.4391217565</v>
      </c>
      <c r="K2501" s="84" t="str">
        <f t="shared" si="3"/>
        <v>Inflasi Normal</v>
      </c>
      <c r="L2501" s="84">
        <f t="shared" si="4"/>
        <v>0.44</v>
      </c>
      <c r="M2501" s="88" t="str">
        <f t="shared" si="5"/>
        <v>Perubahan Normal</v>
      </c>
    </row>
    <row r="2502" ht="18.75" customHeight="1">
      <c r="A2502" s="80" t="s">
        <v>548</v>
      </c>
      <c r="B2502" s="81" t="str">
        <f t="shared" si="1"/>
        <v>Kota Metro</v>
      </c>
      <c r="C2502" s="81" t="str">
        <f t="array" ref="C2502">xlookup(B2502,Reference!$A$2:$A$152,Reference!$B$2:$B$152)</f>
        <v>Lampung</v>
      </c>
      <c r="D2502" s="82" t="s">
        <v>2941</v>
      </c>
      <c r="E2502" s="83">
        <v>45352.0</v>
      </c>
      <c r="F2502" s="91" t="str">
        <f t="array" ref="F2502">XLOOKUP(G2502,Reference!$F:$F,Reference!$D:$D,"null")</f>
        <v>Rumah Tangga</v>
      </c>
      <c r="G2502" s="85" t="s">
        <v>80</v>
      </c>
      <c r="H2502" s="86">
        <v>100.86</v>
      </c>
      <c r="I2502" s="86">
        <v>100.86</v>
      </c>
      <c r="J2502" s="87">
        <f t="shared" si="2"/>
        <v>0</v>
      </c>
      <c r="K2502" s="84" t="str">
        <f t="shared" si="3"/>
        <v>Stabil</v>
      </c>
      <c r="L2502" s="84">
        <f t="shared" si="4"/>
        <v>0</v>
      </c>
      <c r="M2502" s="88" t="str">
        <f t="shared" si="5"/>
        <v>Perubahan Normal</v>
      </c>
    </row>
    <row r="2503" ht="18.75" customHeight="1">
      <c r="A2503" s="80" t="s">
        <v>412</v>
      </c>
      <c r="B2503" s="81" t="str">
        <f t="shared" si="1"/>
        <v>Cilacap</v>
      </c>
      <c r="C2503" s="81" t="str">
        <f t="array" ref="C2503">xlookup(B2503,Reference!$A$2:$A$152,Reference!$B$2:$B$152)</f>
        <v>Jawa Tengah</v>
      </c>
      <c r="D2503" s="82" t="s">
        <v>2942</v>
      </c>
      <c r="E2503" s="83">
        <v>45323.0</v>
      </c>
      <c r="F2503" s="91" t="str">
        <f t="array" ref="F2503">XLOOKUP(G2503,Reference!$F:$F,Reference!$D:$D,"null")</f>
        <v>Pendidikan dan Kesehatan</v>
      </c>
      <c r="G2503" s="85" t="s">
        <v>98</v>
      </c>
      <c r="H2503" s="86">
        <v>104.82</v>
      </c>
      <c r="I2503" s="86">
        <v>104.76</v>
      </c>
      <c r="J2503" s="87">
        <f t="shared" si="2"/>
        <v>0.05727376861</v>
      </c>
      <c r="K2503" s="84" t="str">
        <f t="shared" si="3"/>
        <v>Inflasi Normal</v>
      </c>
      <c r="L2503" s="84">
        <f t="shared" si="4"/>
        <v>0.06</v>
      </c>
      <c r="M2503" s="88" t="str">
        <f t="shared" si="5"/>
        <v>Perubahan Normal</v>
      </c>
    </row>
    <row r="2504" ht="18.75" customHeight="1">
      <c r="A2504" s="80" t="s">
        <v>389</v>
      </c>
      <c r="B2504" s="81" t="str">
        <f t="shared" si="1"/>
        <v>Tembilahan</v>
      </c>
      <c r="C2504" s="81" t="str">
        <f t="array" ref="C2504">xlookup(B2504,Reference!$A$2:$A$152,Reference!$B$2:$B$152)</f>
        <v>Riau</v>
      </c>
      <c r="D2504" s="82" t="s">
        <v>2943</v>
      </c>
      <c r="E2504" s="83">
        <v>45323.0</v>
      </c>
      <c r="F2504" s="91" t="str">
        <f t="array" ref="F2504">XLOOKUP(G2504,Reference!$F:$F,Reference!$D:$D,"null")</f>
        <v>Rumah Tangga</v>
      </c>
      <c r="G2504" s="85" t="s">
        <v>84</v>
      </c>
      <c r="H2504" s="86">
        <v>100.8</v>
      </c>
      <c r="I2504" s="86">
        <v>100.48</v>
      </c>
      <c r="J2504" s="87">
        <f t="shared" si="2"/>
        <v>0.3184713376</v>
      </c>
      <c r="K2504" s="84" t="str">
        <f t="shared" si="3"/>
        <v>Inflasi Normal</v>
      </c>
      <c r="L2504" s="84">
        <f t="shared" si="4"/>
        <v>0.32</v>
      </c>
      <c r="M2504" s="88" t="str">
        <f t="shared" si="5"/>
        <v>Perubahan Normal</v>
      </c>
    </row>
    <row r="2505" ht="18.75" customHeight="1">
      <c r="A2505" s="80" t="s">
        <v>353</v>
      </c>
      <c r="B2505" s="81" t="str">
        <f t="shared" si="1"/>
        <v>Kota Bau Bau</v>
      </c>
      <c r="C2505" s="81" t="str">
        <f t="array" ref="C2505">xlookup(B2505,Reference!$A$2:$A$152,Reference!$B$2:$B$152)</f>
        <v>Sulawesi Tenggara</v>
      </c>
      <c r="D2505" s="82" t="s">
        <v>2944</v>
      </c>
      <c r="E2505" s="83">
        <v>45323.0</v>
      </c>
      <c r="F2505" s="91" t="str">
        <f t="array" ref="F2505">XLOOKUP(G2505,Reference!$F:$F,Reference!$D:$D,"null")</f>
        <v>Rekreasi dan Kendaraan</v>
      </c>
      <c r="G2505" s="85" t="s">
        <v>105</v>
      </c>
      <c r="H2505" s="86">
        <v>106.85</v>
      </c>
      <c r="I2505" s="86">
        <v>106.92</v>
      </c>
      <c r="J2505" s="87">
        <f t="shared" si="2"/>
        <v>-0.06546950991</v>
      </c>
      <c r="K2505" s="84" t="str">
        <f t="shared" si="3"/>
        <v>Deflasi</v>
      </c>
      <c r="L2505" s="84">
        <f t="shared" si="4"/>
        <v>-0.07</v>
      </c>
      <c r="M2505" s="88" t="str">
        <f t="shared" si="5"/>
        <v>Perubahan Normal</v>
      </c>
    </row>
    <row r="2506" ht="18.75" customHeight="1">
      <c r="A2506" s="80" t="s">
        <v>384</v>
      </c>
      <c r="B2506" s="81" t="str">
        <f t="shared" si="1"/>
        <v>Kab Lebak</v>
      </c>
      <c r="C2506" s="81" t="str">
        <f t="array" ref="C2506">xlookup(B2506,Reference!$A$2:$A$152,Reference!$B$2:$B$152)</f>
        <v>Banten</v>
      </c>
      <c r="D2506" s="82" t="s">
        <v>2945</v>
      </c>
      <c r="E2506" s="83">
        <v>45352.0</v>
      </c>
      <c r="F2506" s="91" t="str">
        <f t="array" ref="F2506">XLOOKUP(G2506,Reference!$F:$F,Reference!$D:$D,"null")</f>
        <v>Pendidikan dan Kesehatan</v>
      </c>
      <c r="G2506" s="85" t="s">
        <v>98</v>
      </c>
      <c r="H2506" s="86">
        <v>106.07</v>
      </c>
      <c r="I2506" s="86">
        <v>106.07</v>
      </c>
      <c r="J2506" s="87">
        <f t="shared" si="2"/>
        <v>0</v>
      </c>
      <c r="K2506" s="84" t="str">
        <f t="shared" si="3"/>
        <v>Stabil</v>
      </c>
      <c r="L2506" s="84">
        <f t="shared" si="4"/>
        <v>0</v>
      </c>
      <c r="M2506" s="88" t="str">
        <f t="shared" si="5"/>
        <v>Perubahan Normal</v>
      </c>
    </row>
    <row r="2507" ht="18.75" customHeight="1">
      <c r="A2507" s="80" t="s">
        <v>364</v>
      </c>
      <c r="B2507" s="81" t="str">
        <f t="shared" si="1"/>
        <v>Kab Tanah Laut</v>
      </c>
      <c r="C2507" s="81" t="str">
        <f t="array" ref="C2507">xlookup(B2507,Reference!$A$2:$A$152,Reference!$B$2:$B$152)</f>
        <v>Kalimantan Selatan</v>
      </c>
      <c r="D2507" s="82" t="s">
        <v>2946</v>
      </c>
      <c r="E2507" s="83">
        <v>45323.0</v>
      </c>
      <c r="F2507" s="91" t="str">
        <f t="array" ref="F2507">XLOOKUP(G2507,Reference!$F:$F,Reference!$D:$D,"null")</f>
        <v>Makanan dan Pakaian </v>
      </c>
      <c r="G2507" s="85" t="s">
        <v>48</v>
      </c>
      <c r="H2507" s="86">
        <v>107.79</v>
      </c>
      <c r="I2507" s="86">
        <v>109.05</v>
      </c>
      <c r="J2507" s="87">
        <f t="shared" si="2"/>
        <v>-1.155433287</v>
      </c>
      <c r="K2507" s="84" t="str">
        <f t="shared" si="3"/>
        <v>Deflasi</v>
      </c>
      <c r="L2507" s="84">
        <f t="shared" si="4"/>
        <v>-1.26</v>
      </c>
      <c r="M2507" s="88" t="str">
        <f t="shared" si="5"/>
        <v>Perubahan Normal</v>
      </c>
    </row>
    <row r="2508" ht="18.75" customHeight="1">
      <c r="A2508" s="80" t="s">
        <v>358</v>
      </c>
      <c r="B2508" s="81" t="str">
        <f t="shared" si="1"/>
        <v>Kab Minahasa Utara</v>
      </c>
      <c r="C2508" s="81" t="str">
        <f t="array" ref="C2508">xlookup(B2508,Reference!$A$2:$A$152,Reference!$B$2:$B$152)</f>
        <v>Sulawesi Utara</v>
      </c>
      <c r="D2508" s="82" t="s">
        <v>2947</v>
      </c>
      <c r="E2508" s="83">
        <v>45323.0</v>
      </c>
      <c r="F2508" s="91" t="str">
        <f t="array" ref="F2508">XLOOKUP(G2508,Reference!$F:$F,Reference!$D:$D,"null")</f>
        <v>Rekreasi dan Kendaraan</v>
      </c>
      <c r="G2508" s="85" t="s">
        <v>102</v>
      </c>
      <c r="H2508" s="86">
        <v>102.13</v>
      </c>
      <c r="I2508" s="86">
        <v>102.13</v>
      </c>
      <c r="J2508" s="87">
        <f t="shared" si="2"/>
        <v>0</v>
      </c>
      <c r="K2508" s="84" t="str">
        <f t="shared" si="3"/>
        <v>Stabil</v>
      </c>
      <c r="L2508" s="84">
        <f t="shared" si="4"/>
        <v>0</v>
      </c>
      <c r="M2508" s="88" t="str">
        <f t="shared" si="5"/>
        <v>Perubahan Normal</v>
      </c>
    </row>
    <row r="2509" ht="18.75" customHeight="1">
      <c r="A2509" s="80" t="s">
        <v>324</v>
      </c>
      <c r="B2509" s="81" t="str">
        <f t="shared" si="1"/>
        <v>Kab Nunukan</v>
      </c>
      <c r="C2509" s="81" t="str">
        <f t="array" ref="C2509">xlookup(B2509,Reference!$A$2:$A$152,Reference!$B$2:$B$152)</f>
        <v>Kalimantan Utara</v>
      </c>
      <c r="D2509" s="82" t="s">
        <v>2948</v>
      </c>
      <c r="E2509" s="83">
        <v>45323.0</v>
      </c>
      <c r="F2509" s="91" t="str">
        <f t="array" ref="F2509">XLOOKUP(G2509,Reference!$F:$F,Reference!$D:$D,"null")</f>
        <v>Rekreasi dan Kendaraan</v>
      </c>
      <c r="G2509" s="85" t="s">
        <v>102</v>
      </c>
      <c r="H2509" s="86">
        <v>102.38</v>
      </c>
      <c r="I2509" s="86">
        <v>102.61</v>
      </c>
      <c r="J2509" s="87">
        <f t="shared" si="2"/>
        <v>-0.224149693</v>
      </c>
      <c r="K2509" s="84" t="str">
        <f t="shared" si="3"/>
        <v>Deflasi</v>
      </c>
      <c r="L2509" s="84">
        <f t="shared" si="4"/>
        <v>-0.23</v>
      </c>
      <c r="M2509" s="88" t="str">
        <f t="shared" si="5"/>
        <v>Perubahan Normal</v>
      </c>
    </row>
    <row r="2510" ht="18.75" customHeight="1">
      <c r="A2510" s="80" t="s">
        <v>934</v>
      </c>
      <c r="B2510" s="81" t="str">
        <f t="shared" si="1"/>
        <v>Kab Kolaka</v>
      </c>
      <c r="C2510" s="81" t="str">
        <f t="array" ref="C2510">xlookup(B2510,Reference!$A$2:$A$152,Reference!$B$2:$B$152)</f>
        <v>Sulawesi Tenggara</v>
      </c>
      <c r="D2510" s="82" t="s">
        <v>2949</v>
      </c>
      <c r="E2510" s="83">
        <v>45323.0</v>
      </c>
      <c r="F2510" s="91" t="str">
        <f t="array" ref="F2510">XLOOKUP(G2510,Reference!$F:$F,Reference!$D:$D,"null")</f>
        <v>Rumah Tangga</v>
      </c>
      <c r="G2510" s="89" t="s">
        <v>84</v>
      </c>
      <c r="H2510" s="90">
        <v>106.09</v>
      </c>
      <c r="I2510" s="90">
        <v>105.98</v>
      </c>
      <c r="J2510" s="87">
        <f t="shared" si="2"/>
        <v>0.1037931685</v>
      </c>
      <c r="K2510" s="84" t="str">
        <f t="shared" si="3"/>
        <v>Inflasi Normal</v>
      </c>
      <c r="L2510" s="91">
        <f t="shared" si="4"/>
        <v>0.11</v>
      </c>
      <c r="M2510" s="88" t="str">
        <f t="shared" si="5"/>
        <v>Perubahan Normal</v>
      </c>
    </row>
    <row r="2511" ht="18.75" customHeight="1">
      <c r="A2511" s="80" t="s">
        <v>934</v>
      </c>
      <c r="B2511" s="81" t="str">
        <f t="shared" si="1"/>
        <v>Kab Kolaka</v>
      </c>
      <c r="C2511" s="81" t="str">
        <f t="array" ref="C2511">xlookup(B2511,Reference!$A$2:$A$152,Reference!$B$2:$B$152)</f>
        <v>Sulawesi Tenggara</v>
      </c>
      <c r="D2511" s="82" t="s">
        <v>2950</v>
      </c>
      <c r="E2511" s="83">
        <v>45323.0</v>
      </c>
      <c r="F2511" s="91" t="str">
        <f t="array" ref="F2511">XLOOKUP(G2511,Reference!$F:$F,Reference!$D:$D,"null")</f>
        <v>Rumah Tangga</v>
      </c>
      <c r="G2511" s="85" t="s">
        <v>80</v>
      </c>
      <c r="H2511" s="86">
        <v>100.83</v>
      </c>
      <c r="I2511" s="86">
        <v>100.83</v>
      </c>
      <c r="J2511" s="87">
        <f t="shared" si="2"/>
        <v>0</v>
      </c>
      <c r="K2511" s="84" t="str">
        <f t="shared" si="3"/>
        <v>Stabil</v>
      </c>
      <c r="L2511" s="84">
        <f t="shared" si="4"/>
        <v>0</v>
      </c>
      <c r="M2511" s="88" t="str">
        <f t="shared" si="5"/>
        <v>Perubahan Normal</v>
      </c>
    </row>
    <row r="2512" ht="18.75" customHeight="1">
      <c r="A2512" s="80" t="s">
        <v>333</v>
      </c>
      <c r="B2512" s="81" t="str">
        <f t="shared" si="1"/>
        <v>Kab Pasaman Barat</v>
      </c>
      <c r="C2512" s="81" t="str">
        <f t="array" ref="C2512">xlookup(B2512,Reference!$A$2:$A$152,Reference!$B$2:$B$152)</f>
        <v>Sumatera Barat</v>
      </c>
      <c r="D2512" s="82" t="s">
        <v>2951</v>
      </c>
      <c r="E2512" s="83">
        <v>45352.0</v>
      </c>
      <c r="F2512" s="91" t="str">
        <f t="array" ref="F2512">XLOOKUP(G2512,Reference!$F:$F,Reference!$D:$D,"null")</f>
        <v>Rumah Tangga</v>
      </c>
      <c r="G2512" s="85" t="s">
        <v>84</v>
      </c>
      <c r="H2512" s="86">
        <v>99.47</v>
      </c>
      <c r="I2512" s="86">
        <v>99.47</v>
      </c>
      <c r="J2512" s="87">
        <f t="shared" si="2"/>
        <v>0</v>
      </c>
      <c r="K2512" s="84" t="str">
        <f t="shared" si="3"/>
        <v>Stabil</v>
      </c>
      <c r="L2512" s="84">
        <f t="shared" si="4"/>
        <v>0</v>
      </c>
      <c r="M2512" s="88" t="str">
        <f t="shared" si="5"/>
        <v>Perubahan Normal</v>
      </c>
    </row>
    <row r="2513" ht="18.75" customHeight="1">
      <c r="A2513" s="80" t="s">
        <v>421</v>
      </c>
      <c r="B2513" s="81" t="str">
        <f t="shared" si="1"/>
        <v>Kab Halmahera Tengah</v>
      </c>
      <c r="C2513" s="81" t="str">
        <f t="array" ref="C2513">xlookup(B2513,Reference!$A$2:$A$152,Reference!$B$2:$B$152)</f>
        <v>Maluku Utara</v>
      </c>
      <c r="D2513" s="82" t="s">
        <v>2952</v>
      </c>
      <c r="E2513" s="83">
        <v>45352.0</v>
      </c>
      <c r="F2513" s="91" t="str">
        <f t="array" ref="F2513">XLOOKUP(G2513,Reference!$F:$F,Reference!$D:$D,"null")</f>
        <v>Makanan dan Pakaian </v>
      </c>
      <c r="G2513" s="85" t="s">
        <v>48</v>
      </c>
      <c r="H2513" s="86">
        <v>107.16</v>
      </c>
      <c r="I2513" s="86">
        <v>109.41</v>
      </c>
      <c r="J2513" s="87">
        <f t="shared" si="2"/>
        <v>-2.056484782</v>
      </c>
      <c r="K2513" s="84" t="str">
        <f t="shared" si="3"/>
        <v>Deflasi</v>
      </c>
      <c r="L2513" s="84">
        <f t="shared" si="4"/>
        <v>-2.25</v>
      </c>
      <c r="M2513" s="88" t="str">
        <f t="shared" si="5"/>
        <v>Perubahan Normal</v>
      </c>
    </row>
    <row r="2514" ht="18.75" customHeight="1">
      <c r="A2514" s="80" t="s">
        <v>762</v>
      </c>
      <c r="B2514" s="81" t="str">
        <f t="shared" si="1"/>
        <v>Kota Pangkal Pinang</v>
      </c>
      <c r="C2514" s="81" t="str">
        <f t="array" ref="C2514">xlookup(B2514,Reference!$A$2:$A$152,Reference!$B$2:$B$152)</f>
        <v>Kepulauan Bangka Belitung</v>
      </c>
      <c r="D2514" s="82" t="s">
        <v>2953</v>
      </c>
      <c r="E2514" s="83">
        <v>45323.0</v>
      </c>
      <c r="F2514" s="91" t="str">
        <f t="array" ref="F2514">XLOOKUP(G2514,Reference!$F:$F,Reference!$D:$D,"null")</f>
        <v>Rumah Tangga</v>
      </c>
      <c r="G2514" s="85" t="s">
        <v>89</v>
      </c>
      <c r="H2514" s="86">
        <v>101.18</v>
      </c>
      <c r="I2514" s="86">
        <v>101.18</v>
      </c>
      <c r="J2514" s="87">
        <f t="shared" si="2"/>
        <v>0</v>
      </c>
      <c r="K2514" s="84" t="str">
        <f t="shared" si="3"/>
        <v>Stabil</v>
      </c>
      <c r="L2514" s="84">
        <f t="shared" si="4"/>
        <v>0</v>
      </c>
      <c r="M2514" s="88" t="str">
        <f t="shared" si="5"/>
        <v>Perubahan Normal</v>
      </c>
    </row>
    <row r="2515" ht="18.75" customHeight="1">
      <c r="A2515" s="80" t="s">
        <v>618</v>
      </c>
      <c r="B2515" s="81" t="str">
        <f t="shared" si="1"/>
        <v>Kota Tangerang</v>
      </c>
      <c r="C2515" s="81" t="str">
        <f t="array" ref="C2515">xlookup(B2515,Reference!$A$2:$A$152,Reference!$B$2:$B$152)</f>
        <v>Banten</v>
      </c>
      <c r="D2515" s="82" t="s">
        <v>2954</v>
      </c>
      <c r="E2515" s="83">
        <v>45352.0</v>
      </c>
      <c r="F2515" s="91" t="str">
        <f t="array" ref="F2515">XLOOKUP(G2515,Reference!$F:$F,Reference!$D:$D,"null")</f>
        <v>Rumah Tangga</v>
      </c>
      <c r="G2515" s="85" t="s">
        <v>80</v>
      </c>
      <c r="H2515" s="86">
        <v>103.06</v>
      </c>
      <c r="I2515" s="86">
        <v>103.06</v>
      </c>
      <c r="J2515" s="87">
        <f t="shared" si="2"/>
        <v>0</v>
      </c>
      <c r="K2515" s="84" t="str">
        <f t="shared" si="3"/>
        <v>Stabil</v>
      </c>
      <c r="L2515" s="84">
        <f t="shared" si="4"/>
        <v>0</v>
      </c>
      <c r="M2515" s="88" t="str">
        <f t="shared" si="5"/>
        <v>Perubahan Normal</v>
      </c>
    </row>
    <row r="2516" ht="18.75" customHeight="1">
      <c r="A2516" s="80" t="s">
        <v>571</v>
      </c>
      <c r="B2516" s="81" t="str">
        <f t="shared" si="1"/>
        <v>Kota Sorong</v>
      </c>
      <c r="C2516" s="81" t="str">
        <f t="array" ref="C2516">xlookup(B2516,Reference!$A$2:$A$152,Reference!$B$2:$B$152)</f>
        <v>Papua Barat Daya</v>
      </c>
      <c r="D2516" s="82" t="s">
        <v>2955</v>
      </c>
      <c r="E2516" s="83">
        <v>45323.0</v>
      </c>
      <c r="F2516" s="91" t="str">
        <f t="array" ref="F2516">XLOOKUP(G2516,Reference!$F:$F,Reference!$D:$D,"null")</f>
        <v>Makanan dan Pakaian </v>
      </c>
      <c r="G2516" s="85" t="s">
        <v>64</v>
      </c>
      <c r="H2516" s="86">
        <v>105.86</v>
      </c>
      <c r="I2516" s="86">
        <v>106.19</v>
      </c>
      <c r="J2516" s="87">
        <f t="shared" si="2"/>
        <v>-0.3107637254</v>
      </c>
      <c r="K2516" s="84" t="str">
        <f t="shared" si="3"/>
        <v>Deflasi</v>
      </c>
      <c r="L2516" s="84">
        <f t="shared" si="4"/>
        <v>-0.33</v>
      </c>
      <c r="M2516" s="88" t="str">
        <f t="shared" si="5"/>
        <v>Perubahan Normal</v>
      </c>
    </row>
    <row r="2517" ht="18.75" customHeight="1">
      <c r="A2517" s="80" t="s">
        <v>410</v>
      </c>
      <c r="B2517" s="81" t="str">
        <f t="shared" si="1"/>
        <v>Meulaboh</v>
      </c>
      <c r="C2517" s="81" t="str">
        <f t="array" ref="C2517">xlookup(B2517,Reference!$A$2:$A$152,Reference!$B$2:$B$152)</f>
        <v>Aceh</v>
      </c>
      <c r="D2517" s="82" t="s">
        <v>2956</v>
      </c>
      <c r="E2517" s="83">
        <v>45352.0</v>
      </c>
      <c r="F2517" s="91" t="str">
        <f t="array" ref="F2517">XLOOKUP(G2517,Reference!$F:$F,Reference!$D:$D,"null")</f>
        <v>Pendidikan dan Kesehatan</v>
      </c>
      <c r="G2517" s="85" t="s">
        <v>95</v>
      </c>
      <c r="H2517" s="86">
        <v>102.96</v>
      </c>
      <c r="I2517" s="86">
        <v>102.96</v>
      </c>
      <c r="J2517" s="87">
        <f t="shared" si="2"/>
        <v>0</v>
      </c>
      <c r="K2517" s="84" t="str">
        <f t="shared" si="3"/>
        <v>Stabil</v>
      </c>
      <c r="L2517" s="84">
        <f t="shared" si="4"/>
        <v>0</v>
      </c>
      <c r="M2517" s="88" t="str">
        <f t="shared" si="5"/>
        <v>Perubahan Normal</v>
      </c>
    </row>
    <row r="2518" ht="18.75" customHeight="1">
      <c r="A2518" s="80" t="s">
        <v>425</v>
      </c>
      <c r="B2518" s="81" t="str">
        <f t="shared" si="1"/>
        <v>Kab Gorontalo</v>
      </c>
      <c r="C2518" s="81" t="str">
        <f t="array" ref="C2518">xlookup(B2518,Reference!$A$2:$A$152,Reference!$B$2:$B$152)</f>
        <v>Gorontalo</v>
      </c>
      <c r="D2518" s="82" t="s">
        <v>2957</v>
      </c>
      <c r="E2518" s="83">
        <v>45323.0</v>
      </c>
      <c r="F2518" s="91" t="str">
        <f t="array" ref="F2518">XLOOKUP(G2518,Reference!$F:$F,Reference!$D:$D,"null")</f>
        <v>Makanan dan Pakaian </v>
      </c>
      <c r="G2518" s="85" t="s">
        <v>48</v>
      </c>
      <c r="H2518" s="86">
        <v>111.41</v>
      </c>
      <c r="I2518" s="86">
        <v>115.79</v>
      </c>
      <c r="J2518" s="87">
        <f t="shared" si="2"/>
        <v>-3.782710079</v>
      </c>
      <c r="K2518" s="84" t="str">
        <f t="shared" si="3"/>
        <v>Deflasi</v>
      </c>
      <c r="L2518" s="84">
        <f t="shared" si="4"/>
        <v>-4.38</v>
      </c>
      <c r="M2518" s="88" t="str">
        <f t="shared" si="5"/>
        <v>Perubahan Normal</v>
      </c>
    </row>
    <row r="2519" ht="18.75" customHeight="1">
      <c r="A2519" s="80" t="s">
        <v>727</v>
      </c>
      <c r="B2519" s="81" t="str">
        <f t="shared" si="1"/>
        <v>Kab Badung</v>
      </c>
      <c r="C2519" s="81" t="str">
        <f t="array" ref="C2519">xlookup(B2519,Reference!$A$2:$A$152,Reference!$B$2:$B$152)</f>
        <v>Bali</v>
      </c>
      <c r="D2519" s="82" t="s">
        <v>2958</v>
      </c>
      <c r="E2519" s="83">
        <v>45352.0</v>
      </c>
      <c r="F2519" s="91" t="str">
        <f t="array" ref="F2519">XLOOKUP(G2519,Reference!$F:$F,Reference!$D:$D,"null")</f>
        <v>Pendidikan dan Kesehatan</v>
      </c>
      <c r="G2519" s="85" t="s">
        <v>98</v>
      </c>
      <c r="H2519" s="86">
        <v>100.6</v>
      </c>
      <c r="I2519" s="86">
        <v>100.6</v>
      </c>
      <c r="J2519" s="87">
        <f t="shared" si="2"/>
        <v>0</v>
      </c>
      <c r="K2519" s="84" t="str">
        <f t="shared" si="3"/>
        <v>Stabil</v>
      </c>
      <c r="L2519" s="84">
        <f t="shared" si="4"/>
        <v>0</v>
      </c>
      <c r="M2519" s="88" t="str">
        <f t="shared" si="5"/>
        <v>Perubahan Normal</v>
      </c>
    </row>
    <row r="2520" ht="18.75" customHeight="1">
      <c r="A2520" s="80" t="s">
        <v>412</v>
      </c>
      <c r="B2520" s="81" t="str">
        <f t="shared" si="1"/>
        <v>Cilacap</v>
      </c>
      <c r="C2520" s="81" t="str">
        <f t="array" ref="C2520">xlookup(B2520,Reference!$A$2:$A$152,Reference!$B$2:$B$152)</f>
        <v>Jawa Tengah</v>
      </c>
      <c r="D2520" s="82" t="s">
        <v>2959</v>
      </c>
      <c r="E2520" s="83">
        <v>45352.0</v>
      </c>
      <c r="F2520" s="91" t="str">
        <f t="array" ref="F2520">XLOOKUP(G2520,Reference!$F:$F,Reference!$D:$D,"null")</f>
        <v>Makanan dan Pakaian </v>
      </c>
      <c r="G2520" s="85" t="s">
        <v>56</v>
      </c>
      <c r="H2520" s="86">
        <v>106.4</v>
      </c>
      <c r="I2520" s="86">
        <v>106.59</v>
      </c>
      <c r="J2520" s="87">
        <f t="shared" si="2"/>
        <v>-0.1782531194</v>
      </c>
      <c r="K2520" s="84" t="str">
        <f t="shared" si="3"/>
        <v>Deflasi</v>
      </c>
      <c r="L2520" s="84">
        <f t="shared" si="4"/>
        <v>-0.19</v>
      </c>
      <c r="M2520" s="88" t="str">
        <f t="shared" si="5"/>
        <v>Perubahan Normal</v>
      </c>
    </row>
    <row r="2521" ht="18.75" customHeight="1">
      <c r="A2521" s="80" t="s">
        <v>581</v>
      </c>
      <c r="B2521" s="81" t="str">
        <f t="shared" si="1"/>
        <v>Kab Dharmasraya</v>
      </c>
      <c r="C2521" s="81" t="str">
        <f t="array" ref="C2521">xlookup(B2521,Reference!$A$2:$A$152,Reference!$B$2:$B$152)</f>
        <v>Sumatera Barat</v>
      </c>
      <c r="D2521" s="82" t="s">
        <v>2960</v>
      </c>
      <c r="E2521" s="83">
        <v>45352.0</v>
      </c>
      <c r="F2521" s="91" t="str">
        <f t="array" ref="F2521">XLOOKUP(G2521,Reference!$F:$F,Reference!$D:$D,"null")</f>
        <v>Rekreasi dan Kendaraan</v>
      </c>
      <c r="G2521" s="85" t="s">
        <v>102</v>
      </c>
      <c r="H2521" s="86">
        <v>104.46</v>
      </c>
      <c r="I2521" s="86">
        <v>104.52</v>
      </c>
      <c r="J2521" s="87">
        <f t="shared" si="2"/>
        <v>-0.05740528129</v>
      </c>
      <c r="K2521" s="84" t="str">
        <f t="shared" si="3"/>
        <v>Deflasi</v>
      </c>
      <c r="L2521" s="84">
        <f t="shared" si="4"/>
        <v>-0.06</v>
      </c>
      <c r="M2521" s="88" t="str">
        <f t="shared" si="5"/>
        <v>Perubahan Normal</v>
      </c>
    </row>
    <row r="2522" ht="18.75" customHeight="1">
      <c r="A2522" s="80" t="s">
        <v>731</v>
      </c>
      <c r="B2522" s="81" t="str">
        <f t="shared" si="1"/>
        <v>Kab Hulu Sungai Tengah</v>
      </c>
      <c r="C2522" s="81" t="str">
        <f t="array" ref="C2522">xlookup(B2522,Reference!$A$2:$A$152,Reference!$B$2:$B$152)</f>
        <v>Kalimantan Selatan</v>
      </c>
      <c r="D2522" s="82" t="s">
        <v>2961</v>
      </c>
      <c r="E2522" s="83">
        <v>45323.0</v>
      </c>
      <c r="F2522" s="91" t="str">
        <f t="array" ref="F2522">XLOOKUP(G2522,Reference!$F:$F,Reference!$D:$D,"null")</f>
        <v>Rumah Tangga</v>
      </c>
      <c r="G2522" s="85" t="s">
        <v>89</v>
      </c>
      <c r="H2522" s="86">
        <v>108.37</v>
      </c>
      <c r="I2522" s="86">
        <v>108.37</v>
      </c>
      <c r="J2522" s="87">
        <f t="shared" si="2"/>
        <v>0</v>
      </c>
      <c r="K2522" s="84" t="str">
        <f t="shared" si="3"/>
        <v>Stabil</v>
      </c>
      <c r="L2522" s="84">
        <f t="shared" si="4"/>
        <v>0</v>
      </c>
      <c r="M2522" s="88" t="str">
        <f t="shared" si="5"/>
        <v>Perubahan Normal</v>
      </c>
    </row>
    <row r="2523" ht="18.75" customHeight="1">
      <c r="A2523" s="80" t="s">
        <v>355</v>
      </c>
      <c r="B2523" s="81" t="str">
        <f t="shared" si="1"/>
        <v>Kota Gorontalo</v>
      </c>
      <c r="C2523" s="81" t="str">
        <f t="array" ref="C2523">xlookup(B2523,Reference!$A$2:$A$152,Reference!$B$2:$B$152)</f>
        <v>Gorontalo</v>
      </c>
      <c r="D2523" s="82" t="s">
        <v>2962</v>
      </c>
      <c r="E2523" s="83">
        <v>45352.0</v>
      </c>
      <c r="F2523" s="91" t="str">
        <f t="array" ref="F2523">XLOOKUP(G2523,Reference!$F:$F,Reference!$D:$D,"null")</f>
        <v>Pendidikan dan Kesehatan</v>
      </c>
      <c r="G2523" s="85" t="s">
        <v>98</v>
      </c>
      <c r="H2523" s="86">
        <v>102.93</v>
      </c>
      <c r="I2523" s="86">
        <v>102.93</v>
      </c>
      <c r="J2523" s="87">
        <f t="shared" si="2"/>
        <v>0</v>
      </c>
      <c r="K2523" s="84" t="str">
        <f t="shared" si="3"/>
        <v>Stabil</v>
      </c>
      <c r="L2523" s="84">
        <f t="shared" si="4"/>
        <v>0</v>
      </c>
      <c r="M2523" s="88" t="str">
        <f t="shared" si="5"/>
        <v>Perubahan Normal</v>
      </c>
    </row>
    <row r="2524" ht="18.75" customHeight="1">
      <c r="A2524" s="80" t="s">
        <v>598</v>
      </c>
      <c r="B2524" s="81" t="str">
        <f t="shared" si="1"/>
        <v>Kota Surakarta</v>
      </c>
      <c r="C2524" s="81" t="str">
        <f t="array" ref="C2524">xlookup(B2524,Reference!$A$2:$A$152,Reference!$B$2:$B$152)</f>
        <v>Jawa Tengah</v>
      </c>
      <c r="D2524" s="82" t="s">
        <v>2963</v>
      </c>
      <c r="E2524" s="83">
        <v>45352.0</v>
      </c>
      <c r="F2524" s="91" t="str">
        <f t="array" ref="F2524">XLOOKUP(G2524,Reference!$F:$F,Reference!$D:$D,"null")</f>
        <v>Rekreasi dan Kendaraan</v>
      </c>
      <c r="G2524" s="85" t="s">
        <v>105</v>
      </c>
      <c r="H2524" s="86">
        <v>102.36</v>
      </c>
      <c r="I2524" s="86">
        <v>102.12</v>
      </c>
      <c r="J2524" s="87">
        <f t="shared" si="2"/>
        <v>0.2350176263</v>
      </c>
      <c r="K2524" s="84" t="str">
        <f t="shared" si="3"/>
        <v>Inflasi Normal</v>
      </c>
      <c r="L2524" s="84">
        <f t="shared" si="4"/>
        <v>0.24</v>
      </c>
      <c r="M2524" s="88" t="str">
        <f t="shared" si="5"/>
        <v>Perubahan Normal</v>
      </c>
    </row>
    <row r="2525" ht="18.75" customHeight="1">
      <c r="A2525" s="80" t="s">
        <v>294</v>
      </c>
      <c r="B2525" s="81" t="str">
        <f t="shared" si="1"/>
        <v>Kab Labuhanbatu</v>
      </c>
      <c r="C2525" s="81" t="str">
        <f t="array" ref="C2525">xlookup(B2525,Reference!$A$2:$A$152,Reference!$B$2:$B$152)</f>
        <v>Sumatera Utara</v>
      </c>
      <c r="D2525" s="82" t="s">
        <v>2964</v>
      </c>
      <c r="E2525" s="83">
        <v>45323.0</v>
      </c>
      <c r="F2525" s="91" t="str">
        <f t="array" ref="F2525">XLOOKUP(G2525,Reference!$F:$F,Reference!$D:$D,"null")</f>
        <v>Makanan dan Pakaian </v>
      </c>
      <c r="G2525" s="85" t="s">
        <v>56</v>
      </c>
      <c r="H2525" s="86">
        <v>108.33</v>
      </c>
      <c r="I2525" s="86">
        <v>108.2</v>
      </c>
      <c r="J2525" s="87">
        <f t="shared" si="2"/>
        <v>0.1201478743</v>
      </c>
      <c r="K2525" s="84" t="str">
        <f t="shared" si="3"/>
        <v>Inflasi Normal</v>
      </c>
      <c r="L2525" s="84">
        <f t="shared" si="4"/>
        <v>0.13</v>
      </c>
      <c r="M2525" s="88" t="str">
        <f t="shared" si="5"/>
        <v>Perubahan Normal</v>
      </c>
    </row>
    <row r="2526" ht="18.75" customHeight="1">
      <c r="A2526" s="80" t="s">
        <v>822</v>
      </c>
      <c r="B2526" s="81" t="str">
        <f t="shared" si="1"/>
        <v>Kota Pontianak</v>
      </c>
      <c r="C2526" s="81" t="str">
        <f t="array" ref="C2526">xlookup(B2526,Reference!$A$2:$A$152,Reference!$B$2:$B$152)</f>
        <v>Kalimantan Barat</v>
      </c>
      <c r="D2526" s="82" t="s">
        <v>2965</v>
      </c>
      <c r="E2526" s="83">
        <v>45323.0</v>
      </c>
      <c r="F2526" s="91" t="str">
        <f t="array" ref="F2526">XLOOKUP(G2526,Reference!$F:$F,Reference!$D:$D,"null")</f>
        <v>Rumah Tangga</v>
      </c>
      <c r="G2526" s="85" t="s">
        <v>84</v>
      </c>
      <c r="H2526" s="86">
        <v>101.67</v>
      </c>
      <c r="I2526" s="86">
        <v>102.77</v>
      </c>
      <c r="J2526" s="87">
        <f t="shared" si="2"/>
        <v>-1.07035127</v>
      </c>
      <c r="K2526" s="84" t="str">
        <f t="shared" si="3"/>
        <v>Deflasi</v>
      </c>
      <c r="L2526" s="84">
        <f t="shared" si="4"/>
        <v>-1.1</v>
      </c>
      <c r="M2526" s="88" t="str">
        <f t="shared" si="5"/>
        <v>Perubahan Normal</v>
      </c>
    </row>
    <row r="2527" ht="18.75" customHeight="1">
      <c r="A2527" s="80" t="s">
        <v>458</v>
      </c>
      <c r="B2527" s="81" t="str">
        <f t="shared" si="1"/>
        <v>Kota Dumai</v>
      </c>
      <c r="C2527" s="81" t="str">
        <f t="array" ref="C2527">xlookup(B2527,Reference!$A$2:$A$152,Reference!$B$2:$B$152)</f>
        <v>Riau</v>
      </c>
      <c r="D2527" s="82" t="s">
        <v>2966</v>
      </c>
      <c r="E2527" s="83">
        <v>45352.0</v>
      </c>
      <c r="F2527" s="91" t="str">
        <f t="array" ref="F2527">XLOOKUP(G2527,Reference!$F:$F,Reference!$D:$D,"null")</f>
        <v>Makanan dan Pakaian </v>
      </c>
      <c r="G2527" s="85" t="s">
        <v>72</v>
      </c>
      <c r="H2527" s="86">
        <v>102.05</v>
      </c>
      <c r="I2527" s="86">
        <v>102.05</v>
      </c>
      <c r="J2527" s="87">
        <f t="shared" si="2"/>
        <v>0</v>
      </c>
      <c r="K2527" s="84" t="str">
        <f t="shared" si="3"/>
        <v>Stabil</v>
      </c>
      <c r="L2527" s="84">
        <f t="shared" si="4"/>
        <v>0</v>
      </c>
      <c r="M2527" s="88" t="str">
        <f t="shared" si="5"/>
        <v>Perubahan Normal</v>
      </c>
    </row>
    <row r="2528" ht="18.75" customHeight="1">
      <c r="A2528" s="80" t="s">
        <v>734</v>
      </c>
      <c r="B2528" s="81" t="str">
        <f t="shared" si="1"/>
        <v>Kota Tegal</v>
      </c>
      <c r="C2528" s="81" t="str">
        <f t="array" ref="C2528">xlookup(B2528,Reference!$A$2:$A$152,Reference!$B$2:$B$152)</f>
        <v>Jawa Tengah</v>
      </c>
      <c r="D2528" s="82" t="s">
        <v>2967</v>
      </c>
      <c r="E2528" s="83">
        <v>45352.0</v>
      </c>
      <c r="F2528" s="91" t="str">
        <f t="array" ref="F2528">XLOOKUP(G2528,Reference!$F:$F,Reference!$D:$D,"null")</f>
        <v>Rekreasi dan Kendaraan</v>
      </c>
      <c r="G2528" s="85" t="s">
        <v>105</v>
      </c>
      <c r="H2528" s="86">
        <v>104.73</v>
      </c>
      <c r="I2528" s="86">
        <v>104.4</v>
      </c>
      <c r="J2528" s="87">
        <f t="shared" si="2"/>
        <v>0.316091954</v>
      </c>
      <c r="K2528" s="84" t="str">
        <f t="shared" si="3"/>
        <v>Inflasi Normal</v>
      </c>
      <c r="L2528" s="84">
        <f t="shared" si="4"/>
        <v>0.33</v>
      </c>
      <c r="M2528" s="88" t="str">
        <f t="shared" si="5"/>
        <v>Perubahan Normal</v>
      </c>
    </row>
    <row r="2529" ht="18.75" customHeight="1">
      <c r="A2529" s="80" t="s">
        <v>389</v>
      </c>
      <c r="B2529" s="81" t="str">
        <f t="shared" si="1"/>
        <v>Tembilahan</v>
      </c>
      <c r="C2529" s="81" t="str">
        <f t="array" ref="C2529">xlookup(B2529,Reference!$A$2:$A$152,Reference!$B$2:$B$152)</f>
        <v>Riau</v>
      </c>
      <c r="D2529" s="82" t="s">
        <v>2968</v>
      </c>
      <c r="E2529" s="83">
        <v>45352.0</v>
      </c>
      <c r="F2529" s="91" t="str">
        <f t="array" ref="F2529">XLOOKUP(G2529,Reference!$F:$F,Reference!$D:$D,"null")</f>
        <v>Pendidikan dan Kesehatan</v>
      </c>
      <c r="G2529" s="85" t="s">
        <v>95</v>
      </c>
      <c r="H2529" s="86">
        <v>100.76</v>
      </c>
      <c r="I2529" s="86">
        <v>100.76</v>
      </c>
      <c r="J2529" s="87">
        <f t="shared" si="2"/>
        <v>0</v>
      </c>
      <c r="K2529" s="84" t="str">
        <f t="shared" si="3"/>
        <v>Stabil</v>
      </c>
      <c r="L2529" s="84">
        <f t="shared" si="4"/>
        <v>0</v>
      </c>
      <c r="M2529" s="88" t="str">
        <f t="shared" si="5"/>
        <v>Perubahan Normal</v>
      </c>
    </row>
    <row r="2530" ht="18.75" customHeight="1">
      <c r="A2530" s="80" t="s">
        <v>581</v>
      </c>
      <c r="B2530" s="81" t="str">
        <f t="shared" si="1"/>
        <v>Kab Dharmasraya</v>
      </c>
      <c r="C2530" s="81" t="str">
        <f t="array" ref="C2530">xlookup(B2530,Reference!$A$2:$A$152,Reference!$B$2:$B$152)</f>
        <v>Sumatera Barat</v>
      </c>
      <c r="D2530" s="82" t="s">
        <v>2969</v>
      </c>
      <c r="E2530" s="83">
        <v>45323.0</v>
      </c>
      <c r="F2530" s="91" t="str">
        <f t="array" ref="F2530">XLOOKUP(G2530,Reference!$F:$F,Reference!$D:$D,"null")</f>
        <v>Makanan dan Pakaian </v>
      </c>
      <c r="G2530" s="85" t="s">
        <v>56</v>
      </c>
      <c r="H2530" s="86">
        <v>99.9</v>
      </c>
      <c r="I2530" s="86">
        <v>99.9</v>
      </c>
      <c r="J2530" s="87">
        <f t="shared" si="2"/>
        <v>0</v>
      </c>
      <c r="K2530" s="84" t="str">
        <f t="shared" si="3"/>
        <v>Stabil</v>
      </c>
      <c r="L2530" s="84">
        <f t="shared" si="4"/>
        <v>0</v>
      </c>
      <c r="M2530" s="88" t="str">
        <f t="shared" si="5"/>
        <v>Perubahan Normal</v>
      </c>
    </row>
    <row r="2531" ht="18.75" customHeight="1">
      <c r="A2531" s="80" t="s">
        <v>764</v>
      </c>
      <c r="B2531" s="81" t="str">
        <f t="shared" si="1"/>
        <v>Kota Madiun</v>
      </c>
      <c r="C2531" s="81" t="str">
        <f t="array" ref="C2531">xlookup(B2531,Reference!$A$2:$A$152,Reference!$B$2:$B$152)</f>
        <v>Jawa Timur</v>
      </c>
      <c r="D2531" s="82" t="s">
        <v>2970</v>
      </c>
      <c r="E2531" s="83">
        <v>45352.0</v>
      </c>
      <c r="F2531" s="91" t="str">
        <f t="array" ref="F2531">XLOOKUP(G2531,Reference!$F:$F,Reference!$D:$D,"null")</f>
        <v>Rekreasi dan Kendaraan</v>
      </c>
      <c r="G2531" s="85" t="s">
        <v>105</v>
      </c>
      <c r="H2531" s="86">
        <v>103.83</v>
      </c>
      <c r="I2531" s="86">
        <v>103.68</v>
      </c>
      <c r="J2531" s="87">
        <f t="shared" si="2"/>
        <v>0.1446759259</v>
      </c>
      <c r="K2531" s="84" t="str">
        <f t="shared" si="3"/>
        <v>Inflasi Normal</v>
      </c>
      <c r="L2531" s="84">
        <f t="shared" si="4"/>
        <v>0.15</v>
      </c>
      <c r="M2531" s="88" t="str">
        <f t="shared" si="5"/>
        <v>Perubahan Normal</v>
      </c>
    </row>
    <row r="2532" ht="18.75" customHeight="1">
      <c r="A2532" s="80" t="s">
        <v>471</v>
      </c>
      <c r="B2532" s="81" t="str">
        <f t="shared" si="1"/>
        <v>Kab Gunungkidul</v>
      </c>
      <c r="C2532" s="81" t="str">
        <f t="array" ref="C2532">xlookup(B2532,Reference!$A$2:$A$152,Reference!$B$2:$B$152)</f>
        <v>D.I. Yogyakarta</v>
      </c>
      <c r="D2532" s="82" t="s">
        <v>2971</v>
      </c>
      <c r="E2532" s="83">
        <v>45323.0</v>
      </c>
      <c r="F2532" s="91" t="str">
        <f t="array" ref="F2532">XLOOKUP(G2532,Reference!$F:$F,Reference!$D:$D,"null")</f>
        <v>Makanan dan Pakaian </v>
      </c>
      <c r="G2532" s="85" t="s">
        <v>64</v>
      </c>
      <c r="H2532" s="86">
        <v>102.29</v>
      </c>
      <c r="I2532" s="86">
        <v>102.29</v>
      </c>
      <c r="J2532" s="87">
        <f t="shared" si="2"/>
        <v>0</v>
      </c>
      <c r="K2532" s="84" t="str">
        <f t="shared" si="3"/>
        <v>Stabil</v>
      </c>
      <c r="L2532" s="84">
        <f t="shared" si="4"/>
        <v>0</v>
      </c>
      <c r="M2532" s="88" t="str">
        <f t="shared" si="5"/>
        <v>Perubahan Normal</v>
      </c>
    </row>
    <row r="2533" ht="18.75" customHeight="1">
      <c r="A2533" s="80" t="s">
        <v>456</v>
      </c>
      <c r="B2533" s="81" t="str">
        <f t="shared" si="1"/>
        <v>Kab Aceh Tamiang</v>
      </c>
      <c r="C2533" s="81" t="str">
        <f t="array" ref="C2533">xlookup(B2533,Reference!$A$2:$A$152,Reference!$B$2:$B$152)</f>
        <v>Aceh</v>
      </c>
      <c r="D2533" s="82" t="s">
        <v>2972</v>
      </c>
      <c r="E2533" s="83">
        <v>45323.0</v>
      </c>
      <c r="F2533" s="91" t="str">
        <f t="array" ref="F2533">XLOOKUP(G2533,Reference!$F:$F,Reference!$D:$D,"null")</f>
        <v>Makanan dan Pakaian </v>
      </c>
      <c r="G2533" s="85" t="s">
        <v>48</v>
      </c>
      <c r="H2533" s="86">
        <v>107.36</v>
      </c>
      <c r="I2533" s="86">
        <v>106.53</v>
      </c>
      <c r="J2533" s="87">
        <f t="shared" si="2"/>
        <v>0.7791232517</v>
      </c>
      <c r="K2533" s="84" t="str">
        <f t="shared" si="3"/>
        <v>Inflasi Tinggi</v>
      </c>
      <c r="L2533" s="84">
        <f t="shared" si="4"/>
        <v>0.83</v>
      </c>
      <c r="M2533" s="88" t="str">
        <f t="shared" si="5"/>
        <v>Akselerasi Persentase</v>
      </c>
    </row>
    <row r="2534" ht="18.75" customHeight="1">
      <c r="A2534" s="80" t="s">
        <v>448</v>
      </c>
      <c r="B2534" s="81" t="str">
        <f t="shared" si="1"/>
        <v>Tanjung Selor</v>
      </c>
      <c r="C2534" s="81" t="str">
        <f t="array" ref="C2534">xlookup(B2534,Reference!$A$2:$A$152,Reference!$B$2:$B$152)</f>
        <v>Kalimantan Utara</v>
      </c>
      <c r="D2534" s="82" t="s">
        <v>2973</v>
      </c>
      <c r="E2534" s="83">
        <v>45323.0</v>
      </c>
      <c r="F2534" s="91" t="str">
        <f t="array" ref="F2534">XLOOKUP(G2534,Reference!$F:$F,Reference!$D:$D,"null")</f>
        <v>Rumah Tangga</v>
      </c>
      <c r="G2534" s="85" t="s">
        <v>89</v>
      </c>
      <c r="H2534" s="86">
        <v>99.11</v>
      </c>
      <c r="I2534" s="86">
        <v>98.81</v>
      </c>
      <c r="J2534" s="87">
        <f t="shared" si="2"/>
        <v>0.3036129946</v>
      </c>
      <c r="K2534" s="84" t="str">
        <f t="shared" si="3"/>
        <v>Inflasi Normal</v>
      </c>
      <c r="L2534" s="84">
        <f t="shared" si="4"/>
        <v>0.3</v>
      </c>
      <c r="M2534" s="88" t="str">
        <f t="shared" si="5"/>
        <v>Perubahan Normal</v>
      </c>
    </row>
    <row r="2535" ht="18.75" customHeight="1">
      <c r="A2535" s="80" t="s">
        <v>581</v>
      </c>
      <c r="B2535" s="81" t="str">
        <f t="shared" si="1"/>
        <v>Kab Dharmasraya</v>
      </c>
      <c r="C2535" s="81" t="str">
        <f t="array" ref="C2535">xlookup(B2535,Reference!$A$2:$A$152,Reference!$B$2:$B$152)</f>
        <v>Sumatera Barat</v>
      </c>
      <c r="D2535" s="82" t="s">
        <v>2974</v>
      </c>
      <c r="E2535" s="83">
        <v>45352.0</v>
      </c>
      <c r="F2535" s="91" t="str">
        <f t="array" ref="F2535">XLOOKUP(G2535,Reference!$F:$F,Reference!$D:$D,"null")</f>
        <v>Makanan dan Pakaian </v>
      </c>
      <c r="G2535" s="85" t="s">
        <v>72</v>
      </c>
      <c r="H2535" s="86">
        <v>100.11</v>
      </c>
      <c r="I2535" s="86">
        <v>99.88</v>
      </c>
      <c r="J2535" s="87">
        <f t="shared" si="2"/>
        <v>0.2302763316</v>
      </c>
      <c r="K2535" s="84" t="str">
        <f t="shared" si="3"/>
        <v>Inflasi Normal</v>
      </c>
      <c r="L2535" s="84">
        <f t="shared" si="4"/>
        <v>0.23</v>
      </c>
      <c r="M2535" s="88" t="str">
        <f t="shared" si="5"/>
        <v>Perubahan Normal</v>
      </c>
    </row>
    <row r="2536" ht="18.75" customHeight="1">
      <c r="A2536" s="80" t="s">
        <v>529</v>
      </c>
      <c r="B2536" s="81" t="str">
        <f t="shared" si="1"/>
        <v>Kota Yogyakarta</v>
      </c>
      <c r="C2536" s="81" t="str">
        <f t="array" ref="C2536">xlookup(B2536,Reference!$A$2:$A$152,Reference!$B$2:$B$152)</f>
        <v>D.I. Yogyakarta</v>
      </c>
      <c r="D2536" s="82" t="s">
        <v>2975</v>
      </c>
      <c r="E2536" s="83">
        <v>45323.0</v>
      </c>
      <c r="F2536" s="91" t="str">
        <f t="array" ref="F2536">XLOOKUP(G2536,Reference!$F:$F,Reference!$D:$D,"null")</f>
        <v>Makanan dan Pakaian </v>
      </c>
      <c r="G2536" s="85" t="s">
        <v>72</v>
      </c>
      <c r="H2536" s="86">
        <v>100.98</v>
      </c>
      <c r="I2536" s="86">
        <v>100.84</v>
      </c>
      <c r="J2536" s="87">
        <f t="shared" si="2"/>
        <v>0.1388337961</v>
      </c>
      <c r="K2536" s="84" t="str">
        <f t="shared" si="3"/>
        <v>Inflasi Normal</v>
      </c>
      <c r="L2536" s="84">
        <f t="shared" si="4"/>
        <v>0.14</v>
      </c>
      <c r="M2536" s="88" t="str">
        <f t="shared" si="5"/>
        <v>Perubahan Normal</v>
      </c>
    </row>
    <row r="2537" ht="18.75" customHeight="1">
      <c r="A2537" s="80" t="s">
        <v>542</v>
      </c>
      <c r="B2537" s="81" t="str">
        <f t="shared" si="1"/>
        <v>Kab Karo</v>
      </c>
      <c r="C2537" s="81" t="str">
        <f t="array" ref="C2537">xlookup(B2537,Reference!$A$2:$A$152,Reference!$B$2:$B$152)</f>
        <v>Sumatera Utara</v>
      </c>
      <c r="D2537" s="82" t="s">
        <v>2976</v>
      </c>
      <c r="E2537" s="83">
        <v>45323.0</v>
      </c>
      <c r="F2537" s="91" t="str">
        <f t="array" ref="F2537">XLOOKUP(G2537,Reference!$F:$F,Reference!$D:$D,"null")</f>
        <v>Pendidikan dan Kesehatan</v>
      </c>
      <c r="G2537" s="85" t="s">
        <v>98</v>
      </c>
      <c r="H2537" s="86">
        <v>99.32</v>
      </c>
      <c r="I2537" s="86">
        <v>99.15</v>
      </c>
      <c r="J2537" s="87">
        <f t="shared" si="2"/>
        <v>0.1714573878</v>
      </c>
      <c r="K2537" s="84" t="str">
        <f t="shared" si="3"/>
        <v>Inflasi Normal</v>
      </c>
      <c r="L2537" s="84">
        <f t="shared" si="4"/>
        <v>0.17</v>
      </c>
      <c r="M2537" s="88" t="str">
        <f t="shared" si="5"/>
        <v>Perubahan Normal</v>
      </c>
    </row>
    <row r="2538" ht="18.75" customHeight="1">
      <c r="A2538" s="80" t="s">
        <v>505</v>
      </c>
      <c r="B2538" s="81" t="str">
        <f t="shared" si="1"/>
        <v>Kota Denpasar</v>
      </c>
      <c r="C2538" s="81" t="str">
        <f t="array" ref="C2538">xlookup(B2538,Reference!$A$2:$A$152,Reference!$B$2:$B$152)</f>
        <v>Bali</v>
      </c>
      <c r="D2538" s="82" t="s">
        <v>2977</v>
      </c>
      <c r="E2538" s="83">
        <v>45323.0</v>
      </c>
      <c r="F2538" s="91" t="str">
        <f t="array" ref="F2538">XLOOKUP(G2538,Reference!$F:$F,Reference!$D:$D,"null")</f>
        <v>Rekreasi dan Kendaraan</v>
      </c>
      <c r="G2538" s="85" t="s">
        <v>102</v>
      </c>
      <c r="H2538" s="86">
        <v>106.19</v>
      </c>
      <c r="I2538" s="86">
        <v>105.57</v>
      </c>
      <c r="J2538" s="87">
        <f t="shared" si="2"/>
        <v>0.5872880553</v>
      </c>
      <c r="K2538" s="84" t="str">
        <f t="shared" si="3"/>
        <v>Inflasi Tinggi</v>
      </c>
      <c r="L2538" s="84">
        <f t="shared" si="4"/>
        <v>0.62</v>
      </c>
      <c r="M2538" s="88" t="str">
        <f t="shared" si="5"/>
        <v>Akselerasi Persentase</v>
      </c>
    </row>
    <row r="2539" ht="18.75" customHeight="1">
      <c r="A2539" s="80" t="s">
        <v>841</v>
      </c>
      <c r="B2539" s="81" t="str">
        <f t="shared" si="1"/>
        <v>Kab Morowali</v>
      </c>
      <c r="C2539" s="81" t="str">
        <f t="array" ref="C2539">xlookup(B2539,Reference!$A$2:$A$152,Reference!$B$2:$B$152)</f>
        <v>Sulawesi Tengah</v>
      </c>
      <c r="D2539" s="82" t="s">
        <v>2978</v>
      </c>
      <c r="E2539" s="83">
        <v>45352.0</v>
      </c>
      <c r="F2539" s="91" t="str">
        <f t="array" ref="F2539">XLOOKUP(G2539,Reference!$F:$F,Reference!$D:$D,"null")</f>
        <v>Rekreasi dan Kendaraan</v>
      </c>
      <c r="G2539" s="85" t="s">
        <v>105</v>
      </c>
      <c r="H2539" s="86">
        <v>100.83</v>
      </c>
      <c r="I2539" s="86">
        <v>100.67</v>
      </c>
      <c r="J2539" s="87">
        <f t="shared" si="2"/>
        <v>0.1589351346</v>
      </c>
      <c r="K2539" s="84" t="str">
        <f t="shared" si="3"/>
        <v>Inflasi Normal</v>
      </c>
      <c r="L2539" s="84">
        <f t="shared" si="4"/>
        <v>0.16</v>
      </c>
      <c r="M2539" s="88" t="str">
        <f t="shared" si="5"/>
        <v>Perubahan Normal</v>
      </c>
    </row>
    <row r="2540" ht="18.75" customHeight="1">
      <c r="A2540" s="80" t="s">
        <v>934</v>
      </c>
      <c r="B2540" s="81" t="str">
        <f t="shared" si="1"/>
        <v>Kab Kolaka</v>
      </c>
      <c r="C2540" s="81" t="str">
        <f t="array" ref="C2540">xlookup(B2540,Reference!$A$2:$A$152,Reference!$B$2:$B$152)</f>
        <v>Sulawesi Tenggara</v>
      </c>
      <c r="D2540" s="82" t="s">
        <v>2979</v>
      </c>
      <c r="E2540" s="83">
        <v>45323.0</v>
      </c>
      <c r="F2540" s="91" t="str">
        <f t="array" ref="F2540">XLOOKUP(G2540,Reference!$F:$F,Reference!$D:$D,"null")</f>
        <v>Makanan dan Pakaian </v>
      </c>
      <c r="G2540" s="85" t="s">
        <v>64</v>
      </c>
      <c r="H2540" s="86">
        <v>101.21</v>
      </c>
      <c r="I2540" s="86">
        <v>101.21</v>
      </c>
      <c r="J2540" s="87">
        <f t="shared" si="2"/>
        <v>0</v>
      </c>
      <c r="K2540" s="84" t="str">
        <f t="shared" si="3"/>
        <v>Stabil</v>
      </c>
      <c r="L2540" s="84">
        <f t="shared" si="4"/>
        <v>0</v>
      </c>
      <c r="M2540" s="88" t="str">
        <f t="shared" si="5"/>
        <v>Perubahan Normal</v>
      </c>
    </row>
    <row r="2541" ht="18.75" customHeight="1">
      <c r="A2541" s="80" t="s">
        <v>454</v>
      </c>
      <c r="B2541" s="81" t="str">
        <f t="shared" si="1"/>
        <v>Kab Ketapang</v>
      </c>
      <c r="C2541" s="81" t="str">
        <f t="array" ref="C2541">xlookup(B2541,Reference!$A$2:$A$152,Reference!$B$2:$B$152)</f>
        <v>Kalimantan Barat</v>
      </c>
      <c r="D2541" s="82" t="s">
        <v>2980</v>
      </c>
      <c r="E2541" s="83">
        <v>45323.0</v>
      </c>
      <c r="F2541" s="91" t="str">
        <f t="array" ref="F2541">XLOOKUP(G2541,Reference!$F:$F,Reference!$D:$D,"null")</f>
        <v>Rumah Tangga</v>
      </c>
      <c r="G2541" s="85" t="s">
        <v>84</v>
      </c>
      <c r="H2541" s="86">
        <v>100.0</v>
      </c>
      <c r="I2541" s="86">
        <v>100.0</v>
      </c>
      <c r="J2541" s="87">
        <f t="shared" si="2"/>
        <v>0</v>
      </c>
      <c r="K2541" s="84" t="str">
        <f t="shared" si="3"/>
        <v>Stabil</v>
      </c>
      <c r="L2541" s="84">
        <f t="shared" si="4"/>
        <v>0</v>
      </c>
      <c r="M2541" s="88" t="str">
        <f t="shared" si="5"/>
        <v>Perubahan Normal</v>
      </c>
    </row>
    <row r="2542" ht="18.75" customHeight="1">
      <c r="A2542" s="80" t="s">
        <v>406</v>
      </c>
      <c r="B2542" s="81" t="str">
        <f t="shared" si="1"/>
        <v>Kota Tasikmalaya</v>
      </c>
      <c r="C2542" s="81" t="str">
        <f t="array" ref="C2542">xlookup(B2542,Reference!$A$2:$A$152,Reference!$B$2:$B$152)</f>
        <v>Jawa Barat</v>
      </c>
      <c r="D2542" s="82" t="s">
        <v>2981</v>
      </c>
      <c r="E2542" s="83">
        <v>45323.0</v>
      </c>
      <c r="F2542" s="91" t="str">
        <f t="array" ref="F2542">XLOOKUP(G2542,Reference!$F:$F,Reference!$D:$D,"null")</f>
        <v>Makanan dan Pakaian </v>
      </c>
      <c r="G2542" s="85" t="s">
        <v>72</v>
      </c>
      <c r="H2542" s="86">
        <v>102.86</v>
      </c>
      <c r="I2542" s="86">
        <v>102.88</v>
      </c>
      <c r="J2542" s="87">
        <f t="shared" si="2"/>
        <v>-0.01944012442</v>
      </c>
      <c r="K2542" s="84" t="str">
        <f t="shared" si="3"/>
        <v>Deflasi</v>
      </c>
      <c r="L2542" s="84">
        <f t="shared" si="4"/>
        <v>-0.02</v>
      </c>
      <c r="M2542" s="88" t="str">
        <f t="shared" si="5"/>
        <v>Perubahan Normal</v>
      </c>
    </row>
    <row r="2543" ht="18.75" customHeight="1">
      <c r="A2543" s="80" t="s">
        <v>370</v>
      </c>
      <c r="B2543" s="81" t="str">
        <f t="shared" si="1"/>
        <v>Jember</v>
      </c>
      <c r="C2543" s="81" t="str">
        <f t="array" ref="C2543">xlookup(B2543,Reference!$A$2:$A$152,Reference!$B$2:$B$152)</f>
        <v>Jawa Timur</v>
      </c>
      <c r="D2543" s="82" t="s">
        <v>2982</v>
      </c>
      <c r="E2543" s="83">
        <v>45352.0</v>
      </c>
      <c r="F2543" s="91" t="str">
        <f t="array" ref="F2543">XLOOKUP(G2543,Reference!$F:$F,Reference!$D:$D,"null")</f>
        <v>Makanan dan Pakaian </v>
      </c>
      <c r="G2543" s="85" t="s">
        <v>72</v>
      </c>
      <c r="H2543" s="86">
        <v>105.13</v>
      </c>
      <c r="I2543" s="86">
        <v>105.47</v>
      </c>
      <c r="J2543" s="87">
        <f t="shared" si="2"/>
        <v>-0.3223665497</v>
      </c>
      <c r="K2543" s="84" t="str">
        <f t="shared" si="3"/>
        <v>Deflasi</v>
      </c>
      <c r="L2543" s="84">
        <f t="shared" si="4"/>
        <v>-0.34</v>
      </c>
      <c r="M2543" s="88" t="str">
        <f t="shared" si="5"/>
        <v>Perubahan Normal</v>
      </c>
    </row>
    <row r="2544" ht="18.75" customHeight="1">
      <c r="A2544" s="80" t="s">
        <v>680</v>
      </c>
      <c r="B2544" s="81" t="str">
        <f t="shared" si="1"/>
        <v>Kota Pekanbaru</v>
      </c>
      <c r="C2544" s="81" t="str">
        <f t="array" ref="C2544">xlookup(B2544,Reference!$A$2:$A$152,Reference!$B$2:$B$152)</f>
        <v>Riau</v>
      </c>
      <c r="D2544" s="82" t="s">
        <v>2983</v>
      </c>
      <c r="E2544" s="83">
        <v>45352.0</v>
      </c>
      <c r="F2544" s="91" t="str">
        <f t="array" ref="F2544">XLOOKUP(G2544,Reference!$F:$F,Reference!$D:$D,"null")</f>
        <v>Makanan dan Pakaian </v>
      </c>
      <c r="G2544" s="85" t="s">
        <v>72</v>
      </c>
      <c r="H2544" s="86">
        <v>101.0</v>
      </c>
      <c r="I2544" s="86">
        <v>101.0</v>
      </c>
      <c r="J2544" s="87">
        <f t="shared" si="2"/>
        <v>0</v>
      </c>
      <c r="K2544" s="84" t="str">
        <f t="shared" si="3"/>
        <v>Stabil</v>
      </c>
      <c r="L2544" s="84">
        <f t="shared" si="4"/>
        <v>0</v>
      </c>
      <c r="M2544" s="88" t="str">
        <f t="shared" si="5"/>
        <v>Perubahan Normal</v>
      </c>
    </row>
    <row r="2545" ht="18.75" customHeight="1">
      <c r="A2545" s="80" t="s">
        <v>335</v>
      </c>
      <c r="B2545" s="81" t="str">
        <f t="shared" si="1"/>
        <v>Kab Wonogiri</v>
      </c>
      <c r="C2545" s="81" t="str">
        <f t="array" ref="C2545">xlookup(B2545,Reference!$A$2:$A$152,Reference!$B$2:$B$152)</f>
        <v>Jawa Tengah</v>
      </c>
      <c r="D2545" s="82" t="s">
        <v>2984</v>
      </c>
      <c r="E2545" s="83">
        <v>45323.0</v>
      </c>
      <c r="F2545" s="91" t="str">
        <f t="array" ref="F2545">XLOOKUP(G2545,Reference!$F:$F,Reference!$D:$D,"null")</f>
        <v>Rumah Tangga</v>
      </c>
      <c r="G2545" s="85" t="s">
        <v>80</v>
      </c>
      <c r="H2545" s="86">
        <v>100.3</v>
      </c>
      <c r="I2545" s="86">
        <v>100.0</v>
      </c>
      <c r="J2545" s="87">
        <f t="shared" si="2"/>
        <v>0.3</v>
      </c>
      <c r="K2545" s="84" t="str">
        <f t="shared" si="3"/>
        <v>Inflasi Normal</v>
      </c>
      <c r="L2545" s="84">
        <f t="shared" si="4"/>
        <v>0.3</v>
      </c>
      <c r="M2545" s="88" t="str">
        <f t="shared" si="5"/>
        <v>Perubahan Normal</v>
      </c>
    </row>
    <row r="2546" ht="18.75" customHeight="1">
      <c r="A2546" s="80" t="s">
        <v>584</v>
      </c>
      <c r="B2546" s="81" t="str">
        <f t="shared" si="1"/>
        <v>Kota Sibolga</v>
      </c>
      <c r="C2546" s="81" t="str">
        <f t="array" ref="C2546">xlookup(B2546,Reference!$A$2:$A$152,Reference!$B$2:$B$152)</f>
        <v>Sumatera Utara</v>
      </c>
      <c r="D2546" s="82" t="s">
        <v>2985</v>
      </c>
      <c r="E2546" s="83">
        <v>45352.0</v>
      </c>
      <c r="F2546" s="91" t="str">
        <f t="array" ref="F2546">XLOOKUP(G2546,Reference!$F:$F,Reference!$D:$D,"null")</f>
        <v>Rumah Tangga</v>
      </c>
      <c r="G2546" s="85" t="s">
        <v>80</v>
      </c>
      <c r="H2546" s="86">
        <v>102.11</v>
      </c>
      <c r="I2546" s="86">
        <v>102.11</v>
      </c>
      <c r="J2546" s="87">
        <f t="shared" si="2"/>
        <v>0</v>
      </c>
      <c r="K2546" s="84" t="str">
        <f t="shared" si="3"/>
        <v>Stabil</v>
      </c>
      <c r="L2546" s="84">
        <f t="shared" si="4"/>
        <v>0</v>
      </c>
      <c r="M2546" s="88" t="str">
        <f t="shared" si="5"/>
        <v>Perubahan Normal</v>
      </c>
    </row>
    <row r="2547" ht="18.75" customHeight="1">
      <c r="A2547" s="80" t="s">
        <v>395</v>
      </c>
      <c r="B2547" s="81" t="str">
        <f t="shared" si="1"/>
        <v>Kota Bukittinggi</v>
      </c>
      <c r="C2547" s="81" t="str">
        <f t="array" ref="C2547">xlookup(B2547,Reference!$A$2:$A$152,Reference!$B$2:$B$152)</f>
        <v>Sumatera Barat</v>
      </c>
      <c r="D2547" s="82" t="s">
        <v>2986</v>
      </c>
      <c r="E2547" s="83">
        <v>45352.0</v>
      </c>
      <c r="F2547" s="91" t="str">
        <f t="array" ref="F2547">XLOOKUP(G2547,Reference!$F:$F,Reference!$D:$D,"null")</f>
        <v>Rumah Tangga</v>
      </c>
      <c r="G2547" s="85" t="s">
        <v>89</v>
      </c>
      <c r="H2547" s="86">
        <v>105.93</v>
      </c>
      <c r="I2547" s="86">
        <v>106.1</v>
      </c>
      <c r="J2547" s="87">
        <f t="shared" si="2"/>
        <v>-0.1602262017</v>
      </c>
      <c r="K2547" s="84" t="str">
        <f t="shared" si="3"/>
        <v>Deflasi</v>
      </c>
      <c r="L2547" s="84">
        <f t="shared" si="4"/>
        <v>-0.17</v>
      </c>
      <c r="M2547" s="88" t="str">
        <f t="shared" si="5"/>
        <v>Perubahan Normal</v>
      </c>
    </row>
    <row r="2548" ht="18.75" customHeight="1">
      <c r="A2548" s="80" t="s">
        <v>425</v>
      </c>
      <c r="B2548" s="81" t="str">
        <f t="shared" si="1"/>
        <v>Kab Gorontalo</v>
      </c>
      <c r="C2548" s="81" t="str">
        <f t="array" ref="C2548">xlookup(B2548,Reference!$A$2:$A$152,Reference!$B$2:$B$152)</f>
        <v>Gorontalo</v>
      </c>
      <c r="D2548" s="82" t="s">
        <v>2987</v>
      </c>
      <c r="E2548" s="83">
        <v>45352.0</v>
      </c>
      <c r="F2548" s="91" t="str">
        <f t="array" ref="F2548">XLOOKUP(G2548,Reference!$F:$F,Reference!$D:$D,"null")</f>
        <v>Rekreasi dan Kendaraan</v>
      </c>
      <c r="G2548" s="85" t="s">
        <v>102</v>
      </c>
      <c r="H2548" s="86">
        <v>98.65</v>
      </c>
      <c r="I2548" s="86">
        <v>101.33</v>
      </c>
      <c r="J2548" s="87">
        <f t="shared" si="2"/>
        <v>-2.644823843</v>
      </c>
      <c r="K2548" s="84" t="str">
        <f t="shared" si="3"/>
        <v>Deflasi</v>
      </c>
      <c r="L2548" s="84">
        <f t="shared" si="4"/>
        <v>-2.68</v>
      </c>
      <c r="M2548" s="88" t="str">
        <f t="shared" si="5"/>
        <v>Perubahan Normal</v>
      </c>
    </row>
    <row r="2549" ht="18.75" customHeight="1">
      <c r="A2549" s="80" t="s">
        <v>598</v>
      </c>
      <c r="B2549" s="81" t="str">
        <f t="shared" si="1"/>
        <v>Kota Surakarta</v>
      </c>
      <c r="C2549" s="81" t="str">
        <f t="array" ref="C2549">xlookup(B2549,Reference!$A$2:$A$152,Reference!$B$2:$B$152)</f>
        <v>Jawa Tengah</v>
      </c>
      <c r="D2549" s="82" t="s">
        <v>2988</v>
      </c>
      <c r="E2549" s="83">
        <v>45323.0</v>
      </c>
      <c r="F2549" s="91" t="str">
        <f t="array" ref="F2549">XLOOKUP(G2549,Reference!$F:$F,Reference!$D:$D,"null")</f>
        <v>Rumah Tangga</v>
      </c>
      <c r="G2549" s="85" t="s">
        <v>80</v>
      </c>
      <c r="H2549" s="86">
        <v>102.95</v>
      </c>
      <c r="I2549" s="86">
        <v>102.95</v>
      </c>
      <c r="J2549" s="87">
        <f t="shared" si="2"/>
        <v>0</v>
      </c>
      <c r="K2549" s="84" t="str">
        <f t="shared" si="3"/>
        <v>Stabil</v>
      </c>
      <c r="L2549" s="84">
        <f t="shared" si="4"/>
        <v>0</v>
      </c>
      <c r="M2549" s="88" t="str">
        <f t="shared" si="5"/>
        <v>Perubahan Normal</v>
      </c>
    </row>
    <row r="2550" ht="18.75" customHeight="1">
      <c r="A2550" s="80" t="s">
        <v>548</v>
      </c>
      <c r="B2550" s="81" t="str">
        <f t="shared" si="1"/>
        <v>Kota Metro</v>
      </c>
      <c r="C2550" s="81" t="str">
        <f t="array" ref="C2550">xlookup(B2550,Reference!$A$2:$A$152,Reference!$B$2:$B$152)</f>
        <v>Lampung</v>
      </c>
      <c r="D2550" s="82" t="s">
        <v>2989</v>
      </c>
      <c r="E2550" s="83">
        <v>45323.0</v>
      </c>
      <c r="F2550" s="91" t="str">
        <f t="array" ref="F2550">XLOOKUP(G2550,Reference!$F:$F,Reference!$D:$D,"null")</f>
        <v>Rumah Tangga</v>
      </c>
      <c r="G2550" s="85" t="s">
        <v>84</v>
      </c>
      <c r="H2550" s="86">
        <v>97.86</v>
      </c>
      <c r="I2550" s="86">
        <v>97.86</v>
      </c>
      <c r="J2550" s="87">
        <f t="shared" si="2"/>
        <v>0</v>
      </c>
      <c r="K2550" s="84" t="str">
        <f t="shared" si="3"/>
        <v>Stabil</v>
      </c>
      <c r="L2550" s="84">
        <f t="shared" si="4"/>
        <v>0</v>
      </c>
      <c r="M2550" s="88" t="str">
        <f t="shared" si="5"/>
        <v>Perubahan Normal</v>
      </c>
    </row>
    <row r="2551" ht="18.75" customHeight="1">
      <c r="A2551" s="80" t="s">
        <v>497</v>
      </c>
      <c r="B2551" s="81" t="str">
        <f t="shared" si="1"/>
        <v>Tanjung Pandan</v>
      </c>
      <c r="C2551" s="81" t="str">
        <f t="array" ref="C2551">xlookup(B2551,Reference!$A$2:$A$152,Reference!$B$2:$B$152)</f>
        <v>Kepulauan Bangka Belitung</v>
      </c>
      <c r="D2551" s="82" t="s">
        <v>2990</v>
      </c>
      <c r="E2551" s="83">
        <v>45352.0</v>
      </c>
      <c r="F2551" s="91" t="str">
        <f t="array" ref="F2551">XLOOKUP(G2551,Reference!$F:$F,Reference!$D:$D,"null")</f>
        <v>Rumah Tangga</v>
      </c>
      <c r="G2551" s="85" t="s">
        <v>84</v>
      </c>
      <c r="H2551" s="86">
        <v>100.3</v>
      </c>
      <c r="I2551" s="86">
        <v>100.3</v>
      </c>
      <c r="J2551" s="87">
        <f t="shared" si="2"/>
        <v>0</v>
      </c>
      <c r="K2551" s="84" t="str">
        <f t="shared" si="3"/>
        <v>Stabil</v>
      </c>
      <c r="L2551" s="84">
        <f t="shared" si="4"/>
        <v>0</v>
      </c>
      <c r="M2551" s="88" t="str">
        <f t="shared" si="5"/>
        <v>Perubahan Normal</v>
      </c>
    </row>
    <row r="2552" ht="18.75" customHeight="1">
      <c r="A2552" s="80" t="s">
        <v>355</v>
      </c>
      <c r="B2552" s="81" t="str">
        <f t="shared" si="1"/>
        <v>Kota Gorontalo</v>
      </c>
      <c r="C2552" s="81" t="str">
        <f t="array" ref="C2552">xlookup(B2552,Reference!$A$2:$A$152,Reference!$B$2:$B$152)</f>
        <v>Gorontalo</v>
      </c>
      <c r="D2552" s="82" t="s">
        <v>2991</v>
      </c>
      <c r="E2552" s="83">
        <v>45352.0</v>
      </c>
      <c r="F2552" s="91" t="str">
        <f t="array" ref="F2552">XLOOKUP(G2552,Reference!$F:$F,Reference!$D:$D,"null")</f>
        <v>Makanan dan Pakaian </v>
      </c>
      <c r="G2552" s="85" t="s">
        <v>48</v>
      </c>
      <c r="H2552" s="86">
        <v>106.6</v>
      </c>
      <c r="I2552" s="86">
        <v>102.79</v>
      </c>
      <c r="J2552" s="87">
        <f t="shared" si="2"/>
        <v>3.706586244</v>
      </c>
      <c r="K2552" s="84" t="str">
        <f t="shared" si="3"/>
        <v>Inflasi Tinggi</v>
      </c>
      <c r="L2552" s="84">
        <f t="shared" si="4"/>
        <v>3.81</v>
      </c>
      <c r="M2552" s="88" t="str">
        <f t="shared" si="5"/>
        <v>Akselerasi Kuat</v>
      </c>
    </row>
    <row r="2553" ht="18.75" customHeight="1">
      <c r="A2553" s="80" t="s">
        <v>762</v>
      </c>
      <c r="B2553" s="81" t="str">
        <f t="shared" si="1"/>
        <v>Kota Pangkal Pinang</v>
      </c>
      <c r="C2553" s="81" t="str">
        <f t="array" ref="C2553">xlookup(B2553,Reference!$A$2:$A$152,Reference!$B$2:$B$152)</f>
        <v>Kepulauan Bangka Belitung</v>
      </c>
      <c r="D2553" s="82" t="s">
        <v>2992</v>
      </c>
      <c r="E2553" s="83">
        <v>45352.0</v>
      </c>
      <c r="F2553" s="91" t="str">
        <f t="array" ref="F2553">XLOOKUP(G2553,Reference!$F:$F,Reference!$D:$D,"null")</f>
        <v>Pendidikan dan Kesehatan</v>
      </c>
      <c r="G2553" s="85" t="s">
        <v>98</v>
      </c>
      <c r="H2553" s="86">
        <v>103.01</v>
      </c>
      <c r="I2553" s="86">
        <v>103.14</v>
      </c>
      <c r="J2553" s="87">
        <f t="shared" si="2"/>
        <v>-0.1260422726</v>
      </c>
      <c r="K2553" s="84" t="str">
        <f t="shared" si="3"/>
        <v>Deflasi</v>
      </c>
      <c r="L2553" s="84">
        <f t="shared" si="4"/>
        <v>-0.13</v>
      </c>
      <c r="M2553" s="88" t="str">
        <f t="shared" si="5"/>
        <v>Perubahan Normal</v>
      </c>
    </row>
    <row r="2554" ht="18.75" customHeight="1">
      <c r="A2554" s="80" t="s">
        <v>606</v>
      </c>
      <c r="B2554" s="81" t="str">
        <f t="shared" si="1"/>
        <v>Kota Pare Pare</v>
      </c>
      <c r="C2554" s="81" t="str">
        <f t="array" ref="C2554">xlookup(B2554,Reference!$A$2:$A$152,Reference!$B$2:$B$152)</f>
        <v>Sulawesi Selatan</v>
      </c>
      <c r="D2554" s="82" t="s">
        <v>2993</v>
      </c>
      <c r="E2554" s="83">
        <v>45323.0</v>
      </c>
      <c r="F2554" s="91" t="str">
        <f t="array" ref="F2554">XLOOKUP(G2554,Reference!$F:$F,Reference!$D:$D,"null")</f>
        <v>Makanan dan Pakaian </v>
      </c>
      <c r="G2554" s="85" t="s">
        <v>72</v>
      </c>
      <c r="H2554" s="86">
        <v>100.32</v>
      </c>
      <c r="I2554" s="86">
        <v>100.32</v>
      </c>
      <c r="J2554" s="87">
        <f t="shared" si="2"/>
        <v>0</v>
      </c>
      <c r="K2554" s="84" t="str">
        <f t="shared" si="3"/>
        <v>Stabil</v>
      </c>
      <c r="L2554" s="84">
        <f t="shared" si="4"/>
        <v>0</v>
      </c>
      <c r="M2554" s="88" t="str">
        <f t="shared" si="5"/>
        <v>Perubahan Normal</v>
      </c>
    </row>
    <row r="2555" ht="18.75" customHeight="1">
      <c r="A2555" s="80" t="s">
        <v>314</v>
      </c>
      <c r="B2555" s="81" t="str">
        <f t="shared" si="1"/>
        <v>Kota Jayapura</v>
      </c>
      <c r="C2555" s="81" t="str">
        <f t="array" ref="C2555">xlookup(B2555,Reference!$A$2:$A$152,Reference!$B$2:$B$152)</f>
        <v>Papua</v>
      </c>
      <c r="D2555" s="82" t="s">
        <v>2994</v>
      </c>
      <c r="E2555" s="83">
        <v>45352.0</v>
      </c>
      <c r="F2555" s="91" t="str">
        <f t="array" ref="F2555">XLOOKUP(G2555,Reference!$F:$F,Reference!$D:$D,"null")</f>
        <v>Makanan dan Pakaian </v>
      </c>
      <c r="G2555" s="85" t="s">
        <v>48</v>
      </c>
      <c r="H2555" s="86">
        <v>99.05</v>
      </c>
      <c r="I2555" s="86">
        <v>99.93</v>
      </c>
      <c r="J2555" s="87">
        <f t="shared" si="2"/>
        <v>-0.8806164315</v>
      </c>
      <c r="K2555" s="84" t="str">
        <f t="shared" si="3"/>
        <v>Deflasi</v>
      </c>
      <c r="L2555" s="84">
        <f t="shared" si="4"/>
        <v>-0.88</v>
      </c>
      <c r="M2555" s="88" t="str">
        <f t="shared" si="5"/>
        <v>Perubahan Normal</v>
      </c>
    </row>
    <row r="2556" ht="18.75" customHeight="1">
      <c r="A2556" s="80" t="s">
        <v>526</v>
      </c>
      <c r="B2556" s="81" t="str">
        <f t="shared" si="1"/>
        <v>Maumere</v>
      </c>
      <c r="C2556" s="81" t="str">
        <f t="array" ref="C2556">xlookup(B2556,Reference!$A$2:$A$152,Reference!$B$2:$B$152)</f>
        <v>Nusa Tenggara Timur (NTT)</v>
      </c>
      <c r="D2556" s="82" t="s">
        <v>2995</v>
      </c>
      <c r="E2556" s="83">
        <v>45352.0</v>
      </c>
      <c r="F2556" s="91" t="str">
        <f t="array" ref="F2556">XLOOKUP(G2556,Reference!$F:$F,Reference!$D:$D,"null")</f>
        <v>Makanan dan Pakaian </v>
      </c>
      <c r="G2556" s="85" t="s">
        <v>48</v>
      </c>
      <c r="H2556" s="86">
        <v>104.97</v>
      </c>
      <c r="I2556" s="86">
        <v>109.16</v>
      </c>
      <c r="J2556" s="87">
        <f t="shared" si="2"/>
        <v>-3.838402345</v>
      </c>
      <c r="K2556" s="84" t="str">
        <f t="shared" si="3"/>
        <v>Deflasi</v>
      </c>
      <c r="L2556" s="84">
        <f t="shared" si="4"/>
        <v>-4.19</v>
      </c>
      <c r="M2556" s="88" t="str">
        <f t="shared" si="5"/>
        <v>Perubahan Normal</v>
      </c>
    </row>
    <row r="2557" ht="18.75" customHeight="1">
      <c r="A2557" s="80" t="s">
        <v>634</v>
      </c>
      <c r="B2557" s="81" t="str">
        <f t="shared" si="1"/>
        <v>Kota Depok</v>
      </c>
      <c r="C2557" s="81" t="str">
        <f t="array" ref="C2557">xlookup(B2557,Reference!$A$2:$A$152,Reference!$B$2:$B$152)</f>
        <v>Jawa Barat</v>
      </c>
      <c r="D2557" s="82" t="s">
        <v>2996</v>
      </c>
      <c r="E2557" s="83">
        <v>45323.0</v>
      </c>
      <c r="F2557" s="91" t="str">
        <f t="array" ref="F2557">XLOOKUP(G2557,Reference!$F:$F,Reference!$D:$D,"null")</f>
        <v>Makanan dan Pakaian </v>
      </c>
      <c r="G2557" s="89" t="s">
        <v>56</v>
      </c>
      <c r="H2557" s="90">
        <v>101.36</v>
      </c>
      <c r="I2557" s="90">
        <v>101.36</v>
      </c>
      <c r="J2557" s="87">
        <f t="shared" si="2"/>
        <v>0</v>
      </c>
      <c r="K2557" s="84" t="str">
        <f t="shared" si="3"/>
        <v>Stabil</v>
      </c>
      <c r="L2557" s="91">
        <f t="shared" si="4"/>
        <v>0</v>
      </c>
      <c r="M2557" s="88" t="str">
        <f t="shared" si="5"/>
        <v>Perubahan Normal</v>
      </c>
    </row>
    <row r="2558" ht="18.75" customHeight="1">
      <c r="A2558" s="80" t="s">
        <v>342</v>
      </c>
      <c r="B2558" s="81" t="str">
        <f t="shared" si="1"/>
        <v>Kab Bandung</v>
      </c>
      <c r="C2558" s="81" t="str">
        <f t="array" ref="C2558">xlookup(B2558,Reference!$A$2:$A$152,Reference!$B$2:$B$152)</f>
        <v>Jawa Barat</v>
      </c>
      <c r="D2558" s="82" t="s">
        <v>2997</v>
      </c>
      <c r="E2558" s="83">
        <v>45352.0</v>
      </c>
      <c r="F2558" s="91" t="str">
        <f t="array" ref="F2558">XLOOKUP(G2558,Reference!$F:$F,Reference!$D:$D,"null")</f>
        <v>Makanan dan Pakaian </v>
      </c>
      <c r="G2558" s="89" t="s">
        <v>56</v>
      </c>
      <c r="H2558" s="90">
        <v>112.75</v>
      </c>
      <c r="I2558" s="90">
        <v>112.74</v>
      </c>
      <c r="J2558" s="87">
        <f t="shared" si="2"/>
        <v>0.008869966294</v>
      </c>
      <c r="K2558" s="84" t="str">
        <f t="shared" si="3"/>
        <v>Inflasi Normal</v>
      </c>
      <c r="L2558" s="91">
        <f t="shared" si="4"/>
        <v>0.01</v>
      </c>
      <c r="M2558" s="88" t="str">
        <f t="shared" si="5"/>
        <v>Perubahan Normal</v>
      </c>
    </row>
    <row r="2559" ht="18.75" customHeight="1">
      <c r="A2559" s="80" t="s">
        <v>542</v>
      </c>
      <c r="B2559" s="81" t="str">
        <f t="shared" si="1"/>
        <v>Kab Karo</v>
      </c>
      <c r="C2559" s="81" t="str">
        <f t="array" ref="C2559">xlookup(B2559,Reference!$A$2:$A$152,Reference!$B$2:$B$152)</f>
        <v>Sumatera Utara</v>
      </c>
      <c r="D2559" s="82" t="s">
        <v>2998</v>
      </c>
      <c r="E2559" s="83">
        <v>45323.0</v>
      </c>
      <c r="F2559" s="91" t="str">
        <f t="array" ref="F2559">XLOOKUP(G2559,Reference!$F:$F,Reference!$D:$D,"null")</f>
        <v>Pendidikan dan Kesehatan</v>
      </c>
      <c r="G2559" s="85" t="s">
        <v>95</v>
      </c>
      <c r="H2559" s="86">
        <v>100.0</v>
      </c>
      <c r="I2559" s="86">
        <v>100.0</v>
      </c>
      <c r="J2559" s="87">
        <f t="shared" si="2"/>
        <v>0</v>
      </c>
      <c r="K2559" s="84" t="str">
        <f t="shared" si="3"/>
        <v>Stabil</v>
      </c>
      <c r="L2559" s="84">
        <f t="shared" si="4"/>
        <v>0</v>
      </c>
      <c r="M2559" s="88" t="str">
        <f t="shared" si="5"/>
        <v>Perubahan Normal</v>
      </c>
    </row>
    <row r="2560" ht="18.75" customHeight="1">
      <c r="A2560" s="80" t="s">
        <v>539</v>
      </c>
      <c r="B2560" s="81" t="str">
        <f t="shared" si="1"/>
        <v>Kab Sorong Selatan</v>
      </c>
      <c r="C2560" s="81" t="str">
        <f t="array" ref="C2560">xlookup(B2560,Reference!$A$2:$A$152,Reference!$B$2:$B$152)</f>
        <v>Papua Barat Daya</v>
      </c>
      <c r="D2560" s="82" t="s">
        <v>2999</v>
      </c>
      <c r="E2560" s="83">
        <v>45352.0</v>
      </c>
      <c r="F2560" s="91" t="str">
        <f t="array" ref="F2560">XLOOKUP(G2560,Reference!$F:$F,Reference!$D:$D,"null")</f>
        <v>Makanan dan Pakaian </v>
      </c>
      <c r="G2560" s="85" t="s">
        <v>56</v>
      </c>
      <c r="H2560" s="86">
        <v>111.21</v>
      </c>
      <c r="I2560" s="86">
        <v>107.94</v>
      </c>
      <c r="J2560" s="87">
        <f t="shared" si="2"/>
        <v>3.029460812</v>
      </c>
      <c r="K2560" s="84" t="str">
        <f t="shared" si="3"/>
        <v>Inflasi Tinggi</v>
      </c>
      <c r="L2560" s="84">
        <f t="shared" si="4"/>
        <v>3.27</v>
      </c>
      <c r="M2560" s="88" t="str">
        <f t="shared" si="5"/>
        <v>Akselerasi Kuat</v>
      </c>
    </row>
    <row r="2561" ht="18.75" customHeight="1">
      <c r="A2561" s="80" t="s">
        <v>404</v>
      </c>
      <c r="B2561" s="81" t="str">
        <f t="shared" si="1"/>
        <v>Kab Mesuji</v>
      </c>
      <c r="C2561" s="81" t="str">
        <f t="array" ref="C2561">xlookup(B2561,Reference!$A$2:$A$152,Reference!$B$2:$B$152)</f>
        <v>Lampung</v>
      </c>
      <c r="D2561" s="82" t="s">
        <v>3000</v>
      </c>
      <c r="E2561" s="83">
        <v>45352.0</v>
      </c>
      <c r="F2561" s="91" t="str">
        <f t="array" ref="F2561">XLOOKUP(G2561,Reference!$F:$F,Reference!$D:$D,"null")</f>
        <v>Rumah Tangga</v>
      </c>
      <c r="G2561" s="85" t="s">
        <v>84</v>
      </c>
      <c r="H2561" s="86">
        <v>106.86</v>
      </c>
      <c r="I2561" s="86">
        <v>106.86</v>
      </c>
      <c r="J2561" s="87">
        <f t="shared" si="2"/>
        <v>0</v>
      </c>
      <c r="K2561" s="84" t="str">
        <f t="shared" si="3"/>
        <v>Stabil</v>
      </c>
      <c r="L2561" s="84">
        <f t="shared" si="4"/>
        <v>0</v>
      </c>
      <c r="M2561" s="88" t="str">
        <f t="shared" si="5"/>
        <v>Perubahan Normal</v>
      </c>
    </row>
    <row r="2562" ht="18.75" customHeight="1">
      <c r="A2562" s="80" t="s">
        <v>734</v>
      </c>
      <c r="B2562" s="81" t="str">
        <f t="shared" si="1"/>
        <v>Kota Tegal</v>
      </c>
      <c r="C2562" s="81" t="str">
        <f t="array" ref="C2562">xlookup(B2562,Reference!$A$2:$A$152,Reference!$B$2:$B$152)</f>
        <v>Jawa Tengah</v>
      </c>
      <c r="D2562" s="82" t="s">
        <v>3001</v>
      </c>
      <c r="E2562" s="83">
        <v>45352.0</v>
      </c>
      <c r="F2562" s="91" t="str">
        <f t="array" ref="F2562">XLOOKUP(G2562,Reference!$F:$F,Reference!$D:$D,"null")</f>
        <v>Makanan dan Pakaian </v>
      </c>
      <c r="G2562" s="85" t="s">
        <v>56</v>
      </c>
      <c r="H2562" s="86">
        <v>108.54</v>
      </c>
      <c r="I2562" s="86">
        <v>108.16</v>
      </c>
      <c r="J2562" s="87">
        <f t="shared" si="2"/>
        <v>0.3513313609</v>
      </c>
      <c r="K2562" s="84" t="str">
        <f t="shared" si="3"/>
        <v>Inflasi Normal</v>
      </c>
      <c r="L2562" s="84">
        <f t="shared" si="4"/>
        <v>0.38</v>
      </c>
      <c r="M2562" s="88" t="str">
        <f t="shared" si="5"/>
        <v>Perubahan Normal</v>
      </c>
    </row>
    <row r="2563" ht="18.75" customHeight="1">
      <c r="A2563" s="80" t="s">
        <v>318</v>
      </c>
      <c r="B2563" s="81" t="str">
        <f t="shared" si="1"/>
        <v>Tanjung</v>
      </c>
      <c r="C2563" s="81" t="str">
        <f t="array" ref="C2563">xlookup(B2563,Reference!$A$2:$A$152,Reference!$B$2:$B$152)</f>
        <v>Kalimantan Selatan</v>
      </c>
      <c r="D2563" s="82" t="s">
        <v>3002</v>
      </c>
      <c r="E2563" s="83">
        <v>45352.0</v>
      </c>
      <c r="F2563" s="91" t="str">
        <f t="array" ref="F2563">XLOOKUP(G2563,Reference!$F:$F,Reference!$D:$D,"null")</f>
        <v>Rekreasi dan Kendaraan</v>
      </c>
      <c r="G2563" s="85" t="s">
        <v>105</v>
      </c>
      <c r="H2563" s="86">
        <v>100.79</v>
      </c>
      <c r="I2563" s="86">
        <v>100.75</v>
      </c>
      <c r="J2563" s="87">
        <f t="shared" si="2"/>
        <v>0.03970223325</v>
      </c>
      <c r="K2563" s="84" t="str">
        <f t="shared" si="3"/>
        <v>Inflasi Normal</v>
      </c>
      <c r="L2563" s="84">
        <f t="shared" si="4"/>
        <v>0.04</v>
      </c>
      <c r="M2563" s="88" t="str">
        <f t="shared" si="5"/>
        <v>Perubahan Normal</v>
      </c>
    </row>
    <row r="2564" ht="18.75" customHeight="1">
      <c r="A2564" s="80" t="s">
        <v>406</v>
      </c>
      <c r="B2564" s="81" t="str">
        <f t="shared" si="1"/>
        <v>Kota Tasikmalaya</v>
      </c>
      <c r="C2564" s="81" t="str">
        <f t="array" ref="C2564">xlookup(B2564,Reference!$A$2:$A$152,Reference!$B$2:$B$152)</f>
        <v>Jawa Barat</v>
      </c>
      <c r="D2564" s="82" t="s">
        <v>3003</v>
      </c>
      <c r="E2564" s="83">
        <v>45352.0</v>
      </c>
      <c r="F2564" s="91" t="str">
        <f t="array" ref="F2564">XLOOKUP(G2564,Reference!$F:$F,Reference!$D:$D,"null")</f>
        <v>Makanan dan Pakaian </v>
      </c>
      <c r="G2564" s="85" t="s">
        <v>56</v>
      </c>
      <c r="H2564" s="86">
        <v>106.53</v>
      </c>
      <c r="I2564" s="86">
        <v>106.39</v>
      </c>
      <c r="J2564" s="87">
        <f t="shared" si="2"/>
        <v>0.131591315</v>
      </c>
      <c r="K2564" s="84" t="str">
        <f t="shared" si="3"/>
        <v>Inflasi Normal</v>
      </c>
      <c r="L2564" s="84">
        <f t="shared" si="4"/>
        <v>0.14</v>
      </c>
      <c r="M2564" s="88" t="str">
        <f t="shared" si="5"/>
        <v>Perubahan Normal</v>
      </c>
    </row>
    <row r="2565" ht="18.75" customHeight="1">
      <c r="A2565" s="80" t="s">
        <v>517</v>
      </c>
      <c r="B2565" s="81" t="str">
        <f t="shared" si="1"/>
        <v>Kota Kupang</v>
      </c>
      <c r="C2565" s="81" t="str">
        <f t="array" ref="C2565">xlookup(B2565,Reference!$A$2:$A$152,Reference!$B$2:$B$152)</f>
        <v>Nusa Tenggara Timur (NTT)</v>
      </c>
      <c r="D2565" s="82" t="s">
        <v>3004</v>
      </c>
      <c r="E2565" s="83">
        <v>45352.0</v>
      </c>
      <c r="F2565" s="91" t="str">
        <f t="array" ref="F2565">XLOOKUP(G2565,Reference!$F:$F,Reference!$D:$D,"null")</f>
        <v>Rumah Tangga</v>
      </c>
      <c r="G2565" s="85" t="s">
        <v>80</v>
      </c>
      <c r="H2565" s="86">
        <v>108.79</v>
      </c>
      <c r="I2565" s="86">
        <v>108.79</v>
      </c>
      <c r="J2565" s="87">
        <f t="shared" si="2"/>
        <v>0</v>
      </c>
      <c r="K2565" s="84" t="str">
        <f t="shared" si="3"/>
        <v>Stabil</v>
      </c>
      <c r="L2565" s="84">
        <f t="shared" si="4"/>
        <v>0</v>
      </c>
      <c r="M2565" s="88" t="str">
        <f t="shared" si="5"/>
        <v>Perubahan Normal</v>
      </c>
    </row>
    <row r="2566" ht="18.75" customHeight="1">
      <c r="A2566" s="80" t="s">
        <v>731</v>
      </c>
      <c r="B2566" s="81" t="str">
        <f t="shared" si="1"/>
        <v>Kab Hulu Sungai Tengah</v>
      </c>
      <c r="C2566" s="81" t="str">
        <f t="array" ref="C2566">xlookup(B2566,Reference!$A$2:$A$152,Reference!$B$2:$B$152)</f>
        <v>Kalimantan Selatan</v>
      </c>
      <c r="D2566" s="82" t="s">
        <v>3005</v>
      </c>
      <c r="E2566" s="83">
        <v>45323.0</v>
      </c>
      <c r="F2566" s="91" t="str">
        <f t="array" ref="F2566">XLOOKUP(G2566,Reference!$F:$F,Reference!$D:$D,"null")</f>
        <v>Rumah Tangga</v>
      </c>
      <c r="G2566" s="85" t="s">
        <v>80</v>
      </c>
      <c r="H2566" s="86">
        <v>100.62</v>
      </c>
      <c r="I2566" s="86">
        <v>100.62</v>
      </c>
      <c r="J2566" s="87">
        <f t="shared" si="2"/>
        <v>0</v>
      </c>
      <c r="K2566" s="84" t="str">
        <f t="shared" si="3"/>
        <v>Stabil</v>
      </c>
      <c r="L2566" s="84">
        <f t="shared" si="4"/>
        <v>0</v>
      </c>
      <c r="M2566" s="88" t="str">
        <f t="shared" si="5"/>
        <v>Perubahan Normal</v>
      </c>
    </row>
    <row r="2567" ht="18.75" customHeight="1">
      <c r="A2567" s="80" t="s">
        <v>387</v>
      </c>
      <c r="B2567" s="81" t="str">
        <f t="shared" si="1"/>
        <v>Kota Semarang</v>
      </c>
      <c r="C2567" s="81" t="str">
        <f t="array" ref="C2567">xlookup(B2567,Reference!$A$2:$A$152,Reference!$B$2:$B$152)</f>
        <v>Jawa Tengah</v>
      </c>
      <c r="D2567" s="82" t="s">
        <v>3006</v>
      </c>
      <c r="E2567" s="83">
        <v>45323.0</v>
      </c>
      <c r="F2567" s="91" t="str">
        <f t="array" ref="F2567">XLOOKUP(G2567,Reference!$F:$F,Reference!$D:$D,"null")</f>
        <v>Makanan dan Pakaian </v>
      </c>
      <c r="G2567" s="85" t="s">
        <v>56</v>
      </c>
      <c r="H2567" s="86">
        <v>105.86</v>
      </c>
      <c r="I2567" s="86">
        <v>106.11</v>
      </c>
      <c r="J2567" s="87">
        <f t="shared" si="2"/>
        <v>-0.2356045613</v>
      </c>
      <c r="K2567" s="84" t="str">
        <f t="shared" si="3"/>
        <v>Deflasi</v>
      </c>
      <c r="L2567" s="84">
        <f t="shared" si="4"/>
        <v>-0.25</v>
      </c>
      <c r="M2567" s="88" t="str">
        <f t="shared" si="5"/>
        <v>Perubahan Normal</v>
      </c>
    </row>
    <row r="2568" ht="18.75" customHeight="1">
      <c r="A2568" s="80" t="s">
        <v>306</v>
      </c>
      <c r="B2568" s="81" t="str">
        <f t="shared" si="1"/>
        <v>Kota Padang</v>
      </c>
      <c r="C2568" s="81" t="str">
        <f t="array" ref="C2568">xlookup(B2568,Reference!$A$2:$A$152,Reference!$B$2:$B$152)</f>
        <v>Sumatera Barat</v>
      </c>
      <c r="D2568" s="82" t="s">
        <v>3007</v>
      </c>
      <c r="E2568" s="83">
        <v>45352.0</v>
      </c>
      <c r="F2568" s="91" t="str">
        <f t="array" ref="F2568">XLOOKUP(G2568,Reference!$F:$F,Reference!$D:$D,"null")</f>
        <v>Makanan dan Pakaian </v>
      </c>
      <c r="G2568" s="85" t="s">
        <v>72</v>
      </c>
      <c r="H2568" s="86">
        <v>101.91</v>
      </c>
      <c r="I2568" s="86">
        <v>101.91</v>
      </c>
      <c r="J2568" s="87">
        <f t="shared" si="2"/>
        <v>0</v>
      </c>
      <c r="K2568" s="84" t="str">
        <f t="shared" si="3"/>
        <v>Stabil</v>
      </c>
      <c r="L2568" s="84">
        <f t="shared" si="4"/>
        <v>0</v>
      </c>
      <c r="M2568" s="88" t="str">
        <f t="shared" si="5"/>
        <v>Perubahan Normal</v>
      </c>
    </row>
    <row r="2569" ht="18.75" customHeight="1">
      <c r="A2569" s="80" t="s">
        <v>517</v>
      </c>
      <c r="B2569" s="81" t="str">
        <f t="shared" si="1"/>
        <v>Kota Kupang</v>
      </c>
      <c r="C2569" s="81" t="str">
        <f t="array" ref="C2569">xlookup(B2569,Reference!$A$2:$A$152,Reference!$B$2:$B$152)</f>
        <v>Nusa Tenggara Timur (NTT)</v>
      </c>
      <c r="D2569" s="82" t="s">
        <v>3008</v>
      </c>
      <c r="E2569" s="83">
        <v>45323.0</v>
      </c>
      <c r="F2569" s="91" t="str">
        <f t="array" ref="F2569">XLOOKUP(G2569,Reference!$F:$F,Reference!$D:$D,"null")</f>
        <v>Makanan dan Pakaian </v>
      </c>
      <c r="G2569" s="89" t="s">
        <v>48</v>
      </c>
      <c r="H2569" s="90">
        <v>107.97</v>
      </c>
      <c r="I2569" s="90">
        <v>107.0</v>
      </c>
      <c r="J2569" s="87">
        <f t="shared" si="2"/>
        <v>0.9065420561</v>
      </c>
      <c r="K2569" s="84" t="str">
        <f t="shared" si="3"/>
        <v>Inflasi Tinggi</v>
      </c>
      <c r="L2569" s="91">
        <f t="shared" si="4"/>
        <v>0.97</v>
      </c>
      <c r="M2569" s="88" t="str">
        <f t="shared" si="5"/>
        <v>Akselerasi Persentase</v>
      </c>
    </row>
    <row r="2570" ht="18.75" customHeight="1">
      <c r="A2570" s="80" t="s">
        <v>456</v>
      </c>
      <c r="B2570" s="81" t="str">
        <f t="shared" si="1"/>
        <v>Kab Aceh Tamiang</v>
      </c>
      <c r="C2570" s="81" t="str">
        <f t="array" ref="C2570">xlookup(B2570,Reference!$A$2:$A$152,Reference!$B$2:$B$152)</f>
        <v>Aceh</v>
      </c>
      <c r="D2570" s="82" t="s">
        <v>3009</v>
      </c>
      <c r="E2570" s="83">
        <v>45352.0</v>
      </c>
      <c r="F2570" s="91" t="str">
        <f t="array" ref="F2570">XLOOKUP(G2570,Reference!$F:$F,Reference!$D:$D,"null")</f>
        <v>Rekreasi dan Kendaraan</v>
      </c>
      <c r="G2570" s="85" t="s">
        <v>105</v>
      </c>
      <c r="H2570" s="86">
        <v>104.77</v>
      </c>
      <c r="I2570" s="86">
        <v>104.38</v>
      </c>
      <c r="J2570" s="87">
        <f t="shared" si="2"/>
        <v>0.3736347959</v>
      </c>
      <c r="K2570" s="84" t="str">
        <f t="shared" si="3"/>
        <v>Inflasi Normal</v>
      </c>
      <c r="L2570" s="84">
        <f t="shared" si="4"/>
        <v>0.39</v>
      </c>
      <c r="M2570" s="88" t="str">
        <f t="shared" si="5"/>
        <v>Perubahan Normal</v>
      </c>
    </row>
    <row r="2571" ht="18.75" customHeight="1">
      <c r="A2571" s="80" t="s">
        <v>353</v>
      </c>
      <c r="B2571" s="81" t="str">
        <f t="shared" si="1"/>
        <v>Kota Bau Bau</v>
      </c>
      <c r="C2571" s="81" t="str">
        <f t="array" ref="C2571">xlookup(B2571,Reference!$A$2:$A$152,Reference!$B$2:$B$152)</f>
        <v>Sulawesi Tenggara</v>
      </c>
      <c r="D2571" s="82" t="s">
        <v>3010</v>
      </c>
      <c r="E2571" s="83">
        <v>45352.0</v>
      </c>
      <c r="F2571" s="91" t="str">
        <f t="array" ref="F2571">XLOOKUP(G2571,Reference!$F:$F,Reference!$D:$D,"null")</f>
        <v>Makanan dan Pakaian </v>
      </c>
      <c r="G2571" s="85" t="s">
        <v>72</v>
      </c>
      <c r="H2571" s="86">
        <v>103.22</v>
      </c>
      <c r="I2571" s="86">
        <v>101.73</v>
      </c>
      <c r="J2571" s="87">
        <f t="shared" si="2"/>
        <v>1.464661358</v>
      </c>
      <c r="K2571" s="84" t="str">
        <f t="shared" si="3"/>
        <v>Inflasi Tinggi</v>
      </c>
      <c r="L2571" s="84">
        <f t="shared" si="4"/>
        <v>1.49</v>
      </c>
      <c r="M2571" s="88" t="str">
        <f t="shared" si="5"/>
        <v>Akselerasi Persentase</v>
      </c>
    </row>
    <row r="2572" ht="18.75" customHeight="1">
      <c r="A2572" s="80" t="s">
        <v>642</v>
      </c>
      <c r="B2572" s="81" t="str">
        <f t="shared" si="1"/>
        <v>Kota Bandar Lampung</v>
      </c>
      <c r="C2572" s="81" t="str">
        <f t="array" ref="C2572">xlookup(B2572,Reference!$A$2:$A$152,Reference!$B$2:$B$152)</f>
        <v>Lampung</v>
      </c>
      <c r="D2572" s="82" t="s">
        <v>3011</v>
      </c>
      <c r="E2572" s="83">
        <v>45352.0</v>
      </c>
      <c r="F2572" s="91" t="str">
        <f t="array" ref="F2572">XLOOKUP(G2572,Reference!$F:$F,Reference!$D:$D,"null")</f>
        <v>Pendidikan dan Kesehatan</v>
      </c>
      <c r="G2572" s="85" t="s">
        <v>95</v>
      </c>
      <c r="H2572" s="86">
        <v>109.8</v>
      </c>
      <c r="I2572" s="86">
        <v>109.8</v>
      </c>
      <c r="J2572" s="87">
        <f t="shared" si="2"/>
        <v>0</v>
      </c>
      <c r="K2572" s="84" t="str">
        <f t="shared" si="3"/>
        <v>Stabil</v>
      </c>
      <c r="L2572" s="84">
        <f t="shared" si="4"/>
        <v>0</v>
      </c>
      <c r="M2572" s="88" t="str">
        <f t="shared" si="5"/>
        <v>Perubahan Normal</v>
      </c>
    </row>
    <row r="2573" ht="18.75" customHeight="1">
      <c r="A2573" s="80" t="s">
        <v>600</v>
      </c>
      <c r="B2573" s="81" t="str">
        <f t="shared" si="1"/>
        <v>Kota Banda Aceh</v>
      </c>
      <c r="C2573" s="81" t="str">
        <f t="array" ref="C2573">xlookup(B2573,Reference!$A$2:$A$152,Reference!$B$2:$B$152)</f>
        <v>Aceh</v>
      </c>
      <c r="D2573" s="82" t="s">
        <v>3012</v>
      </c>
      <c r="E2573" s="83">
        <v>45323.0</v>
      </c>
      <c r="F2573" s="91" t="str">
        <f t="array" ref="F2573">XLOOKUP(G2573,Reference!$F:$F,Reference!$D:$D,"null")</f>
        <v>Makanan dan Pakaian </v>
      </c>
      <c r="G2573" s="85" t="s">
        <v>64</v>
      </c>
      <c r="H2573" s="86">
        <v>102.02</v>
      </c>
      <c r="I2573" s="86">
        <v>99.9</v>
      </c>
      <c r="J2573" s="87">
        <f t="shared" si="2"/>
        <v>2.122122122</v>
      </c>
      <c r="K2573" s="84" t="str">
        <f t="shared" si="3"/>
        <v>Inflasi Tinggi</v>
      </c>
      <c r="L2573" s="84">
        <f t="shared" si="4"/>
        <v>2.12</v>
      </c>
      <c r="M2573" s="88" t="str">
        <f t="shared" si="5"/>
        <v>Akselerasi Kuat</v>
      </c>
    </row>
    <row r="2574" ht="18.75" customHeight="1">
      <c r="A2574" s="80" t="s">
        <v>965</v>
      </c>
      <c r="B2574" s="81" t="str">
        <f t="shared" si="1"/>
        <v>Kab Konawe</v>
      </c>
      <c r="C2574" s="81" t="str">
        <f t="array" ref="C2574">xlookup(B2574,Reference!$A$2:$A$152,Reference!$B$2:$B$152)</f>
        <v>Sulawesi Tenggara</v>
      </c>
      <c r="D2574" s="82" t="s">
        <v>3013</v>
      </c>
      <c r="E2574" s="83">
        <v>45323.0</v>
      </c>
      <c r="F2574" s="91" t="str">
        <f t="array" ref="F2574">XLOOKUP(G2574,Reference!$F:$F,Reference!$D:$D,"null")</f>
        <v>Makanan dan Pakaian </v>
      </c>
      <c r="G2574" s="89" t="s">
        <v>48</v>
      </c>
      <c r="H2574" s="90">
        <v>109.53</v>
      </c>
      <c r="I2574" s="90">
        <v>108.07</v>
      </c>
      <c r="J2574" s="87">
        <f t="shared" si="2"/>
        <v>1.350976219</v>
      </c>
      <c r="K2574" s="84" t="str">
        <f t="shared" si="3"/>
        <v>Inflasi Tinggi</v>
      </c>
      <c r="L2574" s="91">
        <f t="shared" si="4"/>
        <v>1.46</v>
      </c>
      <c r="M2574" s="88" t="str">
        <f t="shared" si="5"/>
        <v>Akselerasi Persentase</v>
      </c>
    </row>
    <row r="2575" ht="18.75" customHeight="1">
      <c r="A2575" s="80" t="s">
        <v>346</v>
      </c>
      <c r="B2575" s="81" t="str">
        <f t="shared" si="1"/>
        <v>Kab Timor Tengah Selatan</v>
      </c>
      <c r="C2575" s="81" t="str">
        <f t="array" ref="C2575">xlookup(B2575,Reference!$A$2:$A$152,Reference!$B$2:$B$152)</f>
        <v>Nusa Tenggara Timur (NTT)</v>
      </c>
      <c r="D2575" s="82" t="s">
        <v>3014</v>
      </c>
      <c r="E2575" s="83">
        <v>45323.0</v>
      </c>
      <c r="F2575" s="91" t="str">
        <f t="array" ref="F2575">XLOOKUP(G2575,Reference!$F:$F,Reference!$D:$D,"null")</f>
        <v>Rumah Tangga</v>
      </c>
      <c r="G2575" s="85" t="s">
        <v>84</v>
      </c>
      <c r="H2575" s="86">
        <v>99.2</v>
      </c>
      <c r="I2575" s="86">
        <v>99.2</v>
      </c>
      <c r="J2575" s="87">
        <f t="shared" si="2"/>
        <v>0</v>
      </c>
      <c r="K2575" s="84" t="str">
        <f t="shared" si="3"/>
        <v>Stabil</v>
      </c>
      <c r="L2575" s="84">
        <f t="shared" si="4"/>
        <v>0</v>
      </c>
      <c r="M2575" s="88" t="str">
        <f t="shared" si="5"/>
        <v>Perubahan Normal</v>
      </c>
    </row>
    <row r="2576" ht="18.75" customHeight="1">
      <c r="A2576" s="80" t="s">
        <v>920</v>
      </c>
      <c r="B2576" s="81" t="str">
        <f t="shared" si="1"/>
        <v>Kab Deli Serdang</v>
      </c>
      <c r="C2576" s="81" t="str">
        <f t="array" ref="C2576">xlookup(B2576,Reference!$A$2:$A$152,Reference!$B$2:$B$152)</f>
        <v>Sumatera Utara</v>
      </c>
      <c r="D2576" s="82" t="s">
        <v>3015</v>
      </c>
      <c r="E2576" s="83">
        <v>45352.0</v>
      </c>
      <c r="F2576" s="91" t="str">
        <f t="array" ref="F2576">XLOOKUP(G2576,Reference!$F:$F,Reference!$D:$D,"null")</f>
        <v>Rekreasi dan Kendaraan</v>
      </c>
      <c r="G2576" s="85" t="s">
        <v>105</v>
      </c>
      <c r="H2576" s="86">
        <v>100.0</v>
      </c>
      <c r="I2576" s="86">
        <v>100.0</v>
      </c>
      <c r="J2576" s="87">
        <f t="shared" si="2"/>
        <v>0</v>
      </c>
      <c r="K2576" s="84" t="str">
        <f t="shared" si="3"/>
        <v>Stabil</v>
      </c>
      <c r="L2576" s="84">
        <f t="shared" si="4"/>
        <v>0</v>
      </c>
      <c r="M2576" s="88" t="str">
        <f t="shared" si="5"/>
        <v>Perubahan Normal</v>
      </c>
    </row>
    <row r="2577" ht="18.75" customHeight="1">
      <c r="A2577" s="80" t="s">
        <v>483</v>
      </c>
      <c r="B2577" s="81" t="str">
        <f t="shared" si="1"/>
        <v>Kota Padangsidimpuan</v>
      </c>
      <c r="C2577" s="81" t="str">
        <f t="array" ref="C2577">xlookup(B2577,Reference!$A$2:$A$152,Reference!$B$2:$B$152)</f>
        <v>Sumatera Utara</v>
      </c>
      <c r="D2577" s="82" t="s">
        <v>3016</v>
      </c>
      <c r="E2577" s="83">
        <v>45352.0</v>
      </c>
      <c r="F2577" s="91" t="str">
        <f t="array" ref="F2577">XLOOKUP(G2577,Reference!$F:$F,Reference!$D:$D,"null")</f>
        <v>Pendidikan dan Kesehatan</v>
      </c>
      <c r="G2577" s="85" t="s">
        <v>95</v>
      </c>
      <c r="H2577" s="86">
        <v>101.74</v>
      </c>
      <c r="I2577" s="86">
        <v>101.74</v>
      </c>
      <c r="J2577" s="87">
        <f t="shared" si="2"/>
        <v>0</v>
      </c>
      <c r="K2577" s="84" t="str">
        <f t="shared" si="3"/>
        <v>Stabil</v>
      </c>
      <c r="L2577" s="84">
        <f t="shared" si="4"/>
        <v>0</v>
      </c>
      <c r="M2577" s="88" t="str">
        <f t="shared" si="5"/>
        <v>Perubahan Normal</v>
      </c>
    </row>
    <row r="2578" ht="18.75" customHeight="1">
      <c r="A2578" s="80" t="s">
        <v>429</v>
      </c>
      <c r="B2578" s="81" t="str">
        <f t="shared" si="1"/>
        <v>Kab Nabire</v>
      </c>
      <c r="C2578" s="81" t="str">
        <f t="array" ref="C2578">xlookup(B2578,Reference!$A$2:$A$152,Reference!$B$2:$B$152)</f>
        <v>Papua</v>
      </c>
      <c r="D2578" s="82" t="s">
        <v>3017</v>
      </c>
      <c r="E2578" s="83">
        <v>45352.0</v>
      </c>
      <c r="F2578" s="91" t="str">
        <f t="array" ref="F2578">XLOOKUP(G2578,Reference!$F:$F,Reference!$D:$D,"null")</f>
        <v>Makanan dan Pakaian </v>
      </c>
      <c r="G2578" s="85" t="s">
        <v>64</v>
      </c>
      <c r="H2578" s="86">
        <v>99.79</v>
      </c>
      <c r="I2578" s="86">
        <v>99.79</v>
      </c>
      <c r="J2578" s="87">
        <f t="shared" si="2"/>
        <v>0</v>
      </c>
      <c r="K2578" s="84" t="str">
        <f t="shared" si="3"/>
        <v>Stabil</v>
      </c>
      <c r="L2578" s="84">
        <f t="shared" si="4"/>
        <v>0</v>
      </c>
      <c r="M2578" s="88" t="str">
        <f t="shared" si="5"/>
        <v>Perubahan Normal</v>
      </c>
    </row>
    <row r="2579" ht="18.75" customHeight="1">
      <c r="A2579" s="80" t="s">
        <v>680</v>
      </c>
      <c r="B2579" s="81" t="str">
        <f t="shared" si="1"/>
        <v>Kota Pekanbaru</v>
      </c>
      <c r="C2579" s="81" t="str">
        <f t="array" ref="C2579">xlookup(B2579,Reference!$A$2:$A$152,Reference!$B$2:$B$152)</f>
        <v>Riau</v>
      </c>
      <c r="D2579" s="82" t="s">
        <v>3018</v>
      </c>
      <c r="E2579" s="83">
        <v>45352.0</v>
      </c>
      <c r="F2579" s="91" t="str">
        <f t="array" ref="F2579">XLOOKUP(G2579,Reference!$F:$F,Reference!$D:$D,"null")</f>
        <v>Rekreasi dan Kendaraan</v>
      </c>
      <c r="G2579" s="85" t="s">
        <v>105</v>
      </c>
      <c r="H2579" s="86">
        <v>109.04</v>
      </c>
      <c r="I2579" s="86">
        <v>108.33</v>
      </c>
      <c r="J2579" s="87">
        <f t="shared" si="2"/>
        <v>0.6554047817</v>
      </c>
      <c r="K2579" s="84" t="str">
        <f t="shared" si="3"/>
        <v>Inflasi Tinggi</v>
      </c>
      <c r="L2579" s="84">
        <f t="shared" si="4"/>
        <v>0.71</v>
      </c>
      <c r="M2579" s="88" t="str">
        <f t="shared" si="5"/>
        <v>Akselerasi Persentase</v>
      </c>
    </row>
    <row r="2580" ht="18.75" customHeight="1">
      <c r="A2580" s="80" t="s">
        <v>454</v>
      </c>
      <c r="B2580" s="81" t="str">
        <f t="shared" si="1"/>
        <v>Kab Ketapang</v>
      </c>
      <c r="C2580" s="81" t="str">
        <f t="array" ref="C2580">xlookup(B2580,Reference!$A$2:$A$152,Reference!$B$2:$B$152)</f>
        <v>Kalimantan Barat</v>
      </c>
      <c r="D2580" s="82" t="s">
        <v>3019</v>
      </c>
      <c r="E2580" s="83">
        <v>45323.0</v>
      </c>
      <c r="F2580" s="91" t="str">
        <f t="array" ref="F2580">XLOOKUP(G2580,Reference!$F:$F,Reference!$D:$D,"null")</f>
        <v>Makanan dan Pakaian </v>
      </c>
      <c r="G2580" s="85" t="s">
        <v>56</v>
      </c>
      <c r="H2580" s="86">
        <v>109.53</v>
      </c>
      <c r="I2580" s="86">
        <v>109.07</v>
      </c>
      <c r="J2580" s="87">
        <f t="shared" si="2"/>
        <v>0.4217475016</v>
      </c>
      <c r="K2580" s="84" t="str">
        <f t="shared" si="3"/>
        <v>Inflasi Normal</v>
      </c>
      <c r="L2580" s="84">
        <f t="shared" si="4"/>
        <v>0.46</v>
      </c>
      <c r="M2580" s="88" t="str">
        <f t="shared" si="5"/>
        <v>Perubahan Normal</v>
      </c>
    </row>
    <row r="2581" ht="18.75" customHeight="1">
      <c r="A2581" s="80" t="s">
        <v>699</v>
      </c>
      <c r="B2581" s="81" t="str">
        <f t="shared" si="1"/>
        <v>Mamuju</v>
      </c>
      <c r="C2581" s="81" t="str">
        <f t="array" ref="C2581">xlookup(B2581,Reference!$A$2:$A$152,Reference!$B$2:$B$152)</f>
        <v>Sulawesi Barat</v>
      </c>
      <c r="D2581" s="82" t="s">
        <v>3020</v>
      </c>
      <c r="E2581" s="83">
        <v>45352.0</v>
      </c>
      <c r="F2581" s="91" t="str">
        <f t="array" ref="F2581">XLOOKUP(G2581,Reference!$F:$F,Reference!$D:$D,"null")</f>
        <v>Makanan dan Pakaian </v>
      </c>
      <c r="G2581" s="89" t="s">
        <v>72</v>
      </c>
      <c r="H2581" s="90">
        <v>102.58</v>
      </c>
      <c r="I2581" s="90">
        <v>102.09</v>
      </c>
      <c r="J2581" s="87">
        <f t="shared" si="2"/>
        <v>0.4799686551</v>
      </c>
      <c r="K2581" s="84" t="str">
        <f t="shared" si="3"/>
        <v>Inflasi Normal</v>
      </c>
      <c r="L2581" s="91">
        <f t="shared" si="4"/>
        <v>0.49</v>
      </c>
      <c r="M2581" s="88" t="str">
        <f t="shared" si="5"/>
        <v>Perubahan Normal</v>
      </c>
    </row>
    <row r="2582" ht="18.75" customHeight="1">
      <c r="A2582" s="80" t="s">
        <v>502</v>
      </c>
      <c r="B2582" s="81" t="str">
        <f t="shared" si="1"/>
        <v>Muara Bungo</v>
      </c>
      <c r="C2582" s="81" t="str">
        <f t="array" ref="C2582">xlookup(B2582,Reference!$A$2:$A$152,Reference!$B$2:$B$152)</f>
        <v>Jambi</v>
      </c>
      <c r="D2582" s="82" t="s">
        <v>3021</v>
      </c>
      <c r="E2582" s="83">
        <v>45323.0</v>
      </c>
      <c r="F2582" s="91" t="str">
        <f t="array" ref="F2582">XLOOKUP(G2582,Reference!$F:$F,Reference!$D:$D,"null")</f>
        <v>Makanan dan Pakaian </v>
      </c>
      <c r="G2582" s="85" t="s">
        <v>56</v>
      </c>
      <c r="H2582" s="86">
        <v>104.91</v>
      </c>
      <c r="I2582" s="86">
        <v>104.91</v>
      </c>
      <c r="J2582" s="87">
        <f t="shared" si="2"/>
        <v>0</v>
      </c>
      <c r="K2582" s="84" t="str">
        <f t="shared" si="3"/>
        <v>Stabil</v>
      </c>
      <c r="L2582" s="84">
        <f t="shared" si="4"/>
        <v>0</v>
      </c>
      <c r="M2582" s="88" t="str">
        <f t="shared" si="5"/>
        <v>Perubahan Normal</v>
      </c>
    </row>
    <row r="2583" ht="18.75" customHeight="1">
      <c r="A2583" s="80" t="s">
        <v>581</v>
      </c>
      <c r="B2583" s="81" t="str">
        <f t="shared" si="1"/>
        <v>Kab Dharmasraya</v>
      </c>
      <c r="C2583" s="81" t="str">
        <f t="array" ref="C2583">xlookup(B2583,Reference!$A$2:$A$152,Reference!$B$2:$B$152)</f>
        <v>Sumatera Barat</v>
      </c>
      <c r="D2583" s="82" t="s">
        <v>3022</v>
      </c>
      <c r="E2583" s="83">
        <v>45352.0</v>
      </c>
      <c r="F2583" s="91" t="str">
        <f t="array" ref="F2583">XLOOKUP(G2583,Reference!$F:$F,Reference!$D:$D,"null")</f>
        <v>Rumah Tangga</v>
      </c>
      <c r="G2583" s="85" t="s">
        <v>89</v>
      </c>
      <c r="H2583" s="86">
        <v>110.28</v>
      </c>
      <c r="I2583" s="86">
        <v>110.28</v>
      </c>
      <c r="J2583" s="87">
        <f t="shared" si="2"/>
        <v>0</v>
      </c>
      <c r="K2583" s="84" t="str">
        <f t="shared" si="3"/>
        <v>Stabil</v>
      </c>
      <c r="L2583" s="84">
        <f t="shared" si="4"/>
        <v>0</v>
      </c>
      <c r="M2583" s="88" t="str">
        <f t="shared" si="5"/>
        <v>Perubahan Normal</v>
      </c>
    </row>
    <row r="2584" ht="18.75" customHeight="1">
      <c r="A2584" s="80" t="s">
        <v>517</v>
      </c>
      <c r="B2584" s="81" t="str">
        <f t="shared" si="1"/>
        <v>Kota Kupang</v>
      </c>
      <c r="C2584" s="81" t="str">
        <f t="array" ref="C2584">xlookup(B2584,Reference!$A$2:$A$152,Reference!$B$2:$B$152)</f>
        <v>Nusa Tenggara Timur (NTT)</v>
      </c>
      <c r="D2584" s="82" t="s">
        <v>3023</v>
      </c>
      <c r="E2584" s="83">
        <v>45323.0</v>
      </c>
      <c r="F2584" s="91" t="str">
        <f t="array" ref="F2584">XLOOKUP(G2584,Reference!$F:$F,Reference!$D:$D,"null")</f>
        <v>Rekreasi dan Kendaraan</v>
      </c>
      <c r="G2584" s="85" t="s">
        <v>102</v>
      </c>
      <c r="H2584" s="86">
        <v>100.51</v>
      </c>
      <c r="I2584" s="86">
        <v>100.46</v>
      </c>
      <c r="J2584" s="87">
        <f t="shared" si="2"/>
        <v>0.04977105316</v>
      </c>
      <c r="K2584" s="84" t="str">
        <f t="shared" si="3"/>
        <v>Inflasi Normal</v>
      </c>
      <c r="L2584" s="84">
        <f t="shared" si="4"/>
        <v>0.05</v>
      </c>
      <c r="M2584" s="88" t="str">
        <f t="shared" si="5"/>
        <v>Perubahan Normal</v>
      </c>
    </row>
    <row r="2585" ht="18.75" customHeight="1">
      <c r="A2585" s="80" t="s">
        <v>699</v>
      </c>
      <c r="B2585" s="81" t="str">
        <f t="shared" si="1"/>
        <v>Mamuju</v>
      </c>
      <c r="C2585" s="81" t="str">
        <f t="array" ref="C2585">xlookup(B2585,Reference!$A$2:$A$152,Reference!$B$2:$B$152)</f>
        <v>Sulawesi Barat</v>
      </c>
      <c r="D2585" s="82" t="s">
        <v>3024</v>
      </c>
      <c r="E2585" s="83">
        <v>45323.0</v>
      </c>
      <c r="F2585" s="91" t="str">
        <f t="array" ref="F2585">XLOOKUP(G2585,Reference!$F:$F,Reference!$D:$D,"null")</f>
        <v>Makanan dan Pakaian </v>
      </c>
      <c r="G2585" s="85" t="s">
        <v>56</v>
      </c>
      <c r="H2585" s="86">
        <v>103.79</v>
      </c>
      <c r="I2585" s="86">
        <v>103.76</v>
      </c>
      <c r="J2585" s="87">
        <f t="shared" si="2"/>
        <v>0.02891287587</v>
      </c>
      <c r="K2585" s="84" t="str">
        <f t="shared" si="3"/>
        <v>Inflasi Normal</v>
      </c>
      <c r="L2585" s="84">
        <f t="shared" si="4"/>
        <v>0.03</v>
      </c>
      <c r="M2585" s="88" t="str">
        <f t="shared" si="5"/>
        <v>Perubahan Normal</v>
      </c>
    </row>
    <row r="2586" ht="18.75" customHeight="1">
      <c r="A2586" s="80" t="s">
        <v>393</v>
      </c>
      <c r="B2586" s="81" t="str">
        <f t="shared" si="1"/>
        <v>Kab Sumbawa</v>
      </c>
      <c r="C2586" s="81" t="str">
        <f t="array" ref="C2586">xlookup(B2586,Reference!$A$2:$A$152,Reference!$B$2:$B$152)</f>
        <v>Nusa Tenggara Barat (NTB)</v>
      </c>
      <c r="D2586" s="82" t="s">
        <v>3025</v>
      </c>
      <c r="E2586" s="83">
        <v>45352.0</v>
      </c>
      <c r="F2586" s="91" t="str">
        <f t="array" ref="F2586">XLOOKUP(G2586,Reference!$F:$F,Reference!$D:$D,"null")</f>
        <v>Rumah Tangga</v>
      </c>
      <c r="G2586" s="85" t="s">
        <v>84</v>
      </c>
      <c r="H2586" s="86">
        <v>99.53</v>
      </c>
      <c r="I2586" s="86">
        <v>98.12</v>
      </c>
      <c r="J2586" s="87">
        <f t="shared" si="2"/>
        <v>1.437015899</v>
      </c>
      <c r="K2586" s="84" t="str">
        <f t="shared" si="3"/>
        <v>Inflasi Tinggi</v>
      </c>
      <c r="L2586" s="84">
        <f t="shared" si="4"/>
        <v>1.41</v>
      </c>
      <c r="M2586" s="88" t="str">
        <f t="shared" si="5"/>
        <v>Akselerasi Persentase</v>
      </c>
    </row>
    <row r="2587" ht="18.75" customHeight="1">
      <c r="A2587" s="80" t="s">
        <v>841</v>
      </c>
      <c r="B2587" s="81" t="str">
        <f t="shared" si="1"/>
        <v>Kab Morowali</v>
      </c>
      <c r="C2587" s="81" t="str">
        <f t="array" ref="C2587">xlookup(B2587,Reference!$A$2:$A$152,Reference!$B$2:$B$152)</f>
        <v>Sulawesi Tengah</v>
      </c>
      <c r="D2587" s="82" t="s">
        <v>3026</v>
      </c>
      <c r="E2587" s="83">
        <v>45323.0</v>
      </c>
      <c r="F2587" s="91" t="str">
        <f t="array" ref="F2587">XLOOKUP(G2587,Reference!$F:$F,Reference!$D:$D,"null")</f>
        <v>Rekreasi dan Kendaraan</v>
      </c>
      <c r="G2587" s="85" t="s">
        <v>102</v>
      </c>
      <c r="H2587" s="86">
        <v>101.27</v>
      </c>
      <c r="I2587" s="86">
        <v>101.27</v>
      </c>
      <c r="J2587" s="87">
        <f t="shared" si="2"/>
        <v>0</v>
      </c>
      <c r="K2587" s="84" t="str">
        <f t="shared" si="3"/>
        <v>Stabil</v>
      </c>
      <c r="L2587" s="84">
        <f t="shared" si="4"/>
        <v>0</v>
      </c>
      <c r="M2587" s="88" t="str">
        <f t="shared" si="5"/>
        <v>Perubahan Normal</v>
      </c>
    </row>
    <row r="2588" ht="18.75" customHeight="1">
      <c r="A2588" s="80" t="s">
        <v>634</v>
      </c>
      <c r="B2588" s="81" t="str">
        <f t="shared" si="1"/>
        <v>Kota Depok</v>
      </c>
      <c r="C2588" s="81" t="str">
        <f t="array" ref="C2588">xlookup(B2588,Reference!$A$2:$A$152,Reference!$B$2:$B$152)</f>
        <v>Jawa Barat</v>
      </c>
      <c r="D2588" s="82" t="s">
        <v>3027</v>
      </c>
      <c r="E2588" s="83">
        <v>45352.0</v>
      </c>
      <c r="F2588" s="91" t="str">
        <f t="array" ref="F2588">XLOOKUP(G2588,Reference!$F:$F,Reference!$D:$D,"null")</f>
        <v>Rumah Tangga</v>
      </c>
      <c r="G2588" s="85" t="s">
        <v>80</v>
      </c>
      <c r="H2588" s="86">
        <v>104.89</v>
      </c>
      <c r="I2588" s="86">
        <v>104.89</v>
      </c>
      <c r="J2588" s="87">
        <f t="shared" si="2"/>
        <v>0</v>
      </c>
      <c r="K2588" s="84" t="str">
        <f t="shared" si="3"/>
        <v>Stabil</v>
      </c>
      <c r="L2588" s="84">
        <f t="shared" si="4"/>
        <v>0</v>
      </c>
      <c r="M2588" s="88" t="str">
        <f t="shared" si="5"/>
        <v>Perubahan Normal</v>
      </c>
    </row>
    <row r="2589" ht="18.75" customHeight="1">
      <c r="A2589" s="80" t="s">
        <v>592</v>
      </c>
      <c r="B2589" s="81" t="str">
        <f t="shared" si="1"/>
        <v>Kab Lampung Timur</v>
      </c>
      <c r="C2589" s="81" t="str">
        <f t="array" ref="C2589">xlookup(B2589,Reference!$A$2:$A$152,Reference!$B$2:$B$152)</f>
        <v>Lampung</v>
      </c>
      <c r="D2589" s="82" t="s">
        <v>3028</v>
      </c>
      <c r="E2589" s="83">
        <v>45352.0</v>
      </c>
      <c r="F2589" s="91" t="str">
        <f t="array" ref="F2589">XLOOKUP(G2589,Reference!$F:$F,Reference!$D:$D,"null")</f>
        <v>Rekreasi dan Kendaraan</v>
      </c>
      <c r="G2589" s="85" t="s">
        <v>105</v>
      </c>
      <c r="H2589" s="86">
        <v>109.04</v>
      </c>
      <c r="I2589" s="86">
        <v>109.04</v>
      </c>
      <c r="J2589" s="87">
        <f t="shared" si="2"/>
        <v>0</v>
      </c>
      <c r="K2589" s="84" t="str">
        <f t="shared" si="3"/>
        <v>Stabil</v>
      </c>
      <c r="L2589" s="84">
        <f t="shared" si="4"/>
        <v>0</v>
      </c>
      <c r="M2589" s="88" t="str">
        <f t="shared" si="5"/>
        <v>Perubahan Normal</v>
      </c>
    </row>
    <row r="2590" ht="18.75" customHeight="1">
      <c r="A2590" s="80" t="s">
        <v>445</v>
      </c>
      <c r="B2590" s="81" t="str">
        <f t="shared" si="1"/>
        <v>Kab Bangka Barat</v>
      </c>
      <c r="C2590" s="81" t="str">
        <f t="array" ref="C2590">xlookup(B2590,Reference!$A$2:$A$152,Reference!$B$2:$B$152)</f>
        <v>Kepulauan Bangka Belitung</v>
      </c>
      <c r="D2590" s="82" t="s">
        <v>3029</v>
      </c>
      <c r="E2590" s="83">
        <v>45323.0</v>
      </c>
      <c r="F2590" s="91" t="str">
        <f t="array" ref="F2590">XLOOKUP(G2590,Reference!$F:$F,Reference!$D:$D,"null")</f>
        <v>Makanan dan Pakaian </v>
      </c>
      <c r="G2590" s="85" t="s">
        <v>72</v>
      </c>
      <c r="H2590" s="86">
        <v>106.88</v>
      </c>
      <c r="I2590" s="86">
        <v>106.88</v>
      </c>
      <c r="J2590" s="87">
        <f t="shared" si="2"/>
        <v>0</v>
      </c>
      <c r="K2590" s="84" t="str">
        <f t="shared" si="3"/>
        <v>Stabil</v>
      </c>
      <c r="L2590" s="84">
        <f t="shared" si="4"/>
        <v>0</v>
      </c>
      <c r="M2590" s="88" t="str">
        <f t="shared" si="5"/>
        <v>Perubahan Normal</v>
      </c>
    </row>
    <row r="2591" ht="18.75" customHeight="1">
      <c r="A2591" s="80" t="s">
        <v>573</v>
      </c>
      <c r="B2591" s="81" t="str">
        <f t="shared" si="1"/>
        <v>Kota Palangkaraya</v>
      </c>
      <c r="C2591" s="81" t="str">
        <f t="array" ref="C2591">xlookup(B2591,Reference!$A$2:$A$152,Reference!$B$2:$B$152)</f>
        <v>Kalimantan Tengah</v>
      </c>
      <c r="D2591" s="82" t="s">
        <v>3030</v>
      </c>
      <c r="E2591" s="83">
        <v>45352.0</v>
      </c>
      <c r="F2591" s="91" t="str">
        <f t="array" ref="F2591">XLOOKUP(G2591,Reference!$F:$F,Reference!$D:$D,"null")</f>
        <v>Rekreasi dan Kendaraan</v>
      </c>
      <c r="G2591" s="85" t="s">
        <v>102</v>
      </c>
      <c r="H2591" s="86">
        <v>103.05</v>
      </c>
      <c r="I2591" s="86">
        <v>103.02</v>
      </c>
      <c r="J2591" s="87">
        <f t="shared" si="2"/>
        <v>0.02912055911</v>
      </c>
      <c r="K2591" s="84" t="str">
        <f t="shared" si="3"/>
        <v>Inflasi Normal</v>
      </c>
      <c r="L2591" s="84">
        <f t="shared" si="4"/>
        <v>0.03</v>
      </c>
      <c r="M2591" s="88" t="str">
        <f t="shared" si="5"/>
        <v>Perubahan Normal</v>
      </c>
    </row>
    <row r="2592" ht="18.75" customHeight="1">
      <c r="A2592" s="80" t="s">
        <v>600</v>
      </c>
      <c r="B2592" s="81" t="str">
        <f t="shared" si="1"/>
        <v>Kota Banda Aceh</v>
      </c>
      <c r="C2592" s="81" t="str">
        <f t="array" ref="C2592">xlookup(B2592,Reference!$A$2:$A$152,Reference!$B$2:$B$152)</f>
        <v>Aceh</v>
      </c>
      <c r="D2592" s="82" t="s">
        <v>3031</v>
      </c>
      <c r="E2592" s="83">
        <v>45323.0</v>
      </c>
      <c r="F2592" s="91" t="str">
        <f t="array" ref="F2592">XLOOKUP(G2592,Reference!$F:$F,Reference!$D:$D,"null")</f>
        <v>Rumah Tangga</v>
      </c>
      <c r="G2592" s="85" t="s">
        <v>80</v>
      </c>
      <c r="H2592" s="86">
        <v>101.16</v>
      </c>
      <c r="I2592" s="86">
        <v>101.16</v>
      </c>
      <c r="J2592" s="87">
        <f t="shared" si="2"/>
        <v>0</v>
      </c>
      <c r="K2592" s="84" t="str">
        <f t="shared" si="3"/>
        <v>Stabil</v>
      </c>
      <c r="L2592" s="84">
        <f t="shared" si="4"/>
        <v>0</v>
      </c>
      <c r="M2592" s="88" t="str">
        <f t="shared" si="5"/>
        <v>Perubahan Normal</v>
      </c>
    </row>
    <row r="2593" ht="18.75" customHeight="1">
      <c r="A2593" s="80" t="s">
        <v>423</v>
      </c>
      <c r="B2593" s="81" t="str">
        <f t="shared" si="1"/>
        <v>Kota Kotamobagu</v>
      </c>
      <c r="C2593" s="81" t="str">
        <f t="array" ref="C2593">xlookup(B2593,Reference!$A$2:$A$152,Reference!$B$2:$B$152)</f>
        <v>Sulawesi Utara</v>
      </c>
      <c r="D2593" s="82" t="s">
        <v>3032</v>
      </c>
      <c r="E2593" s="83">
        <v>45323.0</v>
      </c>
      <c r="F2593" s="91" t="str">
        <f t="array" ref="F2593">XLOOKUP(G2593,Reference!$F:$F,Reference!$D:$D,"null")</f>
        <v>Rumah Tangga</v>
      </c>
      <c r="G2593" s="85" t="s">
        <v>84</v>
      </c>
      <c r="H2593" s="86">
        <v>103.61</v>
      </c>
      <c r="I2593" s="86">
        <v>103.61</v>
      </c>
      <c r="J2593" s="87">
        <f t="shared" si="2"/>
        <v>0</v>
      </c>
      <c r="K2593" s="84" t="str">
        <f t="shared" si="3"/>
        <v>Stabil</v>
      </c>
      <c r="L2593" s="84">
        <f t="shared" si="4"/>
        <v>0</v>
      </c>
      <c r="M2593" s="88" t="str">
        <f t="shared" si="5"/>
        <v>Perubahan Normal</v>
      </c>
    </row>
    <row r="2594" ht="18.75" customHeight="1">
      <c r="A2594" s="80" t="s">
        <v>473</v>
      </c>
      <c r="B2594" s="81" t="str">
        <f t="shared" si="1"/>
        <v>Kab Wajo</v>
      </c>
      <c r="C2594" s="81" t="str">
        <f t="array" ref="C2594">xlookup(B2594,Reference!$A$2:$A$152,Reference!$B$2:$B$152)</f>
        <v>Sulawesi Selatan</v>
      </c>
      <c r="D2594" s="82" t="s">
        <v>3033</v>
      </c>
      <c r="E2594" s="83">
        <v>45323.0</v>
      </c>
      <c r="F2594" s="91" t="str">
        <f t="array" ref="F2594">XLOOKUP(G2594,Reference!$F:$F,Reference!$D:$D,"null")</f>
        <v>Pendidikan dan Kesehatan</v>
      </c>
      <c r="G2594" s="85" t="s">
        <v>95</v>
      </c>
      <c r="H2594" s="86">
        <v>100.0</v>
      </c>
      <c r="I2594" s="86">
        <v>100.0</v>
      </c>
      <c r="J2594" s="87">
        <f t="shared" si="2"/>
        <v>0</v>
      </c>
      <c r="K2594" s="84" t="str">
        <f t="shared" si="3"/>
        <v>Stabil</v>
      </c>
      <c r="L2594" s="84">
        <f t="shared" si="4"/>
        <v>0</v>
      </c>
      <c r="M2594" s="88" t="str">
        <f t="shared" si="5"/>
        <v>Perubahan Normal</v>
      </c>
    </row>
    <row r="2595" ht="18.75" customHeight="1">
      <c r="A2595" s="80" t="s">
        <v>706</v>
      </c>
      <c r="B2595" s="81" t="str">
        <f t="shared" si="1"/>
        <v>Kota Makassar</v>
      </c>
      <c r="C2595" s="81" t="str">
        <f t="array" ref="C2595">xlookup(B2595,Reference!$A$2:$A$152,Reference!$B$2:$B$152)</f>
        <v>Sulawesi Selatan</v>
      </c>
      <c r="D2595" s="82" t="s">
        <v>3034</v>
      </c>
      <c r="E2595" s="83">
        <v>45323.0</v>
      </c>
      <c r="F2595" s="91" t="str">
        <f t="array" ref="F2595">XLOOKUP(G2595,Reference!$F:$F,Reference!$D:$D,"null")</f>
        <v>Rumah Tangga</v>
      </c>
      <c r="G2595" s="89" t="s">
        <v>84</v>
      </c>
      <c r="H2595" s="90">
        <v>100.23</v>
      </c>
      <c r="I2595" s="90">
        <v>100.23</v>
      </c>
      <c r="J2595" s="87">
        <f t="shared" si="2"/>
        <v>0</v>
      </c>
      <c r="K2595" s="84" t="str">
        <f t="shared" si="3"/>
        <v>Stabil</v>
      </c>
      <c r="L2595" s="91">
        <f t="shared" si="4"/>
        <v>0</v>
      </c>
      <c r="M2595" s="88" t="str">
        <f t="shared" si="5"/>
        <v>Perubahan Normal</v>
      </c>
    </row>
    <row r="2596" ht="18.75" customHeight="1">
      <c r="A2596" s="80" t="s">
        <v>425</v>
      </c>
      <c r="B2596" s="81" t="str">
        <f t="shared" si="1"/>
        <v>Kab Gorontalo</v>
      </c>
      <c r="C2596" s="81" t="str">
        <f t="array" ref="C2596">xlookup(B2596,Reference!$A$2:$A$152,Reference!$B$2:$B$152)</f>
        <v>Gorontalo</v>
      </c>
      <c r="D2596" s="82" t="s">
        <v>3035</v>
      </c>
      <c r="E2596" s="83">
        <v>45352.0</v>
      </c>
      <c r="F2596" s="91" t="str">
        <f t="array" ref="F2596">XLOOKUP(G2596,Reference!$F:$F,Reference!$D:$D,"null")</f>
        <v>Rumah Tangga</v>
      </c>
      <c r="G2596" s="85" t="s">
        <v>80</v>
      </c>
      <c r="H2596" s="86">
        <v>100.0</v>
      </c>
      <c r="I2596" s="86">
        <v>100.0</v>
      </c>
      <c r="J2596" s="87">
        <f t="shared" si="2"/>
        <v>0</v>
      </c>
      <c r="K2596" s="84" t="str">
        <f t="shared" si="3"/>
        <v>Stabil</v>
      </c>
      <c r="L2596" s="84">
        <f t="shared" si="4"/>
        <v>0</v>
      </c>
      <c r="M2596" s="88" t="str">
        <f t="shared" si="5"/>
        <v>Perubahan Normal</v>
      </c>
    </row>
    <row r="2597" ht="18.75" customHeight="1">
      <c r="A2597" s="80" t="s">
        <v>934</v>
      </c>
      <c r="B2597" s="81" t="str">
        <f t="shared" si="1"/>
        <v>Kab Kolaka</v>
      </c>
      <c r="C2597" s="81" t="str">
        <f t="array" ref="C2597">xlookup(B2597,Reference!$A$2:$A$152,Reference!$B$2:$B$152)</f>
        <v>Sulawesi Tenggara</v>
      </c>
      <c r="D2597" s="82" t="s">
        <v>3036</v>
      </c>
      <c r="E2597" s="83">
        <v>45323.0</v>
      </c>
      <c r="F2597" s="91" t="str">
        <f t="array" ref="F2597">XLOOKUP(G2597,Reference!$F:$F,Reference!$D:$D,"null")</f>
        <v>Rumah Tangga</v>
      </c>
      <c r="G2597" s="85" t="s">
        <v>89</v>
      </c>
      <c r="H2597" s="86">
        <v>116.86</v>
      </c>
      <c r="I2597" s="86">
        <v>116.86</v>
      </c>
      <c r="J2597" s="87">
        <f t="shared" si="2"/>
        <v>0</v>
      </c>
      <c r="K2597" s="84" t="str">
        <f t="shared" si="3"/>
        <v>Stabil</v>
      </c>
      <c r="L2597" s="84">
        <f t="shared" si="4"/>
        <v>0</v>
      </c>
      <c r="M2597" s="88" t="str">
        <f t="shared" si="5"/>
        <v>Perubahan Normal</v>
      </c>
    </row>
    <row r="2598" ht="18.75" customHeight="1">
      <c r="A2598" s="80" t="s">
        <v>300</v>
      </c>
      <c r="B2598" s="81" t="str">
        <f t="shared" si="1"/>
        <v>Sintang</v>
      </c>
      <c r="C2598" s="81" t="str">
        <f t="array" ref="C2598">xlookup(B2598,Reference!$A$2:$A$152,Reference!$B$2:$B$152)</f>
        <v>Kalimantan Barat</v>
      </c>
      <c r="D2598" s="82" t="s">
        <v>3037</v>
      </c>
      <c r="E2598" s="83">
        <v>45352.0</v>
      </c>
      <c r="F2598" s="91" t="str">
        <f t="array" ref="F2598">XLOOKUP(G2598,Reference!$F:$F,Reference!$D:$D,"null")</f>
        <v>Makanan dan Pakaian </v>
      </c>
      <c r="G2598" s="85" t="s">
        <v>64</v>
      </c>
      <c r="H2598" s="86">
        <v>100.83</v>
      </c>
      <c r="I2598" s="86">
        <v>100.61</v>
      </c>
      <c r="J2598" s="87">
        <f t="shared" si="2"/>
        <v>0.2186661366</v>
      </c>
      <c r="K2598" s="84" t="str">
        <f t="shared" si="3"/>
        <v>Inflasi Normal</v>
      </c>
      <c r="L2598" s="84">
        <f t="shared" si="4"/>
        <v>0.22</v>
      </c>
      <c r="M2598" s="88" t="str">
        <f t="shared" si="5"/>
        <v>Perubahan Normal</v>
      </c>
    </row>
    <row r="2599" ht="18.75" customHeight="1">
      <c r="A2599" s="80" t="s">
        <v>378</v>
      </c>
      <c r="B2599" s="81" t="str">
        <f t="shared" si="1"/>
        <v>Kab Berau</v>
      </c>
      <c r="C2599" s="81" t="str">
        <f t="array" ref="C2599">xlookup(B2599,Reference!$A$2:$A$152,Reference!$B$2:$B$152)</f>
        <v>Kalimantan Timur</v>
      </c>
      <c r="D2599" s="82" t="s">
        <v>3038</v>
      </c>
      <c r="E2599" s="83">
        <v>45352.0</v>
      </c>
      <c r="F2599" s="91" t="str">
        <f t="array" ref="F2599">XLOOKUP(G2599,Reference!$F:$F,Reference!$D:$D,"null")</f>
        <v>Rumah Tangga</v>
      </c>
      <c r="G2599" s="85" t="s">
        <v>80</v>
      </c>
      <c r="H2599" s="86">
        <v>101.48</v>
      </c>
      <c r="I2599" s="86">
        <v>101.48</v>
      </c>
      <c r="J2599" s="87">
        <f t="shared" si="2"/>
        <v>0</v>
      </c>
      <c r="K2599" s="84" t="str">
        <f t="shared" si="3"/>
        <v>Stabil</v>
      </c>
      <c r="L2599" s="84">
        <f t="shared" si="4"/>
        <v>0</v>
      </c>
      <c r="M2599" s="88" t="str">
        <f t="shared" si="5"/>
        <v>Perubahan Normal</v>
      </c>
    </row>
    <row r="2600" ht="18.75" customHeight="1">
      <c r="A2600" s="80" t="s">
        <v>578</v>
      </c>
      <c r="B2600" s="81" t="str">
        <f t="shared" si="1"/>
        <v>Kab Belitung Timur</v>
      </c>
      <c r="C2600" s="81" t="str">
        <f t="array" ref="C2600">xlookup(B2600,Reference!$A$2:$A$152,Reference!$B$2:$B$152)</f>
        <v>Kepulauan Bangka Belitung</v>
      </c>
      <c r="D2600" s="82" t="s">
        <v>3039</v>
      </c>
      <c r="E2600" s="83">
        <v>45323.0</v>
      </c>
      <c r="F2600" s="91" t="str">
        <f t="array" ref="F2600">XLOOKUP(G2600,Reference!$F:$F,Reference!$D:$D,"null")</f>
        <v>Pendidikan dan Kesehatan</v>
      </c>
      <c r="G2600" s="85" t="s">
        <v>95</v>
      </c>
      <c r="H2600" s="86">
        <v>101.05</v>
      </c>
      <c r="I2600" s="86">
        <v>101.05</v>
      </c>
      <c r="J2600" s="87">
        <f t="shared" si="2"/>
        <v>0</v>
      </c>
      <c r="K2600" s="84" t="str">
        <f t="shared" si="3"/>
        <v>Stabil</v>
      </c>
      <c r="L2600" s="84">
        <f t="shared" si="4"/>
        <v>0</v>
      </c>
      <c r="M2600" s="88" t="str">
        <f t="shared" si="5"/>
        <v>Perubahan Normal</v>
      </c>
    </row>
    <row r="2601" ht="18.75" customHeight="1">
      <c r="A2601" s="80" t="s">
        <v>806</v>
      </c>
      <c r="B2601" s="81" t="str">
        <f t="shared" si="1"/>
        <v>Kab Subang</v>
      </c>
      <c r="C2601" s="81" t="str">
        <f t="array" ref="C2601">xlookup(B2601,Reference!$A$2:$A$152,Reference!$B$2:$B$152)</f>
        <v>Jawa Barat</v>
      </c>
      <c r="D2601" s="82" t="s">
        <v>3040</v>
      </c>
      <c r="E2601" s="83">
        <v>45352.0</v>
      </c>
      <c r="F2601" s="91" t="str">
        <f t="array" ref="F2601">XLOOKUP(G2601,Reference!$F:$F,Reference!$D:$D,"null")</f>
        <v>Rumah Tangga</v>
      </c>
      <c r="G2601" s="89" t="s">
        <v>84</v>
      </c>
      <c r="H2601" s="90">
        <v>99.22</v>
      </c>
      <c r="I2601" s="90">
        <v>99.41</v>
      </c>
      <c r="J2601" s="87">
        <f t="shared" si="2"/>
        <v>-0.1911276532</v>
      </c>
      <c r="K2601" s="84" t="str">
        <f t="shared" si="3"/>
        <v>Deflasi</v>
      </c>
      <c r="L2601" s="91">
        <f t="shared" si="4"/>
        <v>-0.19</v>
      </c>
      <c r="M2601" s="88" t="str">
        <f t="shared" si="5"/>
        <v>Perubahan Normal</v>
      </c>
    </row>
    <row r="2602" ht="18.75" customHeight="1">
      <c r="A2602" s="80" t="s">
        <v>362</v>
      </c>
      <c r="B2602" s="81" t="str">
        <f t="shared" si="1"/>
        <v>Sumenep</v>
      </c>
      <c r="C2602" s="81" t="str">
        <f t="array" ref="C2602">xlookup(B2602,Reference!$A$2:$A$152,Reference!$B$2:$B$152)</f>
        <v>Jawa Timur</v>
      </c>
      <c r="D2602" s="82" t="s">
        <v>3041</v>
      </c>
      <c r="E2602" s="83">
        <v>45352.0</v>
      </c>
      <c r="F2602" s="91" t="str">
        <f t="array" ref="F2602">XLOOKUP(G2602,Reference!$F:$F,Reference!$D:$D,"null")</f>
        <v>Makanan dan Pakaian </v>
      </c>
      <c r="G2602" s="89" t="s">
        <v>72</v>
      </c>
      <c r="H2602" s="90">
        <v>108.91</v>
      </c>
      <c r="I2602" s="90">
        <v>108.31</v>
      </c>
      <c r="J2602" s="87">
        <f t="shared" si="2"/>
        <v>0.5539654695</v>
      </c>
      <c r="K2602" s="84" t="str">
        <f t="shared" si="3"/>
        <v>Inflasi Tinggi</v>
      </c>
      <c r="L2602" s="91">
        <f t="shared" si="4"/>
        <v>0.6</v>
      </c>
      <c r="M2602" s="88" t="str">
        <f t="shared" si="5"/>
        <v>Akselerasi Persentase</v>
      </c>
    </row>
    <row r="2603" ht="18.75" customHeight="1">
      <c r="A2603" s="80" t="s">
        <v>764</v>
      </c>
      <c r="B2603" s="81" t="str">
        <f t="shared" si="1"/>
        <v>Kota Madiun</v>
      </c>
      <c r="C2603" s="81" t="str">
        <f t="array" ref="C2603">xlookup(B2603,Reference!$A$2:$A$152,Reference!$B$2:$B$152)</f>
        <v>Jawa Timur</v>
      </c>
      <c r="D2603" s="82" t="s">
        <v>3042</v>
      </c>
      <c r="E2603" s="83">
        <v>45323.0</v>
      </c>
      <c r="F2603" s="91" t="str">
        <f t="array" ref="F2603">XLOOKUP(G2603,Reference!$F:$F,Reference!$D:$D,"null")</f>
        <v>Rumah Tangga</v>
      </c>
      <c r="G2603" s="85" t="s">
        <v>84</v>
      </c>
      <c r="H2603" s="86">
        <v>100.11</v>
      </c>
      <c r="I2603" s="86">
        <v>100.11</v>
      </c>
      <c r="J2603" s="87">
        <f t="shared" si="2"/>
        <v>0</v>
      </c>
      <c r="K2603" s="84" t="str">
        <f t="shared" si="3"/>
        <v>Stabil</v>
      </c>
      <c r="L2603" s="84">
        <f t="shared" si="4"/>
        <v>0</v>
      </c>
      <c r="M2603" s="88" t="str">
        <f t="shared" si="5"/>
        <v>Perubahan Normal</v>
      </c>
    </row>
    <row r="2604" ht="18.75" customHeight="1">
      <c r="A2604" s="80" t="s">
        <v>427</v>
      </c>
      <c r="B2604" s="81" t="str">
        <f t="shared" si="1"/>
        <v>Kota Malang</v>
      </c>
      <c r="C2604" s="81" t="str">
        <f t="array" ref="C2604">xlookup(B2604,Reference!$A$2:$A$152,Reference!$B$2:$B$152)</f>
        <v>Jawa Timur</v>
      </c>
      <c r="D2604" s="82" t="s">
        <v>3043</v>
      </c>
      <c r="E2604" s="83">
        <v>45323.0</v>
      </c>
      <c r="F2604" s="91" t="str">
        <f t="array" ref="F2604">XLOOKUP(G2604,Reference!$F:$F,Reference!$D:$D,"null")</f>
        <v>Makanan dan Pakaian </v>
      </c>
      <c r="G2604" s="85" t="s">
        <v>48</v>
      </c>
      <c r="H2604" s="86">
        <v>110.83</v>
      </c>
      <c r="I2604" s="86">
        <v>108.69</v>
      </c>
      <c r="J2604" s="87">
        <f t="shared" si="2"/>
        <v>1.968902383</v>
      </c>
      <c r="K2604" s="84" t="str">
        <f t="shared" si="3"/>
        <v>Inflasi Tinggi</v>
      </c>
      <c r="L2604" s="84">
        <f t="shared" si="4"/>
        <v>2.14</v>
      </c>
      <c r="M2604" s="88" t="str">
        <f t="shared" si="5"/>
        <v>Akselerasi Kuat</v>
      </c>
    </row>
    <row r="2605" ht="18.75" customHeight="1">
      <c r="A2605" s="80" t="s">
        <v>925</v>
      </c>
      <c r="B2605" s="81" t="str">
        <f t="shared" si="1"/>
        <v>Kota Jakarta</v>
      </c>
      <c r="C2605" s="81" t="str">
        <f t="array" ref="C2605">xlookup(B2605,Reference!$A$2:$A$152,Reference!$B$2:$B$152)</f>
        <v>DKI Jakarta</v>
      </c>
      <c r="D2605" s="82" t="s">
        <v>3044</v>
      </c>
      <c r="E2605" s="83">
        <v>45352.0</v>
      </c>
      <c r="F2605" s="91" t="str">
        <f t="array" ref="F2605">XLOOKUP(G2605,Reference!$F:$F,Reference!$D:$D,"null")</f>
        <v>Rumah Tangga</v>
      </c>
      <c r="G2605" s="85" t="s">
        <v>80</v>
      </c>
      <c r="H2605" s="86">
        <v>103.8</v>
      </c>
      <c r="I2605" s="86">
        <v>103.79</v>
      </c>
      <c r="J2605" s="87">
        <f t="shared" si="2"/>
        <v>0.00963483958</v>
      </c>
      <c r="K2605" s="84" t="str">
        <f t="shared" si="3"/>
        <v>Inflasi Normal</v>
      </c>
      <c r="L2605" s="84">
        <f t="shared" si="4"/>
        <v>0.01</v>
      </c>
      <c r="M2605" s="88" t="str">
        <f t="shared" si="5"/>
        <v>Perubahan Normal</v>
      </c>
    </row>
    <row r="2606" ht="18.75" customHeight="1">
      <c r="A2606" s="80" t="s">
        <v>326</v>
      </c>
      <c r="B2606" s="81" t="str">
        <f t="shared" si="1"/>
        <v>Luwuk</v>
      </c>
      <c r="C2606" s="81" t="str">
        <f t="array" ref="C2606">xlookup(B2606,Reference!$A$2:$A$152,Reference!$B$2:$B$152)</f>
        <v>Sulawesi Tengah</v>
      </c>
      <c r="D2606" s="82" t="s">
        <v>3045</v>
      </c>
      <c r="E2606" s="83">
        <v>45352.0</v>
      </c>
      <c r="F2606" s="91" t="str">
        <f t="array" ref="F2606">XLOOKUP(G2606,Reference!$F:$F,Reference!$D:$D,"null")</f>
        <v>Makanan dan Pakaian </v>
      </c>
      <c r="G2606" s="85" t="s">
        <v>56</v>
      </c>
      <c r="H2606" s="86">
        <v>103.69</v>
      </c>
      <c r="I2606" s="86">
        <v>102.89</v>
      </c>
      <c r="J2606" s="87">
        <f t="shared" si="2"/>
        <v>0.7775294003</v>
      </c>
      <c r="K2606" s="84" t="str">
        <f t="shared" si="3"/>
        <v>Inflasi Tinggi</v>
      </c>
      <c r="L2606" s="84">
        <f t="shared" si="4"/>
        <v>0.8</v>
      </c>
      <c r="M2606" s="88" t="str">
        <f t="shared" si="5"/>
        <v>Akselerasi Persentase</v>
      </c>
    </row>
    <row r="2607" ht="18.75" customHeight="1">
      <c r="A2607" s="80" t="s">
        <v>492</v>
      </c>
      <c r="B2607" s="81" t="str">
        <f t="shared" si="1"/>
        <v>Kota Cilegon</v>
      </c>
      <c r="C2607" s="81" t="str">
        <f t="array" ref="C2607">xlookup(B2607,Reference!$A$2:$A$152,Reference!$B$2:$B$152)</f>
        <v>Banten</v>
      </c>
      <c r="D2607" s="82" t="s">
        <v>3046</v>
      </c>
      <c r="E2607" s="83">
        <v>45323.0</v>
      </c>
      <c r="F2607" s="91" t="str">
        <f t="array" ref="F2607">XLOOKUP(G2607,Reference!$F:$F,Reference!$D:$D,"null")</f>
        <v>Makanan dan Pakaian </v>
      </c>
      <c r="G2607" s="85" t="s">
        <v>72</v>
      </c>
      <c r="H2607" s="86">
        <v>102.14</v>
      </c>
      <c r="I2607" s="86">
        <v>102.14</v>
      </c>
      <c r="J2607" s="87">
        <f t="shared" si="2"/>
        <v>0</v>
      </c>
      <c r="K2607" s="84" t="str">
        <f t="shared" si="3"/>
        <v>Stabil</v>
      </c>
      <c r="L2607" s="84">
        <f t="shared" si="4"/>
        <v>0</v>
      </c>
      <c r="M2607" s="88" t="str">
        <f t="shared" si="5"/>
        <v>Perubahan Normal</v>
      </c>
    </row>
    <row r="2608" ht="18.75" customHeight="1">
      <c r="A2608" s="80" t="s">
        <v>466</v>
      </c>
      <c r="B2608" s="81" t="str">
        <f t="shared" si="1"/>
        <v>Kota Surabaya</v>
      </c>
      <c r="C2608" s="81" t="str">
        <f t="array" ref="C2608">xlookup(B2608,Reference!$A$2:$A$152,Reference!$B$2:$B$152)</f>
        <v>Jawa Timur</v>
      </c>
      <c r="D2608" s="82" t="s">
        <v>3047</v>
      </c>
      <c r="E2608" s="83">
        <v>45352.0</v>
      </c>
      <c r="F2608" s="91" t="str">
        <f t="array" ref="F2608">XLOOKUP(G2608,Reference!$F:$F,Reference!$D:$D,"null")</f>
        <v>Rekreasi dan Kendaraan</v>
      </c>
      <c r="G2608" s="85" t="s">
        <v>102</v>
      </c>
      <c r="H2608" s="86">
        <v>101.2</v>
      </c>
      <c r="I2608" s="86">
        <v>101.26</v>
      </c>
      <c r="J2608" s="87">
        <f t="shared" si="2"/>
        <v>-0.05925340707</v>
      </c>
      <c r="K2608" s="84" t="str">
        <f t="shared" si="3"/>
        <v>Deflasi</v>
      </c>
      <c r="L2608" s="84">
        <f t="shared" si="4"/>
        <v>-0.06</v>
      </c>
      <c r="M2608" s="88" t="str">
        <f t="shared" si="5"/>
        <v>Perubahan Normal</v>
      </c>
    </row>
    <row r="2609" ht="18.75" customHeight="1">
      <c r="A2609" s="80" t="s">
        <v>512</v>
      </c>
      <c r="B2609" s="81" t="str">
        <f t="shared" si="1"/>
        <v>Kota Palu</v>
      </c>
      <c r="C2609" s="81" t="str">
        <f t="array" ref="C2609">xlookup(B2609,Reference!$A$2:$A$152,Reference!$B$2:$B$152)</f>
        <v>Sulawesi Tengah</v>
      </c>
      <c r="D2609" s="82" t="s">
        <v>3048</v>
      </c>
      <c r="E2609" s="83">
        <v>45323.0</v>
      </c>
      <c r="F2609" s="91" t="str">
        <f t="array" ref="F2609">XLOOKUP(G2609,Reference!$F:$F,Reference!$D:$D,"null")</f>
        <v>Pendidikan dan Kesehatan</v>
      </c>
      <c r="G2609" s="89" t="s">
        <v>98</v>
      </c>
      <c r="H2609" s="90">
        <v>100.65</v>
      </c>
      <c r="I2609" s="90">
        <v>100.45</v>
      </c>
      <c r="J2609" s="87">
        <f t="shared" si="2"/>
        <v>0.1991040319</v>
      </c>
      <c r="K2609" s="84" t="str">
        <f t="shared" si="3"/>
        <v>Inflasi Normal</v>
      </c>
      <c r="L2609" s="91">
        <f t="shared" si="4"/>
        <v>0.2</v>
      </c>
      <c r="M2609" s="88" t="str">
        <f t="shared" si="5"/>
        <v>Perubahan Normal</v>
      </c>
    </row>
    <row r="2610" ht="18.75" customHeight="1">
      <c r="A2610" s="80" t="s">
        <v>672</v>
      </c>
      <c r="B2610" s="81" t="str">
        <f t="shared" si="1"/>
        <v>Kab Ogan Komering Ilir</v>
      </c>
      <c r="C2610" s="81" t="str">
        <f t="array" ref="C2610">xlookup(B2610,Reference!$A$2:$A$152,Reference!$B$2:$B$152)</f>
        <v>Sumatera Selatan</v>
      </c>
      <c r="D2610" s="82" t="s">
        <v>3049</v>
      </c>
      <c r="E2610" s="83">
        <v>45352.0</v>
      </c>
      <c r="F2610" s="91" t="str">
        <f t="array" ref="F2610">XLOOKUP(G2610,Reference!$F:$F,Reference!$D:$D,"null")</f>
        <v>Makanan dan Pakaian </v>
      </c>
      <c r="G2610" s="89" t="s">
        <v>64</v>
      </c>
      <c r="H2610" s="90">
        <v>98.09</v>
      </c>
      <c r="I2610" s="90">
        <v>97.82</v>
      </c>
      <c r="J2610" s="87">
        <f t="shared" si="2"/>
        <v>0.2760171744</v>
      </c>
      <c r="K2610" s="84" t="str">
        <f t="shared" si="3"/>
        <v>Inflasi Normal</v>
      </c>
      <c r="L2610" s="91">
        <f t="shared" si="4"/>
        <v>0.27</v>
      </c>
      <c r="M2610" s="88" t="str">
        <f t="shared" si="5"/>
        <v>Perubahan Normal</v>
      </c>
    </row>
    <row r="2611" ht="18.75" customHeight="1">
      <c r="A2611" s="80" t="s">
        <v>806</v>
      </c>
      <c r="B2611" s="81" t="str">
        <f t="shared" si="1"/>
        <v>Kab Subang</v>
      </c>
      <c r="C2611" s="81" t="str">
        <f t="array" ref="C2611">xlookup(B2611,Reference!$A$2:$A$152,Reference!$B$2:$B$152)</f>
        <v>Jawa Barat</v>
      </c>
      <c r="D2611" s="82" t="s">
        <v>3050</v>
      </c>
      <c r="E2611" s="83">
        <v>45352.0</v>
      </c>
      <c r="F2611" s="91" t="str">
        <f t="array" ref="F2611">XLOOKUP(G2611,Reference!$F:$F,Reference!$D:$D,"null")</f>
        <v>Makanan dan Pakaian </v>
      </c>
      <c r="G2611" s="85" t="s">
        <v>48</v>
      </c>
      <c r="H2611" s="86">
        <v>113.51</v>
      </c>
      <c r="I2611" s="86">
        <v>112.84</v>
      </c>
      <c r="J2611" s="87">
        <f t="shared" si="2"/>
        <v>0.5937610776</v>
      </c>
      <c r="K2611" s="84" t="str">
        <f t="shared" si="3"/>
        <v>Inflasi Tinggi</v>
      </c>
      <c r="L2611" s="84">
        <f t="shared" si="4"/>
        <v>0.67</v>
      </c>
      <c r="M2611" s="88" t="str">
        <f t="shared" si="5"/>
        <v>Akselerasi Persentase</v>
      </c>
    </row>
    <row r="2612" ht="18.75" customHeight="1">
      <c r="A2612" s="80" t="s">
        <v>331</v>
      </c>
      <c r="B2612" s="81" t="str">
        <f t="shared" si="1"/>
        <v>Kota Lhokseumawe</v>
      </c>
      <c r="C2612" s="81" t="str">
        <f t="array" ref="C2612">xlookup(B2612,Reference!$A$2:$A$152,Reference!$B$2:$B$152)</f>
        <v>Aceh</v>
      </c>
      <c r="D2612" s="82" t="s">
        <v>3051</v>
      </c>
      <c r="E2612" s="83">
        <v>45352.0</v>
      </c>
      <c r="F2612" s="91" t="str">
        <f t="array" ref="F2612">XLOOKUP(G2612,Reference!$F:$F,Reference!$D:$D,"null")</f>
        <v>Rekreasi dan Kendaraan</v>
      </c>
      <c r="G2612" s="89" t="s">
        <v>105</v>
      </c>
      <c r="H2612" s="90">
        <v>107.16</v>
      </c>
      <c r="I2612" s="90">
        <v>105.3</v>
      </c>
      <c r="J2612" s="87">
        <f t="shared" si="2"/>
        <v>1.766381766</v>
      </c>
      <c r="K2612" s="84" t="str">
        <f t="shared" si="3"/>
        <v>Inflasi Tinggi</v>
      </c>
      <c r="L2612" s="91">
        <f t="shared" si="4"/>
        <v>1.86</v>
      </c>
      <c r="M2612" s="88" t="str">
        <f t="shared" si="5"/>
        <v>Akselerasi Persentase</v>
      </c>
    </row>
    <row r="2613" ht="18.75" customHeight="1">
      <c r="A2613" s="80" t="s">
        <v>425</v>
      </c>
      <c r="B2613" s="81" t="str">
        <f t="shared" si="1"/>
        <v>Kab Gorontalo</v>
      </c>
      <c r="C2613" s="81" t="str">
        <f t="array" ref="C2613">xlookup(B2613,Reference!$A$2:$A$152,Reference!$B$2:$B$152)</f>
        <v>Gorontalo</v>
      </c>
      <c r="D2613" s="82" t="s">
        <v>3052</v>
      </c>
      <c r="E2613" s="83">
        <v>45352.0</v>
      </c>
      <c r="F2613" s="91" t="str">
        <f t="array" ref="F2613">XLOOKUP(G2613,Reference!$F:$F,Reference!$D:$D,"null")</f>
        <v>Makanan dan Pakaian </v>
      </c>
      <c r="G2613" s="85" t="s">
        <v>56</v>
      </c>
      <c r="H2613" s="86">
        <v>99.21</v>
      </c>
      <c r="I2613" s="86">
        <v>102.83</v>
      </c>
      <c r="J2613" s="87">
        <f t="shared" si="2"/>
        <v>-3.520373432</v>
      </c>
      <c r="K2613" s="84" t="str">
        <f t="shared" si="3"/>
        <v>Deflasi</v>
      </c>
      <c r="L2613" s="84">
        <f t="shared" si="4"/>
        <v>-3.62</v>
      </c>
      <c r="M2613" s="88" t="str">
        <f t="shared" si="5"/>
        <v>Perubahan Normal</v>
      </c>
    </row>
    <row r="2614" ht="18.75" customHeight="1">
      <c r="A2614" s="80" t="s">
        <v>374</v>
      </c>
      <c r="B2614" s="81" t="str">
        <f t="shared" si="1"/>
        <v>Kab Majalengka</v>
      </c>
      <c r="C2614" s="81" t="str">
        <f t="array" ref="C2614">xlookup(B2614,Reference!$A$2:$A$152,Reference!$B$2:$B$152)</f>
        <v>Jawa Barat</v>
      </c>
      <c r="D2614" s="82" t="s">
        <v>3053</v>
      </c>
      <c r="E2614" s="83">
        <v>45323.0</v>
      </c>
      <c r="F2614" s="91" t="str">
        <f t="array" ref="F2614">XLOOKUP(G2614,Reference!$F:$F,Reference!$D:$D,"null")</f>
        <v>Makanan dan Pakaian </v>
      </c>
      <c r="G2614" s="85" t="s">
        <v>64</v>
      </c>
      <c r="H2614" s="86">
        <v>104.14</v>
      </c>
      <c r="I2614" s="86">
        <v>104.02</v>
      </c>
      <c r="J2614" s="87">
        <f t="shared" si="2"/>
        <v>0.1153624303</v>
      </c>
      <c r="K2614" s="84" t="str">
        <f t="shared" si="3"/>
        <v>Inflasi Normal</v>
      </c>
      <c r="L2614" s="84">
        <f t="shared" si="4"/>
        <v>0.12</v>
      </c>
      <c r="M2614" s="88" t="str">
        <f t="shared" si="5"/>
        <v>Perubahan Normal</v>
      </c>
    </row>
    <row r="2615" ht="18.75" customHeight="1">
      <c r="A2615" s="80" t="s">
        <v>731</v>
      </c>
      <c r="B2615" s="81" t="str">
        <f t="shared" si="1"/>
        <v>Kab Hulu Sungai Tengah</v>
      </c>
      <c r="C2615" s="81" t="str">
        <f t="array" ref="C2615">xlookup(B2615,Reference!$A$2:$A$152,Reference!$B$2:$B$152)</f>
        <v>Kalimantan Selatan</v>
      </c>
      <c r="D2615" s="82" t="s">
        <v>3054</v>
      </c>
      <c r="E2615" s="83">
        <v>45352.0</v>
      </c>
      <c r="F2615" s="91" t="str">
        <f t="array" ref="F2615">XLOOKUP(G2615,Reference!$F:$F,Reference!$D:$D,"null")</f>
        <v>Makanan dan Pakaian </v>
      </c>
      <c r="G2615" s="89" t="s">
        <v>56</v>
      </c>
      <c r="H2615" s="90">
        <v>105.16</v>
      </c>
      <c r="I2615" s="90">
        <v>105.22</v>
      </c>
      <c r="J2615" s="87">
        <f t="shared" si="2"/>
        <v>-0.05702337959</v>
      </c>
      <c r="K2615" s="84" t="str">
        <f t="shared" si="3"/>
        <v>Deflasi</v>
      </c>
      <c r="L2615" s="91">
        <f t="shared" si="4"/>
        <v>-0.06</v>
      </c>
      <c r="M2615" s="88" t="str">
        <f t="shared" si="5"/>
        <v>Perubahan Normal</v>
      </c>
    </row>
    <row r="2616" ht="18.75" customHeight="1">
      <c r="A2616" s="80" t="s">
        <v>458</v>
      </c>
      <c r="B2616" s="81" t="str">
        <f t="shared" si="1"/>
        <v>Kota Dumai</v>
      </c>
      <c r="C2616" s="81" t="str">
        <f t="array" ref="C2616">xlookup(B2616,Reference!$A$2:$A$152,Reference!$B$2:$B$152)</f>
        <v>Riau</v>
      </c>
      <c r="D2616" s="82" t="s">
        <v>3055</v>
      </c>
      <c r="E2616" s="83">
        <v>45352.0</v>
      </c>
      <c r="F2616" s="91" t="str">
        <f t="array" ref="F2616">XLOOKUP(G2616,Reference!$F:$F,Reference!$D:$D,"null")</f>
        <v>Rumah Tangga</v>
      </c>
      <c r="G2616" s="89" t="s">
        <v>80</v>
      </c>
      <c r="H2616" s="90">
        <v>102.83</v>
      </c>
      <c r="I2616" s="90">
        <v>102.83</v>
      </c>
      <c r="J2616" s="87">
        <f t="shared" si="2"/>
        <v>0</v>
      </c>
      <c r="K2616" s="84" t="str">
        <f t="shared" si="3"/>
        <v>Stabil</v>
      </c>
      <c r="L2616" s="91">
        <f t="shared" si="4"/>
        <v>0</v>
      </c>
      <c r="M2616" s="88" t="str">
        <f t="shared" si="5"/>
        <v>Perubahan Normal</v>
      </c>
    </row>
    <row r="2617" ht="18.75" customHeight="1">
      <c r="A2617" s="80" t="s">
        <v>393</v>
      </c>
      <c r="B2617" s="81" t="str">
        <f t="shared" si="1"/>
        <v>Kab Sumbawa</v>
      </c>
      <c r="C2617" s="81" t="str">
        <f t="array" ref="C2617">xlookup(B2617,Reference!$A$2:$A$152,Reference!$B$2:$B$152)</f>
        <v>Nusa Tenggara Barat (NTB)</v>
      </c>
      <c r="D2617" s="82" t="s">
        <v>3056</v>
      </c>
      <c r="E2617" s="83">
        <v>45352.0</v>
      </c>
      <c r="F2617" s="91" t="str">
        <f t="array" ref="F2617">XLOOKUP(G2617,Reference!$F:$F,Reference!$D:$D,"null")</f>
        <v>Makanan dan Pakaian </v>
      </c>
      <c r="G2617" s="85" t="s">
        <v>48</v>
      </c>
      <c r="H2617" s="86">
        <v>110.24</v>
      </c>
      <c r="I2617" s="86">
        <v>106.58</v>
      </c>
      <c r="J2617" s="87">
        <f t="shared" si="2"/>
        <v>3.434040158</v>
      </c>
      <c r="K2617" s="84" t="str">
        <f t="shared" si="3"/>
        <v>Inflasi Tinggi</v>
      </c>
      <c r="L2617" s="84">
        <f t="shared" si="4"/>
        <v>3.66</v>
      </c>
      <c r="M2617" s="88" t="str">
        <f t="shared" si="5"/>
        <v>Akselerasi Kuat</v>
      </c>
    </row>
    <row r="2618" ht="18.75" customHeight="1">
      <c r="A2618" s="80" t="s">
        <v>431</v>
      </c>
      <c r="B2618" s="81" t="str">
        <f t="shared" si="1"/>
        <v>Kota Ternate</v>
      </c>
      <c r="C2618" s="81" t="str">
        <f t="array" ref="C2618">xlookup(B2618,Reference!$A$2:$A$152,Reference!$B$2:$B$152)</f>
        <v>Maluku Utara</v>
      </c>
      <c r="D2618" s="82" t="s">
        <v>3057</v>
      </c>
      <c r="E2618" s="83">
        <v>45352.0</v>
      </c>
      <c r="F2618" s="91" t="str">
        <f t="array" ref="F2618">XLOOKUP(G2618,Reference!$F:$F,Reference!$D:$D,"null")</f>
        <v>Rekreasi dan Kendaraan</v>
      </c>
      <c r="G2618" s="85" t="s">
        <v>102</v>
      </c>
      <c r="H2618" s="86">
        <v>101.33</v>
      </c>
      <c r="I2618" s="86">
        <v>101.33</v>
      </c>
      <c r="J2618" s="87">
        <f t="shared" si="2"/>
        <v>0</v>
      </c>
      <c r="K2618" s="84" t="str">
        <f t="shared" si="3"/>
        <v>Stabil</v>
      </c>
      <c r="L2618" s="84">
        <f t="shared" si="4"/>
        <v>0</v>
      </c>
      <c r="M2618" s="88" t="str">
        <f t="shared" si="5"/>
        <v>Perubahan Normal</v>
      </c>
    </row>
    <row r="2619" ht="18.75" customHeight="1">
      <c r="A2619" s="80" t="s">
        <v>841</v>
      </c>
      <c r="B2619" s="81" t="str">
        <f t="shared" si="1"/>
        <v>Kab Morowali</v>
      </c>
      <c r="C2619" s="81" t="str">
        <f t="array" ref="C2619">xlookup(B2619,Reference!$A$2:$A$152,Reference!$B$2:$B$152)</f>
        <v>Sulawesi Tengah</v>
      </c>
      <c r="D2619" s="82" t="s">
        <v>3058</v>
      </c>
      <c r="E2619" s="83">
        <v>45323.0</v>
      </c>
      <c r="F2619" s="91" t="str">
        <f t="array" ref="F2619">XLOOKUP(G2619,Reference!$F:$F,Reference!$D:$D,"null")</f>
        <v>Makanan dan Pakaian </v>
      </c>
      <c r="G2619" s="85" t="s">
        <v>48</v>
      </c>
      <c r="H2619" s="86">
        <v>118.25</v>
      </c>
      <c r="I2619" s="86">
        <v>114.73</v>
      </c>
      <c r="J2619" s="87">
        <f t="shared" si="2"/>
        <v>3.068072867</v>
      </c>
      <c r="K2619" s="84" t="str">
        <f t="shared" si="3"/>
        <v>Inflasi Tinggi</v>
      </c>
      <c r="L2619" s="84">
        <f t="shared" si="4"/>
        <v>3.52</v>
      </c>
      <c r="M2619" s="88" t="str">
        <f t="shared" si="5"/>
        <v>Akselerasi Kuat</v>
      </c>
    </row>
    <row r="2620" ht="18.75" customHeight="1">
      <c r="A2620" s="80" t="s">
        <v>734</v>
      </c>
      <c r="B2620" s="81" t="str">
        <f t="shared" si="1"/>
        <v>Kota Tegal</v>
      </c>
      <c r="C2620" s="81" t="str">
        <f t="array" ref="C2620">xlookup(B2620,Reference!$A$2:$A$152,Reference!$B$2:$B$152)</f>
        <v>Jawa Tengah</v>
      </c>
      <c r="D2620" s="82" t="s">
        <v>3059</v>
      </c>
      <c r="E2620" s="83">
        <v>45323.0</v>
      </c>
      <c r="F2620" s="91" t="str">
        <f t="array" ref="F2620">XLOOKUP(G2620,Reference!$F:$F,Reference!$D:$D,"null")</f>
        <v>Rekreasi dan Kendaraan</v>
      </c>
      <c r="G2620" s="85" t="s">
        <v>102</v>
      </c>
      <c r="H2620" s="86">
        <v>101.63</v>
      </c>
      <c r="I2620" s="86">
        <v>101.63</v>
      </c>
      <c r="J2620" s="87">
        <f t="shared" si="2"/>
        <v>0</v>
      </c>
      <c r="K2620" s="84" t="str">
        <f t="shared" si="3"/>
        <v>Stabil</v>
      </c>
      <c r="L2620" s="84">
        <f t="shared" si="4"/>
        <v>0</v>
      </c>
      <c r="M2620" s="88" t="str">
        <f t="shared" si="5"/>
        <v>Perubahan Normal</v>
      </c>
    </row>
    <row r="2621" ht="18.75" customHeight="1">
      <c r="A2621" s="80" t="s">
        <v>658</v>
      </c>
      <c r="B2621" s="81" t="str">
        <f t="shared" si="1"/>
        <v>Kota Mataram</v>
      </c>
      <c r="C2621" s="81" t="str">
        <f t="array" ref="C2621">xlookup(B2621,Reference!$A$2:$A$152,Reference!$B$2:$B$152)</f>
        <v>Nusa Tenggara Barat (NTB)</v>
      </c>
      <c r="D2621" s="82" t="s">
        <v>3060</v>
      </c>
      <c r="E2621" s="83">
        <v>45352.0</v>
      </c>
      <c r="F2621" s="91" t="str">
        <f t="array" ref="F2621">XLOOKUP(G2621,Reference!$F:$F,Reference!$D:$D,"null")</f>
        <v>Rumah Tangga</v>
      </c>
      <c r="G2621" s="85" t="s">
        <v>89</v>
      </c>
      <c r="H2621" s="86">
        <v>104.25</v>
      </c>
      <c r="I2621" s="86">
        <v>104.25</v>
      </c>
      <c r="J2621" s="87">
        <f t="shared" si="2"/>
        <v>0</v>
      </c>
      <c r="K2621" s="84" t="str">
        <f t="shared" si="3"/>
        <v>Stabil</v>
      </c>
      <c r="L2621" s="84">
        <f t="shared" si="4"/>
        <v>0</v>
      </c>
      <c r="M2621" s="88" t="str">
        <f t="shared" si="5"/>
        <v>Perubahan Normal</v>
      </c>
    </row>
    <row r="2622" ht="18.75" customHeight="1">
      <c r="A2622" s="80" t="s">
        <v>706</v>
      </c>
      <c r="B2622" s="81" t="str">
        <f t="shared" si="1"/>
        <v>Kota Makassar</v>
      </c>
      <c r="C2622" s="81" t="str">
        <f t="array" ref="C2622">xlookup(B2622,Reference!$A$2:$A$152,Reference!$B$2:$B$152)</f>
        <v>Sulawesi Selatan</v>
      </c>
      <c r="D2622" s="82" t="s">
        <v>3061</v>
      </c>
      <c r="E2622" s="83">
        <v>45352.0</v>
      </c>
      <c r="F2622" s="91" t="str">
        <f t="array" ref="F2622">XLOOKUP(G2622,Reference!$F:$F,Reference!$D:$D,"null")</f>
        <v>Makanan dan Pakaian </v>
      </c>
      <c r="G2622" s="85" t="s">
        <v>64</v>
      </c>
      <c r="H2622" s="86">
        <v>102.78</v>
      </c>
      <c r="I2622" s="86">
        <v>102.81</v>
      </c>
      <c r="J2622" s="87">
        <f t="shared" si="2"/>
        <v>-0.02918004085</v>
      </c>
      <c r="K2622" s="84" t="str">
        <f t="shared" si="3"/>
        <v>Deflasi</v>
      </c>
      <c r="L2622" s="84">
        <f t="shared" si="4"/>
        <v>-0.03</v>
      </c>
      <c r="M2622" s="88" t="str">
        <f t="shared" si="5"/>
        <v>Perubahan Normal</v>
      </c>
    </row>
    <row r="2623" ht="18.75" customHeight="1">
      <c r="A2623" s="80" t="s">
        <v>421</v>
      </c>
      <c r="B2623" s="81" t="str">
        <f t="shared" si="1"/>
        <v>Kab Halmahera Tengah</v>
      </c>
      <c r="C2623" s="81" t="str">
        <f t="array" ref="C2623">xlookup(B2623,Reference!$A$2:$A$152,Reference!$B$2:$B$152)</f>
        <v>Maluku Utara</v>
      </c>
      <c r="D2623" s="82" t="s">
        <v>3062</v>
      </c>
      <c r="E2623" s="83">
        <v>45323.0</v>
      </c>
      <c r="F2623" s="91" t="str">
        <f t="array" ref="F2623">XLOOKUP(G2623,Reference!$F:$F,Reference!$D:$D,"null")</f>
        <v>Makanan dan Pakaian </v>
      </c>
      <c r="G2623" s="85" t="s">
        <v>48</v>
      </c>
      <c r="H2623" s="86">
        <v>109.41</v>
      </c>
      <c r="I2623" s="86">
        <v>111.19</v>
      </c>
      <c r="J2623" s="87">
        <f t="shared" si="2"/>
        <v>-1.600863387</v>
      </c>
      <c r="K2623" s="84" t="str">
        <f t="shared" si="3"/>
        <v>Deflasi</v>
      </c>
      <c r="L2623" s="84">
        <f t="shared" si="4"/>
        <v>-1.78</v>
      </c>
      <c r="M2623" s="88" t="str">
        <f t="shared" si="5"/>
        <v>Perubahan Normal</v>
      </c>
    </row>
    <row r="2624" ht="18.75" customHeight="1">
      <c r="A2624" s="80" t="s">
        <v>466</v>
      </c>
      <c r="B2624" s="81" t="str">
        <f t="shared" si="1"/>
        <v>Kota Surabaya</v>
      </c>
      <c r="C2624" s="81" t="str">
        <f t="array" ref="C2624">xlookup(B2624,Reference!$A$2:$A$152,Reference!$B$2:$B$152)</f>
        <v>Jawa Timur</v>
      </c>
      <c r="D2624" s="82" t="s">
        <v>3063</v>
      </c>
      <c r="E2624" s="83">
        <v>45352.0</v>
      </c>
      <c r="F2624" s="91" t="str">
        <f t="array" ref="F2624">XLOOKUP(G2624,Reference!$F:$F,Reference!$D:$D,"null")</f>
        <v>Pendidikan dan Kesehatan</v>
      </c>
      <c r="G2624" s="85" t="s">
        <v>95</v>
      </c>
      <c r="H2624" s="86">
        <v>105.0</v>
      </c>
      <c r="I2624" s="86">
        <v>105.0</v>
      </c>
      <c r="J2624" s="87">
        <f t="shared" si="2"/>
        <v>0</v>
      </c>
      <c r="K2624" s="84" t="str">
        <f t="shared" si="3"/>
        <v>Stabil</v>
      </c>
      <c r="L2624" s="84">
        <f t="shared" si="4"/>
        <v>0</v>
      </c>
      <c r="M2624" s="88" t="str">
        <f t="shared" si="5"/>
        <v>Perubahan Normal</v>
      </c>
    </row>
    <row r="2625" ht="18.75" customHeight="1">
      <c r="A2625" s="80" t="s">
        <v>346</v>
      </c>
      <c r="B2625" s="81" t="str">
        <f t="shared" si="1"/>
        <v>Kab Timor Tengah Selatan</v>
      </c>
      <c r="C2625" s="81" t="str">
        <f t="array" ref="C2625">xlookup(B2625,Reference!$A$2:$A$152,Reference!$B$2:$B$152)</f>
        <v>Nusa Tenggara Timur (NTT)</v>
      </c>
      <c r="D2625" s="82" t="s">
        <v>3064</v>
      </c>
      <c r="E2625" s="83">
        <v>45323.0</v>
      </c>
      <c r="F2625" s="91" t="str">
        <f t="array" ref="F2625">XLOOKUP(G2625,Reference!$F:$F,Reference!$D:$D,"null")</f>
        <v>Rumah Tangga</v>
      </c>
      <c r="G2625" s="85" t="s">
        <v>80</v>
      </c>
      <c r="H2625" s="86">
        <v>104.07</v>
      </c>
      <c r="I2625" s="86">
        <v>104.07</v>
      </c>
      <c r="J2625" s="87">
        <f t="shared" si="2"/>
        <v>0</v>
      </c>
      <c r="K2625" s="84" t="str">
        <f t="shared" si="3"/>
        <v>Stabil</v>
      </c>
      <c r="L2625" s="84">
        <f t="shared" si="4"/>
        <v>0</v>
      </c>
      <c r="M2625" s="88" t="str">
        <f t="shared" si="5"/>
        <v>Perubahan Normal</v>
      </c>
    </row>
    <row r="2626" ht="18.75" customHeight="1">
      <c r="A2626" s="80" t="s">
        <v>731</v>
      </c>
      <c r="B2626" s="81" t="str">
        <f t="shared" si="1"/>
        <v>Kab Hulu Sungai Tengah</v>
      </c>
      <c r="C2626" s="81" t="str">
        <f t="array" ref="C2626">xlookup(B2626,Reference!$A$2:$A$152,Reference!$B$2:$B$152)</f>
        <v>Kalimantan Selatan</v>
      </c>
      <c r="D2626" s="82" t="s">
        <v>3065</v>
      </c>
      <c r="E2626" s="83">
        <v>45352.0</v>
      </c>
      <c r="F2626" s="91" t="str">
        <f t="array" ref="F2626">XLOOKUP(G2626,Reference!$F:$F,Reference!$D:$D,"null")</f>
        <v>Makanan dan Pakaian </v>
      </c>
      <c r="G2626" s="85" t="s">
        <v>48</v>
      </c>
      <c r="H2626" s="86">
        <v>115.0</v>
      </c>
      <c r="I2626" s="86">
        <v>113.6</v>
      </c>
      <c r="J2626" s="87">
        <f t="shared" si="2"/>
        <v>1.232394366</v>
      </c>
      <c r="K2626" s="84" t="str">
        <f t="shared" si="3"/>
        <v>Inflasi Tinggi</v>
      </c>
      <c r="L2626" s="84">
        <f t="shared" si="4"/>
        <v>1.4</v>
      </c>
      <c r="M2626" s="88" t="str">
        <f t="shared" si="5"/>
        <v>Akselerasi Persentase</v>
      </c>
    </row>
    <row r="2627" ht="18.75" customHeight="1">
      <c r="A2627" s="80" t="s">
        <v>715</v>
      </c>
      <c r="B2627" s="81" t="str">
        <f t="shared" si="1"/>
        <v>Kab Bojonegoro</v>
      </c>
      <c r="C2627" s="81" t="str">
        <f t="array" ref="C2627">xlookup(B2627,Reference!$A$2:$A$152,Reference!$B$2:$B$152)</f>
        <v>Jawa Timur</v>
      </c>
      <c r="D2627" s="82" t="s">
        <v>3066</v>
      </c>
      <c r="E2627" s="83">
        <v>45352.0</v>
      </c>
      <c r="F2627" s="91" t="str">
        <f t="array" ref="F2627">XLOOKUP(G2627,Reference!$F:$F,Reference!$D:$D,"null")</f>
        <v>Rumah Tangga</v>
      </c>
      <c r="G2627" s="85" t="s">
        <v>89</v>
      </c>
      <c r="H2627" s="86">
        <v>120.35</v>
      </c>
      <c r="I2627" s="86">
        <v>116.87</v>
      </c>
      <c r="J2627" s="87">
        <f t="shared" si="2"/>
        <v>2.977667494</v>
      </c>
      <c r="K2627" s="84" t="str">
        <f t="shared" si="3"/>
        <v>Inflasi Tinggi</v>
      </c>
      <c r="L2627" s="84">
        <f t="shared" si="4"/>
        <v>3.48</v>
      </c>
      <c r="M2627" s="88" t="str">
        <f t="shared" si="5"/>
        <v>Akselerasi Kuat</v>
      </c>
    </row>
    <row r="2628" ht="18.75" customHeight="1">
      <c r="A2628" s="80" t="s">
        <v>586</v>
      </c>
      <c r="B2628" s="81" t="str">
        <f t="shared" si="1"/>
        <v>Kab Karimun</v>
      </c>
      <c r="C2628" s="81" t="str">
        <f t="array" ref="C2628">xlookup(B2628,Reference!$A$2:$A$152,Reference!$B$2:$B$152)</f>
        <v>Kepulauan Riau</v>
      </c>
      <c r="D2628" s="82" t="s">
        <v>3067</v>
      </c>
      <c r="E2628" s="83">
        <v>45352.0</v>
      </c>
      <c r="F2628" s="91" t="str">
        <f t="array" ref="F2628">XLOOKUP(G2628,Reference!$F:$F,Reference!$D:$D,"null")</f>
        <v>Makanan dan Pakaian </v>
      </c>
      <c r="G2628" s="89" t="s">
        <v>48</v>
      </c>
      <c r="H2628" s="90">
        <v>107.14</v>
      </c>
      <c r="I2628" s="90">
        <v>105.66</v>
      </c>
      <c r="J2628" s="87">
        <f t="shared" si="2"/>
        <v>1.400719288</v>
      </c>
      <c r="K2628" s="84" t="str">
        <f t="shared" si="3"/>
        <v>Inflasi Tinggi</v>
      </c>
      <c r="L2628" s="91">
        <f t="shared" si="4"/>
        <v>1.48</v>
      </c>
      <c r="M2628" s="88" t="str">
        <f t="shared" si="5"/>
        <v>Akselerasi Persentase</v>
      </c>
    </row>
    <row r="2629" ht="18.75" customHeight="1">
      <c r="A2629" s="80" t="s">
        <v>391</v>
      </c>
      <c r="B2629" s="81" t="str">
        <f t="shared" si="1"/>
        <v>Kota Batam</v>
      </c>
      <c r="C2629" s="81" t="str">
        <f t="array" ref="C2629">XLOOKUP(B2629,Reference!$A$2:$A$152,Reference!$B$2:$B$152)</f>
        <v>Kepulauan Riau</v>
      </c>
      <c r="D2629" s="82" t="s">
        <v>3068</v>
      </c>
      <c r="E2629" s="83">
        <v>45352.0</v>
      </c>
      <c r="F2629" s="84" t="str">
        <f t="array" ref="F2629">XLOOKUP(G2629,Reference!$F:$F,Reference!$D:$D,"null")</f>
        <v>Makanan dan Pakaian </v>
      </c>
      <c r="G2629" s="85" t="s">
        <v>48</v>
      </c>
      <c r="H2629" s="86">
        <v>108.66</v>
      </c>
      <c r="I2629" s="86">
        <v>107.29</v>
      </c>
      <c r="J2629" s="87">
        <f t="shared" si="2"/>
        <v>1.276913039</v>
      </c>
      <c r="K2629" s="84" t="str">
        <f t="shared" si="3"/>
        <v>Inflasi Tinggi</v>
      </c>
      <c r="L2629" s="84">
        <f t="shared" si="4"/>
        <v>1.37</v>
      </c>
      <c r="M2629" s="88" t="str">
        <f t="shared" si="5"/>
        <v>Akselerasi Persentase</v>
      </c>
    </row>
    <row r="2630" ht="18.75" customHeight="1">
      <c r="A2630" s="80" t="s">
        <v>387</v>
      </c>
      <c r="B2630" s="81" t="str">
        <f t="shared" si="1"/>
        <v>Kota Semarang</v>
      </c>
      <c r="C2630" s="81" t="str">
        <f t="array" ref="C2630">XLOOKUP(B2630,Reference!$A$2:$A$152,Reference!$B$2:$B$152)</f>
        <v>Jawa Tengah</v>
      </c>
      <c r="D2630" s="82" t="s">
        <v>3069</v>
      </c>
      <c r="E2630" s="83">
        <v>45352.0</v>
      </c>
      <c r="F2630" s="84" t="str">
        <f t="array" ref="F2630">XLOOKUP(G2630,Reference!$F:$F,Reference!$D:$D,"null")</f>
        <v>Rumah Tangga</v>
      </c>
      <c r="G2630" s="85" t="s">
        <v>80</v>
      </c>
      <c r="H2630" s="86">
        <v>100.82</v>
      </c>
      <c r="I2630" s="86">
        <v>100.82</v>
      </c>
      <c r="J2630" s="87">
        <f t="shared" si="2"/>
        <v>0</v>
      </c>
      <c r="K2630" s="84" t="str">
        <f t="shared" si="3"/>
        <v>Stabil</v>
      </c>
      <c r="L2630" s="84">
        <f t="shared" si="4"/>
        <v>0</v>
      </c>
      <c r="M2630" s="88" t="str">
        <f t="shared" si="5"/>
        <v>Perubahan Normal</v>
      </c>
    </row>
    <row r="2631" ht="18.75" customHeight="1">
      <c r="A2631" s="80" t="s">
        <v>456</v>
      </c>
      <c r="B2631" s="81" t="str">
        <f t="shared" si="1"/>
        <v>Kab Aceh Tamiang</v>
      </c>
      <c r="C2631" s="81" t="str">
        <f t="array" ref="C2631">XLOOKUP(B2631,Reference!$A$2:$A$152,Reference!$B$2:$B$152)</f>
        <v>Aceh</v>
      </c>
      <c r="D2631" s="82" t="s">
        <v>3070</v>
      </c>
      <c r="E2631" s="83">
        <v>45323.0</v>
      </c>
      <c r="F2631" s="84" t="str">
        <f t="array" ref="F2631">XLOOKUP(G2631,Reference!$F:$F,Reference!$D:$D,"null")</f>
        <v>Rumah Tangga</v>
      </c>
      <c r="G2631" s="85" t="s">
        <v>84</v>
      </c>
      <c r="H2631" s="86">
        <v>99.84</v>
      </c>
      <c r="I2631" s="86">
        <v>99.84</v>
      </c>
      <c r="J2631" s="87">
        <f t="shared" si="2"/>
        <v>0</v>
      </c>
      <c r="K2631" s="84" t="str">
        <f t="shared" si="3"/>
        <v>Stabil</v>
      </c>
      <c r="L2631" s="84">
        <f t="shared" si="4"/>
        <v>0</v>
      </c>
      <c r="M2631" s="88" t="str">
        <f t="shared" si="5"/>
        <v>Perubahan Normal</v>
      </c>
    </row>
    <row r="2632" ht="18.75" customHeight="1">
      <c r="A2632" s="80" t="s">
        <v>460</v>
      </c>
      <c r="B2632" s="81" t="str">
        <f t="shared" si="1"/>
        <v>Kab Kayong Utara</v>
      </c>
      <c r="C2632" s="81" t="str">
        <f t="array" ref="C2632">XLOOKUP(B2632,Reference!$A$2:$A$152,Reference!$B$2:$B$152)</f>
        <v>Kalimantan Barat</v>
      </c>
      <c r="D2632" s="82" t="s">
        <v>3071</v>
      </c>
      <c r="E2632" s="83">
        <v>45323.0</v>
      </c>
      <c r="F2632" s="84" t="str">
        <f t="array" ref="F2632">XLOOKUP(G2632,Reference!$F:$F,Reference!$D:$D,"null")</f>
        <v>Pendidikan dan Kesehatan</v>
      </c>
      <c r="G2632" s="85" t="s">
        <v>98</v>
      </c>
      <c r="H2632" s="86">
        <v>105.84</v>
      </c>
      <c r="I2632" s="86">
        <v>105.82</v>
      </c>
      <c r="J2632" s="87">
        <f t="shared" si="2"/>
        <v>0.0189000189</v>
      </c>
      <c r="K2632" s="84" t="str">
        <f t="shared" si="3"/>
        <v>Inflasi Normal</v>
      </c>
      <c r="L2632" s="84">
        <f t="shared" si="4"/>
        <v>0.02</v>
      </c>
      <c r="M2632" s="88" t="str">
        <f t="shared" si="5"/>
        <v>Perubahan Normal</v>
      </c>
    </row>
    <row r="2633" ht="18.75" customHeight="1">
      <c r="A2633" s="80" t="s">
        <v>488</v>
      </c>
      <c r="B2633" s="81" t="str">
        <f t="shared" si="1"/>
        <v>Kab Muko Muko</v>
      </c>
      <c r="C2633" s="81" t="str">
        <f t="array" ref="C2633">XLOOKUP(B2633,Reference!$A$2:$A$152,Reference!$B$2:$B$152)</f>
        <v>Bengkulu</v>
      </c>
      <c r="D2633" s="82" t="s">
        <v>3072</v>
      </c>
      <c r="E2633" s="83">
        <v>45323.0</v>
      </c>
      <c r="F2633" s="84" t="str">
        <f t="array" ref="F2633">XLOOKUP(G2633,Reference!$F:$F,Reference!$D:$D,"null")</f>
        <v>Rumah Tangga</v>
      </c>
      <c r="G2633" s="85" t="s">
        <v>89</v>
      </c>
      <c r="H2633" s="86">
        <v>122.67</v>
      </c>
      <c r="I2633" s="86">
        <v>122.67</v>
      </c>
      <c r="J2633" s="87">
        <f t="shared" si="2"/>
        <v>0</v>
      </c>
      <c r="K2633" s="84" t="str">
        <f t="shared" si="3"/>
        <v>Stabil</v>
      </c>
      <c r="L2633" s="84">
        <f t="shared" si="4"/>
        <v>0</v>
      </c>
      <c r="M2633" s="88" t="str">
        <f t="shared" si="5"/>
        <v>Perubahan Normal</v>
      </c>
    </row>
    <row r="2634" ht="18.75" customHeight="1">
      <c r="A2634" s="80" t="s">
        <v>764</v>
      </c>
      <c r="B2634" s="81" t="str">
        <f t="shared" si="1"/>
        <v>Kota Madiun</v>
      </c>
      <c r="C2634" s="81" t="str">
        <f t="array" ref="C2634">XLOOKUP(B2634,Reference!$A$2:$A$152,Reference!$B$2:$B$152)</f>
        <v>Jawa Timur</v>
      </c>
      <c r="D2634" s="82" t="s">
        <v>3073</v>
      </c>
      <c r="E2634" s="83">
        <v>45352.0</v>
      </c>
      <c r="F2634" s="84" t="str">
        <f t="array" ref="F2634">XLOOKUP(G2634,Reference!$F:$F,Reference!$D:$D,"null")</f>
        <v>Makanan dan Pakaian </v>
      </c>
      <c r="G2634" s="85" t="s">
        <v>72</v>
      </c>
      <c r="H2634" s="86">
        <v>101.58</v>
      </c>
      <c r="I2634" s="86">
        <v>101.58</v>
      </c>
      <c r="J2634" s="87">
        <f t="shared" si="2"/>
        <v>0</v>
      </c>
      <c r="K2634" s="84" t="str">
        <f t="shared" si="3"/>
        <v>Stabil</v>
      </c>
      <c r="L2634" s="84">
        <f t="shared" si="4"/>
        <v>0</v>
      </c>
      <c r="M2634" s="88" t="str">
        <f t="shared" si="5"/>
        <v>Perubahan Normal</v>
      </c>
    </row>
    <row r="2635" ht="18.75" customHeight="1">
      <c r="A2635" s="80" t="s">
        <v>387</v>
      </c>
      <c r="B2635" s="81" t="str">
        <f t="shared" si="1"/>
        <v>Kota Semarang</v>
      </c>
      <c r="C2635" s="81" t="str">
        <f t="array" ref="C2635">XLOOKUP(B2635,Reference!$A$2:$A$152,Reference!$B$2:$B$152)</f>
        <v>Jawa Tengah</v>
      </c>
      <c r="D2635" s="82" t="s">
        <v>3074</v>
      </c>
      <c r="E2635" s="83">
        <v>45352.0</v>
      </c>
      <c r="F2635" s="84" t="str">
        <f t="array" ref="F2635">XLOOKUP(G2635,Reference!$F:$F,Reference!$D:$D,"null")</f>
        <v>Makanan dan Pakaian </v>
      </c>
      <c r="G2635" s="85" t="s">
        <v>56</v>
      </c>
      <c r="H2635" s="86">
        <v>105.87</v>
      </c>
      <c r="I2635" s="86">
        <v>105.86</v>
      </c>
      <c r="J2635" s="87">
        <f t="shared" si="2"/>
        <v>0.009446438693</v>
      </c>
      <c r="K2635" s="84" t="str">
        <f t="shared" si="3"/>
        <v>Inflasi Normal</v>
      </c>
      <c r="L2635" s="84">
        <f t="shared" si="4"/>
        <v>0.01</v>
      </c>
      <c r="M2635" s="88" t="str">
        <f t="shared" si="5"/>
        <v>Perubahan Normal</v>
      </c>
    </row>
    <row r="2636" ht="18.75" customHeight="1">
      <c r="A2636" s="80" t="s">
        <v>558</v>
      </c>
      <c r="B2636" s="81" t="str">
        <f t="shared" si="1"/>
        <v>Kab Kapuas</v>
      </c>
      <c r="C2636" s="81" t="str">
        <f t="array" ref="C2636">XLOOKUP(B2636,Reference!$A$2:$A$152,Reference!$B$2:$B$152)</f>
        <v>Kalimantan Tengah</v>
      </c>
      <c r="D2636" s="82" t="s">
        <v>3075</v>
      </c>
      <c r="E2636" s="83">
        <v>45352.0</v>
      </c>
      <c r="F2636" s="84" t="str">
        <f t="array" ref="F2636">XLOOKUP(G2636,Reference!$F:$F,Reference!$D:$D,"null")</f>
        <v>Makanan dan Pakaian </v>
      </c>
      <c r="G2636" s="85" t="s">
        <v>64</v>
      </c>
      <c r="H2636" s="86">
        <v>105.15</v>
      </c>
      <c r="I2636" s="86">
        <v>105.11</v>
      </c>
      <c r="J2636" s="87">
        <f t="shared" si="2"/>
        <v>0.03805537056</v>
      </c>
      <c r="K2636" s="84" t="str">
        <f t="shared" si="3"/>
        <v>Inflasi Normal</v>
      </c>
      <c r="L2636" s="84">
        <f t="shared" si="4"/>
        <v>0.04</v>
      </c>
      <c r="M2636" s="88" t="str">
        <f t="shared" si="5"/>
        <v>Perubahan Normal</v>
      </c>
    </row>
    <row r="2637" ht="18.75" customHeight="1">
      <c r="A2637" s="80" t="s">
        <v>438</v>
      </c>
      <c r="B2637" s="81" t="str">
        <f t="shared" si="1"/>
        <v>Kab Muara Enim</v>
      </c>
      <c r="C2637" s="81" t="str">
        <f t="array" ref="C2637">XLOOKUP(B2637,Reference!$A$2:$A$152,Reference!$B$2:$B$152)</f>
        <v>Sumatera Selatan</v>
      </c>
      <c r="D2637" s="82" t="s">
        <v>3076</v>
      </c>
      <c r="E2637" s="83">
        <v>45352.0</v>
      </c>
      <c r="F2637" s="84" t="str">
        <f t="array" ref="F2637">XLOOKUP(G2637,Reference!$F:$F,Reference!$D:$D,"null")</f>
        <v>Pendidikan dan Kesehatan</v>
      </c>
      <c r="G2637" s="85" t="s">
        <v>95</v>
      </c>
      <c r="H2637" s="86">
        <v>100.0</v>
      </c>
      <c r="I2637" s="86">
        <v>100.0</v>
      </c>
      <c r="J2637" s="87">
        <f t="shared" si="2"/>
        <v>0</v>
      </c>
      <c r="K2637" s="84" t="str">
        <f t="shared" si="3"/>
        <v>Stabil</v>
      </c>
      <c r="L2637" s="84">
        <f t="shared" si="4"/>
        <v>0</v>
      </c>
      <c r="M2637" s="88" t="str">
        <f t="shared" si="5"/>
        <v>Perubahan Normal</v>
      </c>
    </row>
    <row r="2638" ht="18.75" customHeight="1">
      <c r="A2638" s="80" t="s">
        <v>706</v>
      </c>
      <c r="B2638" s="81" t="str">
        <f t="shared" si="1"/>
        <v>Kota Makassar</v>
      </c>
      <c r="C2638" s="81" t="str">
        <f t="array" ref="C2638">XLOOKUP(B2638,Reference!$A$2:$A$152,Reference!$B$2:$B$152)</f>
        <v>Sulawesi Selatan</v>
      </c>
      <c r="D2638" s="82" t="s">
        <v>3077</v>
      </c>
      <c r="E2638" s="83">
        <v>45323.0</v>
      </c>
      <c r="F2638" s="84" t="str">
        <f t="array" ref="F2638">XLOOKUP(G2638,Reference!$F:$F,Reference!$D:$D,"null")</f>
        <v>Makanan dan Pakaian </v>
      </c>
      <c r="G2638" s="85" t="s">
        <v>56</v>
      </c>
      <c r="H2638" s="86">
        <v>105.5</v>
      </c>
      <c r="I2638" s="86">
        <v>105.52</v>
      </c>
      <c r="J2638" s="87">
        <f t="shared" si="2"/>
        <v>-0.01895375284</v>
      </c>
      <c r="K2638" s="84" t="str">
        <f t="shared" si="3"/>
        <v>Deflasi</v>
      </c>
      <c r="L2638" s="84">
        <f t="shared" si="4"/>
        <v>-0.02</v>
      </c>
      <c r="M2638" s="88" t="str">
        <f t="shared" si="5"/>
        <v>Perubahan Normal</v>
      </c>
    </row>
    <row r="2639" ht="18.75" customHeight="1">
      <c r="A2639" s="80" t="s">
        <v>656</v>
      </c>
      <c r="B2639" s="81" t="str">
        <f t="shared" si="1"/>
        <v>Kota Palopo</v>
      </c>
      <c r="C2639" s="81" t="str">
        <f t="array" ref="C2639">XLOOKUP(B2639,Reference!$A$2:$A$152,Reference!$B$2:$B$152)</f>
        <v>Sulawesi Selatan</v>
      </c>
      <c r="D2639" s="82" t="s">
        <v>3078</v>
      </c>
      <c r="E2639" s="83">
        <v>45323.0</v>
      </c>
      <c r="F2639" s="84" t="str">
        <f t="array" ref="F2639">XLOOKUP(G2639,Reference!$F:$F,Reference!$D:$D,"null")</f>
        <v>Rumah Tangga</v>
      </c>
      <c r="G2639" s="85" t="s">
        <v>84</v>
      </c>
      <c r="H2639" s="86">
        <v>100.05</v>
      </c>
      <c r="I2639" s="86">
        <v>100.05</v>
      </c>
      <c r="J2639" s="87">
        <f t="shared" si="2"/>
        <v>0</v>
      </c>
      <c r="K2639" s="84" t="str">
        <f t="shared" si="3"/>
        <v>Stabil</v>
      </c>
      <c r="L2639" s="84">
        <f t="shared" si="4"/>
        <v>0</v>
      </c>
      <c r="M2639" s="88" t="str">
        <f t="shared" si="5"/>
        <v>Perubahan Normal</v>
      </c>
    </row>
    <row r="2640" ht="18.75" customHeight="1">
      <c r="A2640" s="80" t="s">
        <v>558</v>
      </c>
      <c r="B2640" s="81" t="str">
        <f t="shared" si="1"/>
        <v>Kab Kapuas</v>
      </c>
      <c r="C2640" s="81" t="str">
        <f t="array" ref="C2640">XLOOKUP(B2640,Reference!$A$2:$A$152,Reference!$B$2:$B$152)</f>
        <v>Kalimantan Tengah</v>
      </c>
      <c r="D2640" s="82" t="s">
        <v>3079</v>
      </c>
      <c r="E2640" s="83">
        <v>45323.0</v>
      </c>
      <c r="F2640" s="84" t="str">
        <f t="array" ref="F2640">XLOOKUP(G2640,Reference!$F:$F,Reference!$D:$D,"null")</f>
        <v>Pendidikan dan Kesehatan</v>
      </c>
      <c r="G2640" s="85" t="s">
        <v>95</v>
      </c>
      <c r="H2640" s="86">
        <v>100.0</v>
      </c>
      <c r="I2640" s="86">
        <v>100.0</v>
      </c>
      <c r="J2640" s="87">
        <f t="shared" si="2"/>
        <v>0</v>
      </c>
      <c r="K2640" s="84" t="str">
        <f t="shared" si="3"/>
        <v>Stabil</v>
      </c>
      <c r="L2640" s="84">
        <f t="shared" si="4"/>
        <v>0</v>
      </c>
      <c r="M2640" s="88" t="str">
        <f t="shared" si="5"/>
        <v>Perubahan Normal</v>
      </c>
    </row>
    <row r="2641" ht="18.75" customHeight="1">
      <c r="A2641" s="80" t="s">
        <v>312</v>
      </c>
      <c r="B2641" s="81" t="str">
        <f t="shared" si="1"/>
        <v>Kab Jayawijaya</v>
      </c>
      <c r="C2641" s="81" t="str">
        <f t="array" ref="C2641">XLOOKUP(B2641,Reference!$A$2:$A$152,Reference!$B$2:$B$152)</f>
        <v>Papua</v>
      </c>
      <c r="D2641" s="82" t="s">
        <v>3080</v>
      </c>
      <c r="E2641" s="83">
        <v>45323.0</v>
      </c>
      <c r="F2641" s="84" t="str">
        <f t="array" ref="F2641">XLOOKUP(G2641,Reference!$F:$F,Reference!$D:$D,"null")</f>
        <v>Rumah Tangga</v>
      </c>
      <c r="G2641" s="85" t="s">
        <v>80</v>
      </c>
      <c r="H2641" s="86">
        <v>100.0</v>
      </c>
      <c r="I2641" s="86">
        <v>100.0</v>
      </c>
      <c r="J2641" s="87">
        <f t="shared" si="2"/>
        <v>0</v>
      </c>
      <c r="K2641" s="84" t="str">
        <f t="shared" si="3"/>
        <v>Stabil</v>
      </c>
      <c r="L2641" s="84">
        <f t="shared" si="4"/>
        <v>0</v>
      </c>
      <c r="M2641" s="88" t="str">
        <f t="shared" si="5"/>
        <v>Perubahan Normal</v>
      </c>
    </row>
    <row r="2642" ht="18.75" customHeight="1">
      <c r="A2642" s="80" t="s">
        <v>934</v>
      </c>
      <c r="B2642" s="81" t="str">
        <f t="shared" si="1"/>
        <v>Kab Kolaka</v>
      </c>
      <c r="C2642" s="81" t="str">
        <f t="array" ref="C2642">XLOOKUP(B2642,Reference!$A$2:$A$152,Reference!$B$2:$B$152)</f>
        <v>Sulawesi Tenggara</v>
      </c>
      <c r="D2642" s="82" t="s">
        <v>3081</v>
      </c>
      <c r="E2642" s="83">
        <v>45352.0</v>
      </c>
      <c r="F2642" s="84" t="str">
        <f t="array" ref="F2642">XLOOKUP(G2642,Reference!$F:$F,Reference!$D:$D,"null")</f>
        <v>Rumah Tangga</v>
      </c>
      <c r="G2642" s="85" t="s">
        <v>84</v>
      </c>
      <c r="H2642" s="86">
        <v>106.17</v>
      </c>
      <c r="I2642" s="86">
        <v>106.09</v>
      </c>
      <c r="J2642" s="87">
        <f t="shared" si="2"/>
        <v>0.07540767273</v>
      </c>
      <c r="K2642" s="84" t="str">
        <f t="shared" si="3"/>
        <v>Inflasi Normal</v>
      </c>
      <c r="L2642" s="84">
        <f t="shared" si="4"/>
        <v>0.08</v>
      </c>
      <c r="M2642" s="88" t="str">
        <f t="shared" si="5"/>
        <v>Perubahan Normal</v>
      </c>
    </row>
    <row r="2643" ht="18.75" customHeight="1">
      <c r="A2643" s="80" t="s">
        <v>337</v>
      </c>
      <c r="B2643" s="81" t="str">
        <f t="shared" si="1"/>
        <v>Merauke</v>
      </c>
      <c r="C2643" s="81" t="str">
        <f t="array" ref="C2643">XLOOKUP(B2643,Reference!$A$2:$A$152,Reference!$B$2:$B$152)</f>
        <v>Papua</v>
      </c>
      <c r="D2643" s="82" t="s">
        <v>3082</v>
      </c>
      <c r="E2643" s="83">
        <v>45323.0</v>
      </c>
      <c r="F2643" s="84" t="str">
        <f t="array" ref="F2643">XLOOKUP(G2643,Reference!$F:$F,Reference!$D:$D,"null")</f>
        <v>Makanan dan Pakaian </v>
      </c>
      <c r="G2643" s="85" t="s">
        <v>48</v>
      </c>
      <c r="H2643" s="86">
        <v>108.86</v>
      </c>
      <c r="I2643" s="86">
        <v>108.96</v>
      </c>
      <c r="J2643" s="87">
        <f t="shared" si="2"/>
        <v>-0.09177679883</v>
      </c>
      <c r="K2643" s="84" t="str">
        <f t="shared" si="3"/>
        <v>Deflasi</v>
      </c>
      <c r="L2643" s="84">
        <f t="shared" si="4"/>
        <v>-0.1</v>
      </c>
      <c r="M2643" s="88" t="str">
        <f t="shared" si="5"/>
        <v>Perubahan Normal</v>
      </c>
    </row>
    <row r="2644" ht="18.75" customHeight="1">
      <c r="A2644" s="80" t="s">
        <v>340</v>
      </c>
      <c r="B2644" s="81" t="str">
        <f t="shared" si="1"/>
        <v>Kab Rembang</v>
      </c>
      <c r="C2644" s="81" t="str">
        <f t="array" ref="C2644">XLOOKUP(B2644,Reference!$A$2:$A$152,Reference!$B$2:$B$152)</f>
        <v>Jawa Tengah</v>
      </c>
      <c r="D2644" s="82" t="s">
        <v>3083</v>
      </c>
      <c r="E2644" s="83">
        <v>45323.0</v>
      </c>
      <c r="F2644" s="84" t="str">
        <f t="array" ref="F2644">XLOOKUP(G2644,Reference!$F:$F,Reference!$D:$D,"null")</f>
        <v>Makanan dan Pakaian </v>
      </c>
      <c r="G2644" s="85" t="s">
        <v>72</v>
      </c>
      <c r="H2644" s="86">
        <v>113.35</v>
      </c>
      <c r="I2644" s="86">
        <v>113.13</v>
      </c>
      <c r="J2644" s="87">
        <f t="shared" si="2"/>
        <v>0.1944665429</v>
      </c>
      <c r="K2644" s="84" t="str">
        <f t="shared" si="3"/>
        <v>Inflasi Normal</v>
      </c>
      <c r="L2644" s="84">
        <f t="shared" si="4"/>
        <v>0.22</v>
      </c>
      <c r="M2644" s="88" t="str">
        <f t="shared" si="5"/>
        <v>Perubahan Normal</v>
      </c>
    </row>
    <row r="2645" ht="18.75" customHeight="1">
      <c r="A2645" s="80" t="s">
        <v>934</v>
      </c>
      <c r="B2645" s="81" t="str">
        <f t="shared" si="1"/>
        <v>Kab Kolaka</v>
      </c>
      <c r="C2645" s="81" t="str">
        <f t="array" ref="C2645">XLOOKUP(B2645,Reference!$A$2:$A$152,Reference!$B$2:$B$152)</f>
        <v>Sulawesi Tenggara</v>
      </c>
      <c r="D2645" s="82" t="s">
        <v>3084</v>
      </c>
      <c r="E2645" s="83">
        <v>45352.0</v>
      </c>
      <c r="F2645" s="84" t="str">
        <f t="array" ref="F2645">XLOOKUP(G2645,Reference!$F:$F,Reference!$D:$D,"null")</f>
        <v>Pendidikan dan Kesehatan</v>
      </c>
      <c r="G2645" s="85" t="s">
        <v>98</v>
      </c>
      <c r="H2645" s="86">
        <v>99.44</v>
      </c>
      <c r="I2645" s="86">
        <v>99.44</v>
      </c>
      <c r="J2645" s="87">
        <f t="shared" si="2"/>
        <v>0</v>
      </c>
      <c r="K2645" s="84" t="str">
        <f t="shared" si="3"/>
        <v>Stabil</v>
      </c>
      <c r="L2645" s="84">
        <f t="shared" si="4"/>
        <v>0</v>
      </c>
      <c r="M2645" s="88" t="str">
        <f t="shared" si="5"/>
        <v>Perubahan Normal</v>
      </c>
    </row>
    <row r="2646" ht="18.75" customHeight="1">
      <c r="A2646" s="80" t="s">
        <v>335</v>
      </c>
      <c r="B2646" s="81" t="str">
        <f t="shared" si="1"/>
        <v>Kab Wonogiri</v>
      </c>
      <c r="C2646" s="81" t="str">
        <f t="array" ref="C2646">XLOOKUP(B2646,Reference!$A$2:$A$152,Reference!$B$2:$B$152)</f>
        <v>Jawa Tengah</v>
      </c>
      <c r="D2646" s="82" t="s">
        <v>3085</v>
      </c>
      <c r="E2646" s="83">
        <v>45323.0</v>
      </c>
      <c r="F2646" s="84" t="str">
        <f t="array" ref="F2646">XLOOKUP(G2646,Reference!$F:$F,Reference!$D:$D,"null")</f>
        <v>Rumah Tangga</v>
      </c>
      <c r="G2646" s="85" t="s">
        <v>89</v>
      </c>
      <c r="H2646" s="86">
        <v>107.12</v>
      </c>
      <c r="I2646" s="86">
        <v>107.12</v>
      </c>
      <c r="J2646" s="87">
        <f t="shared" si="2"/>
        <v>0</v>
      </c>
      <c r="K2646" s="84" t="str">
        <f t="shared" si="3"/>
        <v>Stabil</v>
      </c>
      <c r="L2646" s="84">
        <f t="shared" si="4"/>
        <v>0</v>
      </c>
      <c r="M2646" s="88" t="str">
        <f t="shared" si="5"/>
        <v>Perubahan Normal</v>
      </c>
    </row>
    <row r="2647" ht="18.75" customHeight="1">
      <c r="A2647" s="80" t="s">
        <v>1031</v>
      </c>
      <c r="B2647" s="81" t="str">
        <f t="shared" si="1"/>
        <v>Kab Majene</v>
      </c>
      <c r="C2647" s="81" t="str">
        <f t="array" ref="C2647">XLOOKUP(B2647,Reference!$A$2:$A$152,Reference!$B$2:$B$152)</f>
        <v>Sulawesi Barat</v>
      </c>
      <c r="D2647" s="82" t="s">
        <v>3086</v>
      </c>
      <c r="E2647" s="83">
        <v>45352.0</v>
      </c>
      <c r="F2647" s="84" t="str">
        <f t="array" ref="F2647">XLOOKUP(G2647,Reference!$F:$F,Reference!$D:$D,"null")</f>
        <v>Rumah Tangga</v>
      </c>
      <c r="G2647" s="85" t="s">
        <v>80</v>
      </c>
      <c r="H2647" s="86">
        <v>105.45</v>
      </c>
      <c r="I2647" s="86">
        <v>104.57</v>
      </c>
      <c r="J2647" s="87">
        <f t="shared" si="2"/>
        <v>0.8415415511</v>
      </c>
      <c r="K2647" s="84" t="str">
        <f t="shared" si="3"/>
        <v>Inflasi Tinggi</v>
      </c>
      <c r="L2647" s="84">
        <f t="shared" si="4"/>
        <v>0.88</v>
      </c>
      <c r="M2647" s="88" t="str">
        <f t="shared" si="5"/>
        <v>Akselerasi Persentase</v>
      </c>
    </row>
    <row r="2648" ht="18.75" customHeight="1">
      <c r="A2648" s="80" t="s">
        <v>421</v>
      </c>
      <c r="B2648" s="81" t="str">
        <f t="shared" si="1"/>
        <v>Kab Halmahera Tengah</v>
      </c>
      <c r="C2648" s="81" t="str">
        <f t="array" ref="C2648">XLOOKUP(B2648,Reference!$A$2:$A$152,Reference!$B$2:$B$152)</f>
        <v>Maluku Utara</v>
      </c>
      <c r="D2648" s="82" t="s">
        <v>3087</v>
      </c>
      <c r="E2648" s="83">
        <v>45323.0</v>
      </c>
      <c r="F2648" s="84" t="str">
        <f t="array" ref="F2648">XLOOKUP(G2648,Reference!$F:$F,Reference!$D:$D,"null")</f>
        <v>Pendidikan dan Kesehatan</v>
      </c>
      <c r="G2648" s="85" t="s">
        <v>98</v>
      </c>
      <c r="H2648" s="86">
        <v>95.2</v>
      </c>
      <c r="I2648" s="86">
        <v>95.18</v>
      </c>
      <c r="J2648" s="87">
        <f t="shared" si="2"/>
        <v>0.02101281782</v>
      </c>
      <c r="K2648" s="84" t="str">
        <f t="shared" si="3"/>
        <v>Inflasi Normal</v>
      </c>
      <c r="L2648" s="84">
        <f t="shared" si="4"/>
        <v>0.02</v>
      </c>
      <c r="M2648" s="88" t="str">
        <f t="shared" si="5"/>
        <v>Perubahan Normal</v>
      </c>
    </row>
    <row r="2649" ht="18.75" customHeight="1">
      <c r="A2649" s="80" t="s">
        <v>515</v>
      </c>
      <c r="B2649" s="81" t="str">
        <f t="shared" si="1"/>
        <v>Kab Gresik</v>
      </c>
      <c r="C2649" s="81" t="str">
        <f t="array" ref="C2649">XLOOKUP(B2649,Reference!$A$2:$A$152,Reference!$B$2:$B$152)</f>
        <v>Jawa Timur</v>
      </c>
      <c r="D2649" s="82" t="s">
        <v>3088</v>
      </c>
      <c r="E2649" s="83">
        <v>45323.0</v>
      </c>
      <c r="F2649" s="84" t="str">
        <f t="array" ref="F2649">XLOOKUP(G2649,Reference!$F:$F,Reference!$D:$D,"null")</f>
        <v>Rekreasi dan Kendaraan</v>
      </c>
      <c r="G2649" s="85" t="s">
        <v>102</v>
      </c>
      <c r="H2649" s="86">
        <v>103.91</v>
      </c>
      <c r="I2649" s="86">
        <v>103.82</v>
      </c>
      <c r="J2649" s="87">
        <f t="shared" si="2"/>
        <v>0.08668849933</v>
      </c>
      <c r="K2649" s="84" t="str">
        <f t="shared" si="3"/>
        <v>Inflasi Normal</v>
      </c>
      <c r="L2649" s="84">
        <f t="shared" si="4"/>
        <v>0.09</v>
      </c>
      <c r="M2649" s="88" t="str">
        <f t="shared" si="5"/>
        <v>Perubahan Normal</v>
      </c>
    </row>
    <row r="2650" ht="18.75" customHeight="1">
      <c r="A2650" s="80" t="s">
        <v>320</v>
      </c>
      <c r="B2650" s="81" t="str">
        <f t="shared" si="1"/>
        <v>Kota Manado</v>
      </c>
      <c r="C2650" s="81" t="str">
        <f t="array" ref="C2650">XLOOKUP(B2650,Reference!$A$2:$A$152,Reference!$B$2:$B$152)</f>
        <v>Sulawesi Utara</v>
      </c>
      <c r="D2650" s="82" t="s">
        <v>3089</v>
      </c>
      <c r="E2650" s="83">
        <v>45323.0</v>
      </c>
      <c r="F2650" s="84" t="str">
        <f t="array" ref="F2650">XLOOKUP(G2650,Reference!$F:$F,Reference!$D:$D,"null")</f>
        <v>Rekreasi dan Kendaraan</v>
      </c>
      <c r="G2650" s="85" t="s">
        <v>102</v>
      </c>
      <c r="H2650" s="86">
        <v>99.18</v>
      </c>
      <c r="I2650" s="86">
        <v>98.18</v>
      </c>
      <c r="J2650" s="87">
        <f t="shared" si="2"/>
        <v>1.01853738</v>
      </c>
      <c r="K2650" s="84" t="str">
        <f t="shared" si="3"/>
        <v>Inflasi Tinggi</v>
      </c>
      <c r="L2650" s="84">
        <f t="shared" si="4"/>
        <v>1</v>
      </c>
      <c r="M2650" s="88" t="str">
        <f t="shared" si="5"/>
        <v>Akselerasi Persentase</v>
      </c>
    </row>
    <row r="2651" ht="18.75" customHeight="1">
      <c r="A2651" s="80" t="s">
        <v>934</v>
      </c>
      <c r="B2651" s="81" t="str">
        <f t="shared" si="1"/>
        <v>Kab Kolaka</v>
      </c>
      <c r="C2651" s="81" t="str">
        <f t="array" ref="C2651">XLOOKUP(B2651,Reference!$A$2:$A$152,Reference!$B$2:$B$152)</f>
        <v>Sulawesi Tenggara</v>
      </c>
      <c r="D2651" s="82" t="s">
        <v>3090</v>
      </c>
      <c r="E2651" s="83">
        <v>45352.0</v>
      </c>
      <c r="F2651" s="84" t="str">
        <f t="array" ref="F2651">XLOOKUP(G2651,Reference!$F:$F,Reference!$D:$D,"null")</f>
        <v>Makanan dan Pakaian </v>
      </c>
      <c r="G2651" s="85" t="s">
        <v>48</v>
      </c>
      <c r="H2651" s="86">
        <v>106.98</v>
      </c>
      <c r="I2651" s="86">
        <v>104.85</v>
      </c>
      <c r="J2651" s="87">
        <f t="shared" si="2"/>
        <v>2.031473534</v>
      </c>
      <c r="K2651" s="84" t="str">
        <f t="shared" si="3"/>
        <v>Inflasi Tinggi</v>
      </c>
      <c r="L2651" s="84">
        <f t="shared" si="4"/>
        <v>2.13</v>
      </c>
      <c r="M2651" s="88" t="str">
        <f t="shared" si="5"/>
        <v>Akselerasi Kuat</v>
      </c>
    </row>
    <row r="2652" ht="18.75" customHeight="1">
      <c r="A2652" s="80" t="s">
        <v>548</v>
      </c>
      <c r="B2652" s="81" t="str">
        <f t="shared" si="1"/>
        <v>Kota Metro</v>
      </c>
      <c r="C2652" s="81" t="str">
        <f t="array" ref="C2652">XLOOKUP(B2652,Reference!$A$2:$A$152,Reference!$B$2:$B$152)</f>
        <v>Lampung</v>
      </c>
      <c r="D2652" s="82" t="s">
        <v>3091</v>
      </c>
      <c r="E2652" s="83">
        <v>45323.0</v>
      </c>
      <c r="F2652" s="84" t="str">
        <f t="array" ref="F2652">XLOOKUP(G2652,Reference!$F:$F,Reference!$D:$D,"null")</f>
        <v>Makanan dan Pakaian </v>
      </c>
      <c r="G2652" s="85" t="s">
        <v>64</v>
      </c>
      <c r="H2652" s="86">
        <v>103.27</v>
      </c>
      <c r="I2652" s="86">
        <v>103.01</v>
      </c>
      <c r="J2652" s="87">
        <f t="shared" si="2"/>
        <v>0.2524026794</v>
      </c>
      <c r="K2652" s="84" t="str">
        <f t="shared" si="3"/>
        <v>Inflasi Normal</v>
      </c>
      <c r="L2652" s="84">
        <f t="shared" si="4"/>
        <v>0.26</v>
      </c>
      <c r="M2652" s="88" t="str">
        <f t="shared" si="5"/>
        <v>Perubahan Normal</v>
      </c>
    </row>
    <row r="2653" ht="18.75" customHeight="1">
      <c r="A2653" s="80" t="s">
        <v>505</v>
      </c>
      <c r="B2653" s="81" t="str">
        <f t="shared" si="1"/>
        <v>Kota Denpasar</v>
      </c>
      <c r="C2653" s="81" t="str">
        <f t="array" ref="C2653">XLOOKUP(B2653,Reference!$A$2:$A$152,Reference!$B$2:$B$152)</f>
        <v>Bali</v>
      </c>
      <c r="D2653" s="82" t="s">
        <v>3092</v>
      </c>
      <c r="E2653" s="83">
        <v>45352.0</v>
      </c>
      <c r="F2653" s="84" t="str">
        <f t="array" ref="F2653">XLOOKUP(G2653,Reference!$F:$F,Reference!$D:$D,"null")</f>
        <v>Rumah Tangga</v>
      </c>
      <c r="G2653" s="85" t="s">
        <v>89</v>
      </c>
      <c r="H2653" s="86">
        <v>107.03</v>
      </c>
      <c r="I2653" s="86">
        <v>100.48</v>
      </c>
      <c r="J2653" s="87">
        <f t="shared" si="2"/>
        <v>6.518710191</v>
      </c>
      <c r="K2653" s="84" t="str">
        <f t="shared" si="3"/>
        <v>Inflasi Tinggi</v>
      </c>
      <c r="L2653" s="84">
        <f t="shared" si="4"/>
        <v>6.55</v>
      </c>
      <c r="M2653" s="88" t="str">
        <f t="shared" si="5"/>
        <v>Akselerasi Kuat</v>
      </c>
    </row>
    <row r="2654" ht="18.75" customHeight="1">
      <c r="A2654" s="80" t="s">
        <v>535</v>
      </c>
      <c r="B2654" s="81" t="str">
        <f t="shared" si="1"/>
        <v>Kota Tarakan</v>
      </c>
      <c r="C2654" s="81" t="str">
        <f t="array" ref="C2654">XLOOKUP(B2654,Reference!$A$2:$A$152,Reference!$B$2:$B$152)</f>
        <v>Kalimantan Utara</v>
      </c>
      <c r="D2654" s="82" t="s">
        <v>3093</v>
      </c>
      <c r="E2654" s="83">
        <v>45323.0</v>
      </c>
      <c r="F2654" s="84" t="str">
        <f t="array" ref="F2654">XLOOKUP(G2654,Reference!$F:$F,Reference!$D:$D,"null")</f>
        <v>Rumah Tangga</v>
      </c>
      <c r="G2654" s="85" t="s">
        <v>84</v>
      </c>
      <c r="H2654" s="86">
        <v>100.66</v>
      </c>
      <c r="I2654" s="86">
        <v>100.66</v>
      </c>
      <c r="J2654" s="87">
        <f t="shared" si="2"/>
        <v>0</v>
      </c>
      <c r="K2654" s="84" t="str">
        <f t="shared" si="3"/>
        <v>Stabil</v>
      </c>
      <c r="L2654" s="84">
        <f t="shared" si="4"/>
        <v>0</v>
      </c>
      <c r="M2654" s="88" t="str">
        <f t="shared" si="5"/>
        <v>Perubahan Normal</v>
      </c>
    </row>
    <row r="2655" ht="18.75" customHeight="1">
      <c r="A2655" s="80" t="s">
        <v>965</v>
      </c>
      <c r="B2655" s="81" t="str">
        <f t="shared" si="1"/>
        <v>Kab Konawe</v>
      </c>
      <c r="C2655" s="81" t="str">
        <f t="array" ref="C2655">XLOOKUP(B2655,Reference!$A$2:$A$152,Reference!$B$2:$B$152)</f>
        <v>Sulawesi Tenggara</v>
      </c>
      <c r="D2655" s="82" t="s">
        <v>3094</v>
      </c>
      <c r="E2655" s="83">
        <v>45352.0</v>
      </c>
      <c r="F2655" s="84" t="str">
        <f t="array" ref="F2655">XLOOKUP(G2655,Reference!$F:$F,Reference!$D:$D,"null")</f>
        <v>Makanan dan Pakaian </v>
      </c>
      <c r="G2655" s="85" t="s">
        <v>64</v>
      </c>
      <c r="H2655" s="86">
        <v>102.0</v>
      </c>
      <c r="I2655" s="86">
        <v>102.0</v>
      </c>
      <c r="J2655" s="87">
        <f t="shared" si="2"/>
        <v>0</v>
      </c>
      <c r="K2655" s="84" t="str">
        <f t="shared" si="3"/>
        <v>Stabil</v>
      </c>
      <c r="L2655" s="84">
        <f t="shared" si="4"/>
        <v>0</v>
      </c>
      <c r="M2655" s="88" t="str">
        <f t="shared" si="5"/>
        <v>Perubahan Normal</v>
      </c>
    </row>
    <row r="2656" ht="18.75" customHeight="1">
      <c r="A2656" s="80" t="s">
        <v>920</v>
      </c>
      <c r="B2656" s="81" t="str">
        <f t="shared" si="1"/>
        <v>Kab Deli Serdang</v>
      </c>
      <c r="C2656" s="81" t="str">
        <f t="array" ref="C2656">XLOOKUP(B2656,Reference!$A$2:$A$152,Reference!$B$2:$B$152)</f>
        <v>Sumatera Utara</v>
      </c>
      <c r="D2656" s="82" t="s">
        <v>3095</v>
      </c>
      <c r="E2656" s="83">
        <v>45323.0</v>
      </c>
      <c r="F2656" s="84" t="str">
        <f t="array" ref="F2656">XLOOKUP(G2656,Reference!$F:$F,Reference!$D:$D,"null")</f>
        <v>Rekreasi dan Kendaraan</v>
      </c>
      <c r="G2656" s="85" t="s">
        <v>102</v>
      </c>
      <c r="H2656" s="86">
        <v>101.76</v>
      </c>
      <c r="I2656" s="86">
        <v>101.76</v>
      </c>
      <c r="J2656" s="87">
        <f t="shared" si="2"/>
        <v>0</v>
      </c>
      <c r="K2656" s="84" t="str">
        <f t="shared" si="3"/>
        <v>Stabil</v>
      </c>
      <c r="L2656" s="84">
        <f t="shared" si="4"/>
        <v>0</v>
      </c>
      <c r="M2656" s="88" t="str">
        <f t="shared" si="5"/>
        <v>Perubahan Normal</v>
      </c>
    </row>
    <row r="2657" ht="18.75" customHeight="1">
      <c r="A2657" s="80" t="s">
        <v>965</v>
      </c>
      <c r="B2657" s="81" t="str">
        <f t="shared" si="1"/>
        <v>Kab Konawe</v>
      </c>
      <c r="C2657" s="81" t="str">
        <f t="array" ref="C2657">XLOOKUP(B2657,Reference!$A$2:$A$152,Reference!$B$2:$B$152)</f>
        <v>Sulawesi Tenggara</v>
      </c>
      <c r="D2657" s="82" t="s">
        <v>3096</v>
      </c>
      <c r="E2657" s="83">
        <v>45323.0</v>
      </c>
      <c r="F2657" s="84" t="str">
        <f t="array" ref="F2657">XLOOKUP(G2657,Reference!$F:$F,Reference!$D:$D,"null")</f>
        <v>Rekreasi dan Kendaraan</v>
      </c>
      <c r="G2657" s="85" t="s">
        <v>105</v>
      </c>
      <c r="H2657" s="86">
        <v>103.84</v>
      </c>
      <c r="I2657" s="86">
        <v>103.84</v>
      </c>
      <c r="J2657" s="87">
        <f t="shared" si="2"/>
        <v>0</v>
      </c>
      <c r="K2657" s="84" t="str">
        <f t="shared" si="3"/>
        <v>Stabil</v>
      </c>
      <c r="L2657" s="84">
        <f t="shared" si="4"/>
        <v>0</v>
      </c>
      <c r="M2657" s="88" t="str">
        <f t="shared" si="5"/>
        <v>Perubahan Normal</v>
      </c>
    </row>
    <row r="2658" ht="18.75" customHeight="1">
      <c r="A2658" s="80" t="s">
        <v>699</v>
      </c>
      <c r="B2658" s="81" t="str">
        <f t="shared" si="1"/>
        <v>Mamuju</v>
      </c>
      <c r="C2658" s="81" t="str">
        <f t="array" ref="C2658">XLOOKUP(B2658,Reference!$A$2:$A$152,Reference!$B$2:$B$152)</f>
        <v>Sulawesi Barat</v>
      </c>
      <c r="D2658" s="82" t="s">
        <v>3097</v>
      </c>
      <c r="E2658" s="83">
        <v>45352.0</v>
      </c>
      <c r="F2658" s="84" t="str">
        <f t="array" ref="F2658">XLOOKUP(G2658,Reference!$F:$F,Reference!$D:$D,"null")</f>
        <v>Makanan dan Pakaian </v>
      </c>
      <c r="G2658" s="85" t="s">
        <v>56</v>
      </c>
      <c r="H2658" s="86">
        <v>104.53</v>
      </c>
      <c r="I2658" s="86">
        <v>103.79</v>
      </c>
      <c r="J2658" s="87">
        <f t="shared" si="2"/>
        <v>0.7129781289</v>
      </c>
      <c r="K2658" s="84" t="str">
        <f t="shared" si="3"/>
        <v>Inflasi Tinggi</v>
      </c>
      <c r="L2658" s="84">
        <f t="shared" si="4"/>
        <v>0.74</v>
      </c>
      <c r="M2658" s="88" t="str">
        <f t="shared" si="5"/>
        <v>Akselerasi Persentase</v>
      </c>
    </row>
    <row r="2659" ht="18.75" customHeight="1">
      <c r="A2659" s="80" t="s">
        <v>324</v>
      </c>
      <c r="B2659" s="81" t="str">
        <f t="shared" si="1"/>
        <v>Kab Nunukan</v>
      </c>
      <c r="C2659" s="81" t="str">
        <f t="array" ref="C2659">XLOOKUP(B2659,Reference!$A$2:$A$152,Reference!$B$2:$B$152)</f>
        <v>Kalimantan Utara</v>
      </c>
      <c r="D2659" s="82" t="s">
        <v>3098</v>
      </c>
      <c r="E2659" s="83">
        <v>45323.0</v>
      </c>
      <c r="F2659" s="84" t="str">
        <f t="array" ref="F2659">XLOOKUP(G2659,Reference!$F:$F,Reference!$D:$D,"null")</f>
        <v>Pendidikan dan Kesehatan</v>
      </c>
      <c r="G2659" s="85" t="s">
        <v>95</v>
      </c>
      <c r="H2659" s="86">
        <v>100.0</v>
      </c>
      <c r="I2659" s="86">
        <v>100.0</v>
      </c>
      <c r="J2659" s="87">
        <f t="shared" si="2"/>
        <v>0</v>
      </c>
      <c r="K2659" s="84" t="str">
        <f t="shared" si="3"/>
        <v>Stabil</v>
      </c>
      <c r="L2659" s="84">
        <f t="shared" si="4"/>
        <v>0</v>
      </c>
      <c r="M2659" s="88" t="str">
        <f t="shared" si="5"/>
        <v>Perubahan Normal</v>
      </c>
    </row>
    <row r="2660" ht="18.75" customHeight="1">
      <c r="A2660" s="80" t="s">
        <v>485</v>
      </c>
      <c r="B2660" s="81" t="str">
        <f t="shared" si="1"/>
        <v>Banyuwangi</v>
      </c>
      <c r="C2660" s="81" t="str">
        <f t="array" ref="C2660">XLOOKUP(B2660,Reference!$A$2:$A$152,Reference!$B$2:$B$152)</f>
        <v>Jawa Timur</v>
      </c>
      <c r="D2660" s="82" t="s">
        <v>3099</v>
      </c>
      <c r="E2660" s="83">
        <v>45352.0</v>
      </c>
      <c r="F2660" s="84" t="str">
        <f t="array" ref="F2660">XLOOKUP(G2660,Reference!$F:$F,Reference!$D:$D,"null")</f>
        <v>Makanan dan Pakaian </v>
      </c>
      <c r="G2660" s="85" t="s">
        <v>48</v>
      </c>
      <c r="H2660" s="86">
        <v>111.9</v>
      </c>
      <c r="I2660" s="86">
        <v>110.29</v>
      </c>
      <c r="J2660" s="87">
        <f t="shared" si="2"/>
        <v>1.459787832</v>
      </c>
      <c r="K2660" s="84" t="str">
        <f t="shared" si="3"/>
        <v>Inflasi Tinggi</v>
      </c>
      <c r="L2660" s="84">
        <f t="shared" si="4"/>
        <v>1.61</v>
      </c>
      <c r="M2660" s="88" t="str">
        <f t="shared" si="5"/>
        <v>Akselerasi Persentase</v>
      </c>
    </row>
    <row r="2661" ht="18.75" customHeight="1">
      <c r="A2661" s="80" t="s">
        <v>367</v>
      </c>
      <c r="B2661" s="81" t="str">
        <f t="shared" si="1"/>
        <v>Kota Jambi</v>
      </c>
      <c r="C2661" s="81" t="str">
        <f t="array" ref="C2661">XLOOKUP(B2661,Reference!$A$2:$A$152,Reference!$B$2:$B$152)</f>
        <v>Jambi</v>
      </c>
      <c r="D2661" s="82" t="s">
        <v>3100</v>
      </c>
      <c r="E2661" s="83">
        <v>45323.0</v>
      </c>
      <c r="F2661" s="84" t="str">
        <f t="array" ref="F2661">XLOOKUP(G2661,Reference!$F:$F,Reference!$D:$D,"null")</f>
        <v>Makanan dan Pakaian </v>
      </c>
      <c r="G2661" s="85" t="s">
        <v>48</v>
      </c>
      <c r="H2661" s="86">
        <v>111.29</v>
      </c>
      <c r="I2661" s="86">
        <v>110.14</v>
      </c>
      <c r="J2661" s="87">
        <f t="shared" si="2"/>
        <v>1.044125658</v>
      </c>
      <c r="K2661" s="84" t="str">
        <f t="shared" si="3"/>
        <v>Inflasi Tinggi</v>
      </c>
      <c r="L2661" s="84">
        <f t="shared" si="4"/>
        <v>1.15</v>
      </c>
      <c r="M2661" s="88" t="str">
        <f t="shared" si="5"/>
        <v>Akselerasi Persentase</v>
      </c>
    </row>
    <row r="2662" ht="18.75" customHeight="1">
      <c r="A2662" s="80" t="s">
        <v>448</v>
      </c>
      <c r="B2662" s="81" t="str">
        <f t="shared" si="1"/>
        <v>Tanjung Selor</v>
      </c>
      <c r="C2662" s="81" t="str">
        <f t="array" ref="C2662">XLOOKUP(B2662,Reference!$A$2:$A$152,Reference!$B$2:$B$152)</f>
        <v>Kalimantan Utara</v>
      </c>
      <c r="D2662" s="82" t="s">
        <v>3101</v>
      </c>
      <c r="E2662" s="83">
        <v>45323.0</v>
      </c>
      <c r="F2662" s="84" t="str">
        <f t="array" ref="F2662">XLOOKUP(G2662,Reference!$F:$F,Reference!$D:$D,"null")</f>
        <v>Pendidikan dan Kesehatan</v>
      </c>
      <c r="G2662" s="85" t="s">
        <v>98</v>
      </c>
      <c r="H2662" s="86">
        <v>104.23</v>
      </c>
      <c r="I2662" s="86">
        <v>104.52</v>
      </c>
      <c r="J2662" s="87">
        <f t="shared" si="2"/>
        <v>-0.2774588595</v>
      </c>
      <c r="K2662" s="84" t="str">
        <f t="shared" si="3"/>
        <v>Deflasi</v>
      </c>
      <c r="L2662" s="84">
        <f t="shared" si="4"/>
        <v>-0.29</v>
      </c>
      <c r="M2662" s="88" t="str">
        <f t="shared" si="5"/>
        <v>Perubahan Normal</v>
      </c>
    </row>
    <row r="2663" ht="18.75" customHeight="1">
      <c r="A2663" s="80" t="s">
        <v>302</v>
      </c>
      <c r="B2663" s="81" t="str">
        <f t="shared" si="1"/>
        <v>Kota Lubuk Linggau</v>
      </c>
      <c r="C2663" s="81" t="str">
        <f t="array" ref="C2663">XLOOKUP(B2663,Reference!$A$2:$A$152,Reference!$B$2:$B$152)</f>
        <v>Sumatera Selatan</v>
      </c>
      <c r="D2663" s="82" t="s">
        <v>3102</v>
      </c>
      <c r="E2663" s="83">
        <v>45323.0</v>
      </c>
      <c r="F2663" s="84" t="str">
        <f t="array" ref="F2663">XLOOKUP(G2663,Reference!$F:$F,Reference!$D:$D,"null")</f>
        <v>Pendidikan dan Kesehatan</v>
      </c>
      <c r="G2663" s="85" t="s">
        <v>95</v>
      </c>
      <c r="H2663" s="86">
        <v>102.78</v>
      </c>
      <c r="I2663" s="86">
        <v>102.78</v>
      </c>
      <c r="J2663" s="87">
        <f t="shared" si="2"/>
        <v>0</v>
      </c>
      <c r="K2663" s="84" t="str">
        <f t="shared" si="3"/>
        <v>Stabil</v>
      </c>
      <c r="L2663" s="84">
        <f t="shared" si="4"/>
        <v>0</v>
      </c>
      <c r="M2663" s="88" t="str">
        <f t="shared" si="5"/>
        <v>Perubahan Normal</v>
      </c>
    </row>
    <row r="2664" ht="18.75" customHeight="1">
      <c r="A2664" s="80" t="s">
        <v>445</v>
      </c>
      <c r="B2664" s="81" t="str">
        <f t="shared" si="1"/>
        <v>Kab Bangka Barat</v>
      </c>
      <c r="C2664" s="81" t="str">
        <f t="array" ref="C2664">XLOOKUP(B2664,Reference!$A$2:$A$152,Reference!$B$2:$B$152)</f>
        <v>Kepulauan Bangka Belitung</v>
      </c>
      <c r="D2664" s="82" t="s">
        <v>3103</v>
      </c>
      <c r="E2664" s="83">
        <v>45352.0</v>
      </c>
      <c r="F2664" s="84" t="str">
        <f t="array" ref="F2664">XLOOKUP(G2664,Reference!$F:$F,Reference!$D:$D,"null")</f>
        <v>Pendidikan dan Kesehatan</v>
      </c>
      <c r="G2664" s="85" t="s">
        <v>98</v>
      </c>
      <c r="H2664" s="86">
        <v>99.5</v>
      </c>
      <c r="I2664" s="86">
        <v>99.5</v>
      </c>
      <c r="J2664" s="87">
        <f t="shared" si="2"/>
        <v>0</v>
      </c>
      <c r="K2664" s="84" t="str">
        <f t="shared" si="3"/>
        <v>Stabil</v>
      </c>
      <c r="L2664" s="84">
        <f t="shared" si="4"/>
        <v>0</v>
      </c>
      <c r="M2664" s="88" t="str">
        <f t="shared" si="5"/>
        <v>Perubahan Normal</v>
      </c>
    </row>
    <row r="2665" ht="18.75" customHeight="1">
      <c r="A2665" s="80" t="s">
        <v>397</v>
      </c>
      <c r="B2665" s="81" t="str">
        <f t="shared" si="1"/>
        <v>Kota Pematangsiantar</v>
      </c>
      <c r="C2665" s="81" t="str">
        <f t="array" ref="C2665">XLOOKUP(B2665,Reference!$A$2:$A$152,Reference!$B$2:$B$152)</f>
        <v>Sumatera Utara</v>
      </c>
      <c r="D2665" s="82" t="s">
        <v>3104</v>
      </c>
      <c r="E2665" s="83">
        <v>45352.0</v>
      </c>
      <c r="F2665" s="84" t="str">
        <f t="array" ref="F2665">XLOOKUP(G2665,Reference!$F:$F,Reference!$D:$D,"null")</f>
        <v>Pendidikan dan Kesehatan</v>
      </c>
      <c r="G2665" s="85" t="s">
        <v>95</v>
      </c>
      <c r="H2665" s="86">
        <v>106.78</v>
      </c>
      <c r="I2665" s="86">
        <v>106.78</v>
      </c>
      <c r="J2665" s="87">
        <f t="shared" si="2"/>
        <v>0</v>
      </c>
      <c r="K2665" s="84" t="str">
        <f t="shared" si="3"/>
        <v>Stabil</v>
      </c>
      <c r="L2665" s="84">
        <f t="shared" si="4"/>
        <v>0</v>
      </c>
      <c r="M2665" s="88" t="str">
        <f t="shared" si="5"/>
        <v>Perubahan Normal</v>
      </c>
    </row>
    <row r="2666" ht="18.75" customHeight="1">
      <c r="A2666" s="80" t="s">
        <v>492</v>
      </c>
      <c r="B2666" s="81" t="str">
        <f t="shared" si="1"/>
        <v>Kota Cilegon</v>
      </c>
      <c r="C2666" s="81" t="str">
        <f t="array" ref="C2666">XLOOKUP(B2666,Reference!$A$2:$A$152,Reference!$B$2:$B$152)</f>
        <v>Banten</v>
      </c>
      <c r="D2666" s="82" t="s">
        <v>3105</v>
      </c>
      <c r="E2666" s="83">
        <v>45352.0</v>
      </c>
      <c r="F2666" s="84" t="str">
        <f t="array" ref="F2666">XLOOKUP(G2666,Reference!$F:$F,Reference!$D:$D,"null")</f>
        <v>Rekreasi dan Kendaraan</v>
      </c>
      <c r="G2666" s="85" t="s">
        <v>105</v>
      </c>
      <c r="H2666" s="86">
        <v>103.95</v>
      </c>
      <c r="I2666" s="86">
        <v>103.76</v>
      </c>
      <c r="J2666" s="87">
        <f t="shared" si="2"/>
        <v>0.1831148805</v>
      </c>
      <c r="K2666" s="84" t="str">
        <f t="shared" si="3"/>
        <v>Inflasi Normal</v>
      </c>
      <c r="L2666" s="84">
        <f t="shared" si="4"/>
        <v>0.19</v>
      </c>
      <c r="M2666" s="88" t="str">
        <f t="shared" si="5"/>
        <v>Perubahan Normal</v>
      </c>
    </row>
    <row r="2667" ht="18.75" customHeight="1">
      <c r="A2667" s="80" t="s">
        <v>393</v>
      </c>
      <c r="B2667" s="81" t="str">
        <f t="shared" si="1"/>
        <v>Kab Sumbawa</v>
      </c>
      <c r="C2667" s="81" t="str">
        <f t="array" ref="C2667">XLOOKUP(B2667,Reference!$A$2:$A$152,Reference!$B$2:$B$152)</f>
        <v>Nusa Tenggara Barat (NTB)</v>
      </c>
      <c r="D2667" s="82" t="s">
        <v>3106</v>
      </c>
      <c r="E2667" s="83">
        <v>45323.0</v>
      </c>
      <c r="F2667" s="84" t="str">
        <f t="array" ref="F2667">XLOOKUP(G2667,Reference!$F:$F,Reference!$D:$D,"null")</f>
        <v>Makanan dan Pakaian </v>
      </c>
      <c r="G2667" s="85" t="s">
        <v>56</v>
      </c>
      <c r="H2667" s="86">
        <v>100.65</v>
      </c>
      <c r="I2667" s="86">
        <v>100.68</v>
      </c>
      <c r="J2667" s="87">
        <f t="shared" si="2"/>
        <v>-0.02979737783</v>
      </c>
      <c r="K2667" s="84" t="str">
        <f t="shared" si="3"/>
        <v>Deflasi</v>
      </c>
      <c r="L2667" s="84">
        <f t="shared" si="4"/>
        <v>-0.03</v>
      </c>
      <c r="M2667" s="88" t="str">
        <f t="shared" si="5"/>
        <v>Perubahan Normal</v>
      </c>
    </row>
    <row r="2668" ht="18.75" customHeight="1">
      <c r="A2668" s="80" t="s">
        <v>374</v>
      </c>
      <c r="B2668" s="81" t="str">
        <f t="shared" si="1"/>
        <v>Kab Majalengka</v>
      </c>
      <c r="C2668" s="81" t="str">
        <f t="array" ref="C2668">XLOOKUP(B2668,Reference!$A$2:$A$152,Reference!$B$2:$B$152)</f>
        <v>Jawa Barat</v>
      </c>
      <c r="D2668" s="82" t="s">
        <v>3107</v>
      </c>
      <c r="E2668" s="83">
        <v>45352.0</v>
      </c>
      <c r="F2668" s="84" t="str">
        <f t="array" ref="F2668">XLOOKUP(G2668,Reference!$F:$F,Reference!$D:$D,"null")</f>
        <v>Makanan dan Pakaian </v>
      </c>
      <c r="G2668" s="85" t="s">
        <v>72</v>
      </c>
      <c r="H2668" s="86">
        <v>100.13</v>
      </c>
      <c r="I2668" s="86">
        <v>99.08</v>
      </c>
      <c r="J2668" s="87">
        <f t="shared" si="2"/>
        <v>1.059749697</v>
      </c>
      <c r="K2668" s="84" t="str">
        <f t="shared" si="3"/>
        <v>Inflasi Tinggi</v>
      </c>
      <c r="L2668" s="84">
        <f t="shared" si="4"/>
        <v>1.05</v>
      </c>
      <c r="M2668" s="88" t="str">
        <f t="shared" si="5"/>
        <v>Akselerasi Persentase</v>
      </c>
    </row>
    <row r="2669" ht="18.75" customHeight="1">
      <c r="A2669" s="80" t="s">
        <v>606</v>
      </c>
      <c r="B2669" s="81" t="str">
        <f t="shared" si="1"/>
        <v>Kota Pare Pare</v>
      </c>
      <c r="C2669" s="81" t="str">
        <f t="array" ref="C2669">XLOOKUP(B2669,Reference!$A$2:$A$152,Reference!$B$2:$B$152)</f>
        <v>Sulawesi Selatan</v>
      </c>
      <c r="D2669" s="82" t="s">
        <v>3108</v>
      </c>
      <c r="E2669" s="83">
        <v>45323.0</v>
      </c>
      <c r="F2669" s="84" t="str">
        <f t="array" ref="F2669">XLOOKUP(G2669,Reference!$F:$F,Reference!$D:$D,"null")</f>
        <v>Rumah Tangga</v>
      </c>
      <c r="G2669" s="85" t="s">
        <v>89</v>
      </c>
      <c r="H2669" s="86">
        <v>102.94</v>
      </c>
      <c r="I2669" s="86">
        <v>102.94</v>
      </c>
      <c r="J2669" s="87">
        <f t="shared" si="2"/>
        <v>0</v>
      </c>
      <c r="K2669" s="84" t="str">
        <f t="shared" si="3"/>
        <v>Stabil</v>
      </c>
      <c r="L2669" s="84">
        <f t="shared" si="4"/>
        <v>0</v>
      </c>
      <c r="M2669" s="88" t="str">
        <f t="shared" si="5"/>
        <v>Perubahan Normal</v>
      </c>
    </row>
    <row r="2670" ht="18.75" customHeight="1">
      <c r="A2670" s="80" t="s">
        <v>529</v>
      </c>
      <c r="B2670" s="81" t="str">
        <f t="shared" si="1"/>
        <v>Kota Yogyakarta</v>
      </c>
      <c r="C2670" s="81" t="str">
        <f t="array" ref="C2670">XLOOKUP(B2670,Reference!$A$2:$A$152,Reference!$B$2:$B$152)</f>
        <v>D.I. Yogyakarta</v>
      </c>
      <c r="D2670" s="82" t="s">
        <v>3109</v>
      </c>
      <c r="E2670" s="83">
        <v>45352.0</v>
      </c>
      <c r="F2670" s="84" t="str">
        <f t="array" ref="F2670">XLOOKUP(G2670,Reference!$F:$F,Reference!$D:$D,"null")</f>
        <v>Makanan dan Pakaian </v>
      </c>
      <c r="G2670" s="85" t="s">
        <v>48</v>
      </c>
      <c r="H2670" s="86">
        <v>112.59</v>
      </c>
      <c r="I2670" s="86">
        <v>110.33</v>
      </c>
      <c r="J2670" s="87">
        <f t="shared" si="2"/>
        <v>2.048400254</v>
      </c>
      <c r="K2670" s="84" t="str">
        <f t="shared" si="3"/>
        <v>Inflasi Tinggi</v>
      </c>
      <c r="L2670" s="84">
        <f t="shared" si="4"/>
        <v>2.26</v>
      </c>
      <c r="M2670" s="88" t="str">
        <f t="shared" si="5"/>
        <v>Akselerasi Kuat</v>
      </c>
    </row>
    <row r="2671" ht="18.75" customHeight="1">
      <c r="A2671" s="80" t="s">
        <v>508</v>
      </c>
      <c r="B2671" s="81" t="str">
        <f t="shared" si="1"/>
        <v>Kab Minahasa Selatan</v>
      </c>
      <c r="C2671" s="81" t="str">
        <f t="array" ref="C2671">XLOOKUP(B2671,Reference!$A$2:$A$152,Reference!$B$2:$B$152)</f>
        <v>Sulawesi Utara</v>
      </c>
      <c r="D2671" s="82" t="s">
        <v>3110</v>
      </c>
      <c r="E2671" s="83">
        <v>45352.0</v>
      </c>
      <c r="F2671" s="84" t="str">
        <f t="array" ref="F2671">XLOOKUP(G2671,Reference!$F:$F,Reference!$D:$D,"null")</f>
        <v>Rumah Tangga</v>
      </c>
      <c r="G2671" s="85" t="s">
        <v>80</v>
      </c>
      <c r="H2671" s="86">
        <v>100.37</v>
      </c>
      <c r="I2671" s="86">
        <v>100.37</v>
      </c>
      <c r="J2671" s="87">
        <f t="shared" si="2"/>
        <v>0</v>
      </c>
      <c r="K2671" s="84" t="str">
        <f t="shared" si="3"/>
        <v>Stabil</v>
      </c>
      <c r="L2671" s="84">
        <f t="shared" si="4"/>
        <v>0</v>
      </c>
      <c r="M2671" s="88" t="str">
        <f t="shared" si="5"/>
        <v>Perubahan Normal</v>
      </c>
    </row>
    <row r="2672" ht="18.75" customHeight="1">
      <c r="A2672" s="80" t="s">
        <v>308</v>
      </c>
      <c r="B2672" s="81" t="str">
        <f t="shared" si="1"/>
        <v>Kab Sukamara</v>
      </c>
      <c r="C2672" s="81" t="str">
        <f t="array" ref="C2672">XLOOKUP(B2672,Reference!$A$2:$A$152,Reference!$B$2:$B$152)</f>
        <v>Kalimantan Tengah</v>
      </c>
      <c r="D2672" s="82" t="s">
        <v>3111</v>
      </c>
      <c r="E2672" s="83">
        <v>45323.0</v>
      </c>
      <c r="F2672" s="84" t="str">
        <f t="array" ref="F2672">XLOOKUP(G2672,Reference!$F:$F,Reference!$D:$D,"null")</f>
        <v>Makanan dan Pakaian </v>
      </c>
      <c r="G2672" s="85" t="s">
        <v>56</v>
      </c>
      <c r="H2672" s="86">
        <v>109.12</v>
      </c>
      <c r="I2672" s="86">
        <v>109.09</v>
      </c>
      <c r="J2672" s="87">
        <f t="shared" si="2"/>
        <v>0.02750022917</v>
      </c>
      <c r="K2672" s="84" t="str">
        <f t="shared" si="3"/>
        <v>Inflasi Normal</v>
      </c>
      <c r="L2672" s="84">
        <f t="shared" si="4"/>
        <v>0.03</v>
      </c>
      <c r="M2672" s="88" t="str">
        <f t="shared" si="5"/>
        <v>Perubahan Normal</v>
      </c>
    </row>
    <row r="2673" ht="18.75" customHeight="1">
      <c r="A2673" s="80" t="s">
        <v>300</v>
      </c>
      <c r="B2673" s="81" t="str">
        <f t="shared" si="1"/>
        <v>Sintang</v>
      </c>
      <c r="C2673" s="81" t="str">
        <f t="array" ref="C2673">XLOOKUP(B2673,Reference!$A$2:$A$152,Reference!$B$2:$B$152)</f>
        <v>Kalimantan Barat</v>
      </c>
      <c r="D2673" s="82" t="s">
        <v>3112</v>
      </c>
      <c r="E2673" s="83">
        <v>45323.0</v>
      </c>
      <c r="F2673" s="84" t="str">
        <f t="array" ref="F2673">XLOOKUP(G2673,Reference!$F:$F,Reference!$D:$D,"null")</f>
        <v>Rumah Tangga</v>
      </c>
      <c r="G2673" s="85" t="s">
        <v>84</v>
      </c>
      <c r="H2673" s="86">
        <v>102.04</v>
      </c>
      <c r="I2673" s="86">
        <v>102.16</v>
      </c>
      <c r="J2673" s="87">
        <f t="shared" si="2"/>
        <v>-0.1174628034</v>
      </c>
      <c r="K2673" s="84" t="str">
        <f t="shared" si="3"/>
        <v>Deflasi</v>
      </c>
      <c r="L2673" s="84">
        <f t="shared" si="4"/>
        <v>-0.12</v>
      </c>
      <c r="M2673" s="88" t="str">
        <f t="shared" si="5"/>
        <v>Perubahan Normal</v>
      </c>
    </row>
    <row r="2674" ht="18.75" customHeight="1">
      <c r="A2674" s="80" t="s">
        <v>483</v>
      </c>
      <c r="B2674" s="81" t="str">
        <f t="shared" si="1"/>
        <v>Kota Padangsidimpuan</v>
      </c>
      <c r="C2674" s="81" t="str">
        <f t="array" ref="C2674">XLOOKUP(B2674,Reference!$A$2:$A$152,Reference!$B$2:$B$152)</f>
        <v>Sumatera Utara</v>
      </c>
      <c r="D2674" s="82" t="s">
        <v>3113</v>
      </c>
      <c r="E2674" s="83">
        <v>45352.0</v>
      </c>
      <c r="F2674" s="84" t="str">
        <f t="array" ref="F2674">XLOOKUP(G2674,Reference!$F:$F,Reference!$D:$D,"null")</f>
        <v>Pendidikan dan Kesehatan</v>
      </c>
      <c r="G2674" s="85" t="s">
        <v>98</v>
      </c>
      <c r="H2674" s="86">
        <v>107.96</v>
      </c>
      <c r="I2674" s="86">
        <v>107.05</v>
      </c>
      <c r="J2674" s="87">
        <f t="shared" si="2"/>
        <v>0.8500700607</v>
      </c>
      <c r="K2674" s="84" t="str">
        <f t="shared" si="3"/>
        <v>Inflasi Tinggi</v>
      </c>
      <c r="L2674" s="84">
        <f t="shared" si="4"/>
        <v>0.91</v>
      </c>
      <c r="M2674" s="88" t="str">
        <f t="shared" si="5"/>
        <v>Akselerasi Persentase</v>
      </c>
    </row>
    <row r="2675" ht="18.75" customHeight="1">
      <c r="A2675" s="80" t="s">
        <v>485</v>
      </c>
      <c r="B2675" s="81" t="str">
        <f t="shared" si="1"/>
        <v>Banyuwangi</v>
      </c>
      <c r="C2675" s="81" t="str">
        <f t="array" ref="C2675">XLOOKUP(B2675,Reference!$A$2:$A$152,Reference!$B$2:$B$152)</f>
        <v>Jawa Timur</v>
      </c>
      <c r="D2675" s="82" t="s">
        <v>3114</v>
      </c>
      <c r="E2675" s="83">
        <v>45323.0</v>
      </c>
      <c r="F2675" s="84" t="str">
        <f t="array" ref="F2675">XLOOKUP(G2675,Reference!$F:$F,Reference!$D:$D,"null")</f>
        <v>Pendidikan dan Kesehatan</v>
      </c>
      <c r="G2675" s="89" t="s">
        <v>98</v>
      </c>
      <c r="H2675" s="90">
        <v>107.16</v>
      </c>
      <c r="I2675" s="90">
        <v>107.26</v>
      </c>
      <c r="J2675" s="87">
        <f t="shared" si="2"/>
        <v>-0.09323140034</v>
      </c>
      <c r="K2675" s="84" t="str">
        <f t="shared" si="3"/>
        <v>Deflasi</v>
      </c>
      <c r="L2675" s="91">
        <f t="shared" si="4"/>
        <v>-0.1</v>
      </c>
      <c r="M2675" s="88" t="str">
        <f t="shared" si="5"/>
        <v>Perubahan Normal</v>
      </c>
    </row>
    <row r="2676" ht="18.75" customHeight="1">
      <c r="A2676" s="80" t="s">
        <v>920</v>
      </c>
      <c r="B2676" s="81" t="str">
        <f t="shared" si="1"/>
        <v>Kab Deli Serdang</v>
      </c>
      <c r="C2676" s="81" t="str">
        <f t="array" ref="C2676">XLOOKUP(B2676,Reference!$A$2:$A$152,Reference!$B$2:$B$152)</f>
        <v>Sumatera Utara</v>
      </c>
      <c r="D2676" s="82" t="s">
        <v>3115</v>
      </c>
      <c r="E2676" s="83">
        <v>45323.0</v>
      </c>
      <c r="F2676" s="84" t="str">
        <f t="array" ref="F2676">XLOOKUP(G2676,Reference!$F:$F,Reference!$D:$D,"null")</f>
        <v>Pendidikan dan Kesehatan</v>
      </c>
      <c r="G2676" s="85" t="s">
        <v>95</v>
      </c>
      <c r="H2676" s="86">
        <v>100.0</v>
      </c>
      <c r="I2676" s="86">
        <v>100.0</v>
      </c>
      <c r="J2676" s="87">
        <f t="shared" si="2"/>
        <v>0</v>
      </c>
      <c r="K2676" s="84" t="str">
        <f t="shared" si="3"/>
        <v>Stabil</v>
      </c>
      <c r="L2676" s="84">
        <f t="shared" si="4"/>
        <v>0</v>
      </c>
      <c r="M2676" s="88" t="str">
        <f t="shared" si="5"/>
        <v>Perubahan Normal</v>
      </c>
    </row>
    <row r="2677" ht="18.75" customHeight="1">
      <c r="A2677" s="80" t="s">
        <v>351</v>
      </c>
      <c r="B2677" s="81" t="str">
        <f t="shared" si="1"/>
        <v>Kota Balikpapan</v>
      </c>
      <c r="C2677" s="81" t="str">
        <f t="array" ref="C2677">XLOOKUP(B2677,Reference!$A$2:$A$152,Reference!$B$2:$B$152)</f>
        <v>Kalimantan Timur</v>
      </c>
      <c r="D2677" s="82" t="s">
        <v>3116</v>
      </c>
      <c r="E2677" s="83">
        <v>45323.0</v>
      </c>
      <c r="F2677" s="84" t="str">
        <f t="array" ref="F2677">XLOOKUP(G2677,Reference!$F:$F,Reference!$D:$D,"null")</f>
        <v>Rumah Tangga</v>
      </c>
      <c r="G2677" s="85" t="s">
        <v>80</v>
      </c>
      <c r="H2677" s="86">
        <v>100.71</v>
      </c>
      <c r="I2677" s="86">
        <v>100.71</v>
      </c>
      <c r="J2677" s="87">
        <f t="shared" si="2"/>
        <v>0</v>
      </c>
      <c r="K2677" s="84" t="str">
        <f t="shared" si="3"/>
        <v>Stabil</v>
      </c>
      <c r="L2677" s="84">
        <f t="shared" si="4"/>
        <v>0</v>
      </c>
      <c r="M2677" s="88" t="str">
        <f t="shared" si="5"/>
        <v>Perubahan Normal</v>
      </c>
    </row>
    <row r="2678" ht="18.75" customHeight="1">
      <c r="A2678" s="80" t="s">
        <v>351</v>
      </c>
      <c r="B2678" s="81" t="str">
        <f t="shared" si="1"/>
        <v>Kota Balikpapan</v>
      </c>
      <c r="C2678" s="81" t="str">
        <f t="array" ref="C2678">XLOOKUP(B2678,Reference!$A$2:$A$152,Reference!$B$2:$B$152)</f>
        <v>Kalimantan Timur</v>
      </c>
      <c r="D2678" s="82" t="s">
        <v>3117</v>
      </c>
      <c r="E2678" s="83">
        <v>45323.0</v>
      </c>
      <c r="F2678" s="84" t="str">
        <f t="array" ref="F2678">XLOOKUP(G2678,Reference!$F:$F,Reference!$D:$D,"null")</f>
        <v>Rekreasi dan Kendaraan</v>
      </c>
      <c r="G2678" s="85" t="s">
        <v>105</v>
      </c>
      <c r="H2678" s="86">
        <v>102.2</v>
      </c>
      <c r="I2678" s="86">
        <v>101.93</v>
      </c>
      <c r="J2678" s="87">
        <f t="shared" si="2"/>
        <v>0.264887668</v>
      </c>
      <c r="K2678" s="84" t="str">
        <f t="shared" si="3"/>
        <v>Inflasi Normal</v>
      </c>
      <c r="L2678" s="84">
        <f t="shared" si="4"/>
        <v>0.27</v>
      </c>
      <c r="M2678" s="88" t="str">
        <f t="shared" si="5"/>
        <v>Perubahan Normal</v>
      </c>
    </row>
    <row r="2679" ht="18.75" customHeight="1">
      <c r="A2679" s="80" t="s">
        <v>727</v>
      </c>
      <c r="B2679" s="81" t="str">
        <f t="shared" si="1"/>
        <v>Kab Badung</v>
      </c>
      <c r="C2679" s="81" t="str">
        <f t="array" ref="C2679">XLOOKUP(B2679,Reference!$A$2:$A$152,Reference!$B$2:$B$152)</f>
        <v>Bali</v>
      </c>
      <c r="D2679" s="82" t="s">
        <v>3118</v>
      </c>
      <c r="E2679" s="83">
        <v>45323.0</v>
      </c>
      <c r="F2679" s="84" t="str">
        <f t="array" ref="F2679">XLOOKUP(G2679,Reference!$F:$F,Reference!$D:$D,"null")</f>
        <v>Makanan dan Pakaian </v>
      </c>
      <c r="G2679" s="85" t="s">
        <v>72</v>
      </c>
      <c r="H2679" s="86">
        <v>109.63</v>
      </c>
      <c r="I2679" s="86">
        <v>109.63</v>
      </c>
      <c r="J2679" s="87">
        <f t="shared" si="2"/>
        <v>0</v>
      </c>
      <c r="K2679" s="84" t="str">
        <f t="shared" si="3"/>
        <v>Stabil</v>
      </c>
      <c r="L2679" s="84">
        <f t="shared" si="4"/>
        <v>0</v>
      </c>
      <c r="M2679" s="88" t="str">
        <f t="shared" si="5"/>
        <v>Perubahan Normal</v>
      </c>
    </row>
    <row r="2680" ht="18.75" customHeight="1">
      <c r="A2680" s="80" t="s">
        <v>606</v>
      </c>
      <c r="B2680" s="81" t="str">
        <f t="shared" si="1"/>
        <v>Kota Pare Pare</v>
      </c>
      <c r="C2680" s="81" t="str">
        <f t="array" ref="C2680">XLOOKUP(B2680,Reference!$A$2:$A$152,Reference!$B$2:$B$152)</f>
        <v>Sulawesi Selatan</v>
      </c>
      <c r="D2680" s="82" t="s">
        <v>3119</v>
      </c>
      <c r="E2680" s="83">
        <v>45323.0</v>
      </c>
      <c r="F2680" s="84" t="str">
        <f t="array" ref="F2680">XLOOKUP(G2680,Reference!$F:$F,Reference!$D:$D,"null")</f>
        <v>Pendidikan dan Kesehatan</v>
      </c>
      <c r="G2680" s="85" t="s">
        <v>95</v>
      </c>
      <c r="H2680" s="86">
        <v>108.02</v>
      </c>
      <c r="I2680" s="86">
        <v>108.02</v>
      </c>
      <c r="J2680" s="87">
        <f t="shared" si="2"/>
        <v>0</v>
      </c>
      <c r="K2680" s="84" t="str">
        <f t="shared" si="3"/>
        <v>Stabil</v>
      </c>
      <c r="L2680" s="84">
        <f t="shared" si="4"/>
        <v>0</v>
      </c>
      <c r="M2680" s="88" t="str">
        <f t="shared" si="5"/>
        <v>Perubahan Normal</v>
      </c>
    </row>
    <row r="2681" ht="18.75" customHeight="1">
      <c r="A2681" s="80" t="s">
        <v>331</v>
      </c>
      <c r="B2681" s="81" t="str">
        <f t="shared" si="1"/>
        <v>Kota Lhokseumawe</v>
      </c>
      <c r="C2681" s="81" t="str">
        <f t="array" ref="C2681">XLOOKUP(B2681,Reference!$A$2:$A$152,Reference!$B$2:$B$152)</f>
        <v>Aceh</v>
      </c>
      <c r="D2681" s="82" t="s">
        <v>3120</v>
      </c>
      <c r="E2681" s="83">
        <v>45352.0</v>
      </c>
      <c r="F2681" s="84" t="str">
        <f t="array" ref="F2681">XLOOKUP(G2681,Reference!$F:$F,Reference!$D:$D,"null")</f>
        <v>Pendidikan dan Kesehatan</v>
      </c>
      <c r="G2681" s="85" t="s">
        <v>98</v>
      </c>
      <c r="H2681" s="86">
        <v>104.06</v>
      </c>
      <c r="I2681" s="86">
        <v>104.06</v>
      </c>
      <c r="J2681" s="87">
        <f t="shared" si="2"/>
        <v>0</v>
      </c>
      <c r="K2681" s="84" t="str">
        <f t="shared" si="3"/>
        <v>Stabil</v>
      </c>
      <c r="L2681" s="84">
        <f t="shared" si="4"/>
        <v>0</v>
      </c>
      <c r="M2681" s="88" t="str">
        <f t="shared" si="5"/>
        <v>Perubahan Normal</v>
      </c>
    </row>
    <row r="2682" ht="18.75" customHeight="1">
      <c r="A2682" s="80" t="s">
        <v>699</v>
      </c>
      <c r="B2682" s="81" t="str">
        <f t="shared" si="1"/>
        <v>Mamuju</v>
      </c>
      <c r="C2682" s="81" t="str">
        <f t="array" ref="C2682">XLOOKUP(B2682,Reference!$A$2:$A$152,Reference!$B$2:$B$152)</f>
        <v>Sulawesi Barat</v>
      </c>
      <c r="D2682" s="82" t="s">
        <v>3121</v>
      </c>
      <c r="E2682" s="83">
        <v>45323.0</v>
      </c>
      <c r="F2682" s="84" t="str">
        <f t="array" ref="F2682">XLOOKUP(G2682,Reference!$F:$F,Reference!$D:$D,"null")</f>
        <v>Rumah Tangga</v>
      </c>
      <c r="G2682" s="85" t="s">
        <v>89</v>
      </c>
      <c r="H2682" s="86">
        <v>107.31</v>
      </c>
      <c r="I2682" s="86">
        <v>106.69</v>
      </c>
      <c r="J2682" s="87">
        <f t="shared" si="2"/>
        <v>0.5811228794</v>
      </c>
      <c r="K2682" s="84" t="str">
        <f t="shared" si="3"/>
        <v>Inflasi Tinggi</v>
      </c>
      <c r="L2682" s="84">
        <f t="shared" si="4"/>
        <v>0.62</v>
      </c>
      <c r="M2682" s="88" t="str">
        <f t="shared" si="5"/>
        <v>Akselerasi Persentase</v>
      </c>
    </row>
    <row r="2683" ht="18.75" customHeight="1">
      <c r="A2683" s="80" t="s">
        <v>616</v>
      </c>
      <c r="B2683" s="81" t="str">
        <f t="shared" si="1"/>
        <v>Kab Sorong</v>
      </c>
      <c r="C2683" s="81" t="str">
        <f t="array" ref="C2683">XLOOKUP(B2683,Reference!$A$2:$A$152,Reference!$B$2:$B$152)</f>
        <v>Papua Barat Daya</v>
      </c>
      <c r="D2683" s="82" t="s">
        <v>3122</v>
      </c>
      <c r="E2683" s="83">
        <v>45323.0</v>
      </c>
      <c r="F2683" s="84" t="str">
        <f t="array" ref="F2683">XLOOKUP(G2683,Reference!$F:$F,Reference!$D:$D,"null")</f>
        <v>Rumah Tangga</v>
      </c>
      <c r="G2683" s="85" t="s">
        <v>80</v>
      </c>
      <c r="H2683" s="86">
        <v>100.18</v>
      </c>
      <c r="I2683" s="86">
        <v>100.0</v>
      </c>
      <c r="J2683" s="87">
        <f t="shared" si="2"/>
        <v>0.18</v>
      </c>
      <c r="K2683" s="84" t="str">
        <f t="shared" si="3"/>
        <v>Inflasi Normal</v>
      </c>
      <c r="L2683" s="84">
        <f t="shared" si="4"/>
        <v>0.18</v>
      </c>
      <c r="M2683" s="88" t="str">
        <f t="shared" si="5"/>
        <v>Perubahan Normal</v>
      </c>
    </row>
    <row r="2684" ht="18.75" customHeight="1">
      <c r="A2684" s="80" t="s">
        <v>376</v>
      </c>
      <c r="B2684" s="81" t="str">
        <f t="shared" si="1"/>
        <v>Bulukumba</v>
      </c>
      <c r="C2684" s="81" t="str">
        <f t="array" ref="C2684">XLOOKUP(B2684,Reference!$A$2:$A$152,Reference!$B$2:$B$152)</f>
        <v>Sulawesi Selatan</v>
      </c>
      <c r="D2684" s="82" t="s">
        <v>3123</v>
      </c>
      <c r="E2684" s="83">
        <v>45352.0</v>
      </c>
      <c r="F2684" s="84" t="str">
        <f t="array" ref="F2684">XLOOKUP(G2684,Reference!$F:$F,Reference!$D:$D,"null")</f>
        <v>Makanan dan Pakaian </v>
      </c>
      <c r="G2684" s="85" t="s">
        <v>64</v>
      </c>
      <c r="H2684" s="86">
        <v>102.55</v>
      </c>
      <c r="I2684" s="86">
        <v>102.52</v>
      </c>
      <c r="J2684" s="87">
        <f t="shared" si="2"/>
        <v>0.02926258291</v>
      </c>
      <c r="K2684" s="84" t="str">
        <f t="shared" si="3"/>
        <v>Inflasi Normal</v>
      </c>
      <c r="L2684" s="84">
        <f t="shared" si="4"/>
        <v>0.03</v>
      </c>
      <c r="M2684" s="88" t="str">
        <f t="shared" si="5"/>
        <v>Perubahan Normal</v>
      </c>
    </row>
    <row r="2685" ht="18.75" customHeight="1">
      <c r="A2685" s="80" t="s">
        <v>302</v>
      </c>
      <c r="B2685" s="81" t="str">
        <f t="shared" si="1"/>
        <v>Kota Lubuk Linggau</v>
      </c>
      <c r="C2685" s="81" t="str">
        <f t="array" ref="C2685">XLOOKUP(B2685,Reference!$A$2:$A$152,Reference!$B$2:$B$152)</f>
        <v>Sumatera Selatan</v>
      </c>
      <c r="D2685" s="82" t="s">
        <v>3124</v>
      </c>
      <c r="E2685" s="83">
        <v>45352.0</v>
      </c>
      <c r="F2685" s="84" t="str">
        <f t="array" ref="F2685">XLOOKUP(G2685,Reference!$F:$F,Reference!$D:$D,"null")</f>
        <v>Makanan dan Pakaian </v>
      </c>
      <c r="G2685" s="89" t="s">
        <v>72</v>
      </c>
      <c r="H2685" s="90">
        <v>100.49</v>
      </c>
      <c r="I2685" s="90">
        <v>100.49</v>
      </c>
      <c r="J2685" s="87">
        <f t="shared" si="2"/>
        <v>0</v>
      </c>
      <c r="K2685" s="84" t="str">
        <f t="shared" si="3"/>
        <v>Stabil</v>
      </c>
      <c r="L2685" s="91">
        <f t="shared" si="4"/>
        <v>0</v>
      </c>
      <c r="M2685" s="88" t="str">
        <f t="shared" si="5"/>
        <v>Perubahan Normal</v>
      </c>
    </row>
    <row r="2686" ht="18.75" customHeight="1">
      <c r="A2686" s="80" t="s">
        <v>448</v>
      </c>
      <c r="B2686" s="81" t="str">
        <f t="shared" si="1"/>
        <v>Tanjung Selor</v>
      </c>
      <c r="C2686" s="81" t="str">
        <f t="array" ref="C2686">XLOOKUP(B2686,Reference!$A$2:$A$152,Reference!$B$2:$B$152)</f>
        <v>Kalimantan Utara</v>
      </c>
      <c r="D2686" s="82" t="s">
        <v>3125</v>
      </c>
      <c r="E2686" s="83">
        <v>45352.0</v>
      </c>
      <c r="F2686" s="84" t="str">
        <f t="array" ref="F2686">XLOOKUP(G2686,Reference!$F:$F,Reference!$D:$D,"null")</f>
        <v>Rumah Tangga</v>
      </c>
      <c r="G2686" s="85" t="s">
        <v>84</v>
      </c>
      <c r="H2686" s="86">
        <v>102.27</v>
      </c>
      <c r="I2686" s="86">
        <v>102.68</v>
      </c>
      <c r="J2686" s="87">
        <f t="shared" si="2"/>
        <v>-0.3992987924</v>
      </c>
      <c r="K2686" s="84" t="str">
        <f t="shared" si="3"/>
        <v>Deflasi</v>
      </c>
      <c r="L2686" s="84">
        <f t="shared" si="4"/>
        <v>-0.41</v>
      </c>
      <c r="M2686" s="88" t="str">
        <f t="shared" si="5"/>
        <v>Perubahan Normal</v>
      </c>
    </row>
    <row r="2687" ht="18.75" customHeight="1">
      <c r="A2687" s="80" t="s">
        <v>594</v>
      </c>
      <c r="B2687" s="81" t="str">
        <f t="shared" si="1"/>
        <v>Kota Kendari</v>
      </c>
      <c r="C2687" s="81" t="str">
        <f t="array" ref="C2687">XLOOKUP(B2687,Reference!$A$2:$A$152,Reference!$B$2:$B$152)</f>
        <v>Sulawesi Tenggara</v>
      </c>
      <c r="D2687" s="82" t="s">
        <v>3126</v>
      </c>
      <c r="E2687" s="83">
        <v>45323.0</v>
      </c>
      <c r="F2687" s="84" t="str">
        <f t="array" ref="F2687">XLOOKUP(G2687,Reference!$F:$F,Reference!$D:$D,"null")</f>
        <v>Makanan dan Pakaian </v>
      </c>
      <c r="G2687" s="85" t="s">
        <v>72</v>
      </c>
      <c r="H2687" s="86">
        <v>101.46</v>
      </c>
      <c r="I2687" s="86">
        <v>101.46</v>
      </c>
      <c r="J2687" s="87">
        <f t="shared" si="2"/>
        <v>0</v>
      </c>
      <c r="K2687" s="84" t="str">
        <f t="shared" si="3"/>
        <v>Stabil</v>
      </c>
      <c r="L2687" s="84">
        <f t="shared" si="4"/>
        <v>0</v>
      </c>
      <c r="M2687" s="88" t="str">
        <f t="shared" si="5"/>
        <v>Perubahan Normal</v>
      </c>
    </row>
    <row r="2688" ht="18.75" customHeight="1">
      <c r="A2688" s="80" t="s">
        <v>806</v>
      </c>
      <c r="B2688" s="81" t="str">
        <f t="shared" si="1"/>
        <v>Kab Subang</v>
      </c>
      <c r="C2688" s="81" t="str">
        <f t="array" ref="C2688">XLOOKUP(B2688,Reference!$A$2:$A$152,Reference!$B$2:$B$152)</f>
        <v>Jawa Barat</v>
      </c>
      <c r="D2688" s="82" t="s">
        <v>3127</v>
      </c>
      <c r="E2688" s="83">
        <v>45323.0</v>
      </c>
      <c r="F2688" s="84" t="str">
        <f t="array" ref="F2688">XLOOKUP(G2688,Reference!$F:$F,Reference!$D:$D,"null")</f>
        <v>Rumah Tangga</v>
      </c>
      <c r="G2688" s="85" t="s">
        <v>84</v>
      </c>
      <c r="H2688" s="86">
        <v>99.41</v>
      </c>
      <c r="I2688" s="86">
        <v>99.41</v>
      </c>
      <c r="J2688" s="87">
        <f t="shared" si="2"/>
        <v>0</v>
      </c>
      <c r="K2688" s="84" t="str">
        <f t="shared" si="3"/>
        <v>Stabil</v>
      </c>
      <c r="L2688" s="84">
        <f t="shared" si="4"/>
        <v>0</v>
      </c>
      <c r="M2688" s="88" t="str">
        <f t="shared" si="5"/>
        <v>Perubahan Normal</v>
      </c>
    </row>
    <row r="2689" ht="18.75" customHeight="1">
      <c r="A2689" s="80" t="s">
        <v>314</v>
      </c>
      <c r="B2689" s="81" t="str">
        <f t="shared" si="1"/>
        <v>Kota Jayapura</v>
      </c>
      <c r="C2689" s="81" t="str">
        <f t="array" ref="C2689">XLOOKUP(B2689,Reference!$A$2:$A$152,Reference!$B$2:$B$152)</f>
        <v>Papua</v>
      </c>
      <c r="D2689" s="82" t="s">
        <v>3128</v>
      </c>
      <c r="E2689" s="83">
        <v>45323.0</v>
      </c>
      <c r="F2689" s="84" t="str">
        <f t="array" ref="F2689">XLOOKUP(G2689,Reference!$F:$F,Reference!$D:$D,"null")</f>
        <v>Pendidikan dan Kesehatan</v>
      </c>
      <c r="G2689" s="85" t="s">
        <v>98</v>
      </c>
      <c r="H2689" s="86">
        <v>102.83</v>
      </c>
      <c r="I2689" s="86">
        <v>103.71</v>
      </c>
      <c r="J2689" s="87">
        <f t="shared" si="2"/>
        <v>-0.8485199113</v>
      </c>
      <c r="K2689" s="84" t="str">
        <f t="shared" si="3"/>
        <v>Deflasi</v>
      </c>
      <c r="L2689" s="84">
        <f t="shared" si="4"/>
        <v>-0.88</v>
      </c>
      <c r="M2689" s="88" t="str">
        <f t="shared" si="5"/>
        <v>Perubahan Normal</v>
      </c>
    </row>
    <row r="2690" ht="18.75" customHeight="1">
      <c r="A2690" s="80" t="s">
        <v>362</v>
      </c>
      <c r="B2690" s="81" t="str">
        <f t="shared" si="1"/>
        <v>Sumenep</v>
      </c>
      <c r="C2690" s="81" t="str">
        <f t="array" ref="C2690">XLOOKUP(B2690,Reference!$A$2:$A$152,Reference!$B$2:$B$152)</f>
        <v>Jawa Timur</v>
      </c>
      <c r="D2690" s="82" t="s">
        <v>3129</v>
      </c>
      <c r="E2690" s="83">
        <v>45323.0</v>
      </c>
      <c r="F2690" s="84" t="str">
        <f t="array" ref="F2690">XLOOKUP(G2690,Reference!$F:$F,Reference!$D:$D,"null")</f>
        <v>Rumah Tangga</v>
      </c>
      <c r="G2690" s="89" t="s">
        <v>89</v>
      </c>
      <c r="H2690" s="90">
        <v>104.52</v>
      </c>
      <c r="I2690" s="90">
        <v>104.52</v>
      </c>
      <c r="J2690" s="87">
        <f t="shared" si="2"/>
        <v>0</v>
      </c>
      <c r="K2690" s="84" t="str">
        <f t="shared" si="3"/>
        <v>Stabil</v>
      </c>
      <c r="L2690" s="91">
        <f t="shared" si="4"/>
        <v>0</v>
      </c>
      <c r="M2690" s="88" t="str">
        <f t="shared" si="5"/>
        <v>Perubahan Normal</v>
      </c>
    </row>
    <row r="2691" ht="18.75" customHeight="1">
      <c r="A2691" s="80" t="s">
        <v>364</v>
      </c>
      <c r="B2691" s="81" t="str">
        <f t="shared" si="1"/>
        <v>Kab Tanah Laut</v>
      </c>
      <c r="C2691" s="81" t="str">
        <f t="array" ref="C2691">XLOOKUP(B2691,Reference!$A$2:$A$152,Reference!$B$2:$B$152)</f>
        <v>Kalimantan Selatan</v>
      </c>
      <c r="D2691" s="82" t="s">
        <v>3130</v>
      </c>
      <c r="E2691" s="83">
        <v>45352.0</v>
      </c>
      <c r="F2691" s="84" t="str">
        <f t="array" ref="F2691">XLOOKUP(G2691,Reference!$F:$F,Reference!$D:$D,"null")</f>
        <v>Rekreasi dan Kendaraan</v>
      </c>
      <c r="G2691" s="85" t="s">
        <v>105</v>
      </c>
      <c r="H2691" s="86">
        <v>102.69</v>
      </c>
      <c r="I2691" s="86">
        <v>101.9</v>
      </c>
      <c r="J2691" s="87">
        <f t="shared" si="2"/>
        <v>0.7752698724</v>
      </c>
      <c r="K2691" s="84" t="str">
        <f t="shared" si="3"/>
        <v>Inflasi Tinggi</v>
      </c>
      <c r="L2691" s="84">
        <f t="shared" si="4"/>
        <v>0.79</v>
      </c>
      <c r="M2691" s="88" t="str">
        <f t="shared" si="5"/>
        <v>Akselerasi Persentase</v>
      </c>
    </row>
    <row r="2692" ht="18.75" customHeight="1">
      <c r="A2692" s="80" t="s">
        <v>965</v>
      </c>
      <c r="B2692" s="81" t="str">
        <f t="shared" si="1"/>
        <v>Kab Konawe</v>
      </c>
      <c r="C2692" s="81" t="str">
        <f t="array" ref="C2692">XLOOKUP(B2692,Reference!$A$2:$A$152,Reference!$B$2:$B$152)</f>
        <v>Sulawesi Tenggara</v>
      </c>
      <c r="D2692" s="82" t="s">
        <v>3131</v>
      </c>
      <c r="E2692" s="83">
        <v>45352.0</v>
      </c>
      <c r="F2692" s="84" t="str">
        <f t="array" ref="F2692">XLOOKUP(G2692,Reference!$F:$F,Reference!$D:$D,"null")</f>
        <v>Pendidikan dan Kesehatan</v>
      </c>
      <c r="G2692" s="85" t="s">
        <v>98</v>
      </c>
      <c r="H2692" s="86">
        <v>102.0</v>
      </c>
      <c r="I2692" s="86">
        <v>102.0</v>
      </c>
      <c r="J2692" s="87">
        <f t="shared" si="2"/>
        <v>0</v>
      </c>
      <c r="K2692" s="84" t="str">
        <f t="shared" si="3"/>
        <v>Stabil</v>
      </c>
      <c r="L2692" s="84">
        <f t="shared" si="4"/>
        <v>0</v>
      </c>
      <c r="M2692" s="88" t="str">
        <f t="shared" si="5"/>
        <v>Perubahan Normal</v>
      </c>
    </row>
    <row r="2693" ht="18.75" customHeight="1">
      <c r="A2693" s="80" t="s">
        <v>401</v>
      </c>
      <c r="B2693" s="81" t="str">
        <f t="shared" si="1"/>
        <v>Kota Tual</v>
      </c>
      <c r="C2693" s="81" t="str">
        <f t="array" ref="C2693">XLOOKUP(B2693,Reference!$A$2:$A$152,Reference!$B$2:$B$152)</f>
        <v>Maluku</v>
      </c>
      <c r="D2693" s="82" t="s">
        <v>3132</v>
      </c>
      <c r="E2693" s="83">
        <v>45352.0</v>
      </c>
      <c r="F2693" s="84" t="str">
        <f t="array" ref="F2693">XLOOKUP(G2693,Reference!$F:$F,Reference!$D:$D,"null")</f>
        <v>Rumah Tangga</v>
      </c>
      <c r="G2693" s="85" t="s">
        <v>89</v>
      </c>
      <c r="H2693" s="86">
        <v>91.71</v>
      </c>
      <c r="I2693" s="86">
        <v>91.71</v>
      </c>
      <c r="J2693" s="87">
        <f t="shared" si="2"/>
        <v>0</v>
      </c>
      <c r="K2693" s="84" t="str">
        <f t="shared" si="3"/>
        <v>Stabil</v>
      </c>
      <c r="L2693" s="84">
        <f t="shared" si="4"/>
        <v>0</v>
      </c>
      <c r="M2693" s="88" t="str">
        <f t="shared" si="5"/>
        <v>Perubahan Normal</v>
      </c>
    </row>
    <row r="2694" ht="18.75" customHeight="1">
      <c r="A2694" s="80" t="s">
        <v>505</v>
      </c>
      <c r="B2694" s="81" t="str">
        <f t="shared" si="1"/>
        <v>Kota Denpasar</v>
      </c>
      <c r="C2694" s="81" t="str">
        <f t="array" ref="C2694">XLOOKUP(B2694,Reference!$A$2:$A$152,Reference!$B$2:$B$152)</f>
        <v>Bali</v>
      </c>
      <c r="D2694" s="82" t="s">
        <v>3133</v>
      </c>
      <c r="E2694" s="83">
        <v>45352.0</v>
      </c>
      <c r="F2694" s="84" t="str">
        <f t="array" ref="F2694">XLOOKUP(G2694,Reference!$F:$F,Reference!$D:$D,"null")</f>
        <v>Makanan dan Pakaian </v>
      </c>
      <c r="G2694" s="85" t="s">
        <v>56</v>
      </c>
      <c r="H2694" s="86">
        <v>104.63</v>
      </c>
      <c r="I2694" s="86">
        <v>104.58</v>
      </c>
      <c r="J2694" s="87">
        <f t="shared" si="2"/>
        <v>0.04781028877</v>
      </c>
      <c r="K2694" s="84" t="str">
        <f t="shared" si="3"/>
        <v>Inflasi Normal</v>
      </c>
      <c r="L2694" s="84">
        <f t="shared" si="4"/>
        <v>0.05</v>
      </c>
      <c r="M2694" s="88" t="str">
        <f t="shared" si="5"/>
        <v>Perubahan Normal</v>
      </c>
    </row>
    <row r="2695" ht="18.75" customHeight="1">
      <c r="A2695" s="80" t="s">
        <v>380</v>
      </c>
      <c r="B2695" s="81" t="str">
        <f t="shared" si="1"/>
        <v>Kota Bengkulu</v>
      </c>
      <c r="C2695" s="81" t="str">
        <f t="array" ref="C2695">XLOOKUP(B2695,Reference!$A$2:$A$152,Reference!$B$2:$B$152)</f>
        <v>Bengkulu</v>
      </c>
      <c r="D2695" s="82" t="s">
        <v>3134</v>
      </c>
      <c r="E2695" s="83">
        <v>45323.0</v>
      </c>
      <c r="F2695" s="84" t="str">
        <f t="array" ref="F2695">XLOOKUP(G2695,Reference!$F:$F,Reference!$D:$D,"null")</f>
        <v>Rekreasi dan Kendaraan</v>
      </c>
      <c r="G2695" s="85" t="s">
        <v>102</v>
      </c>
      <c r="H2695" s="86">
        <v>103.95</v>
      </c>
      <c r="I2695" s="86">
        <v>103.74</v>
      </c>
      <c r="J2695" s="87">
        <f t="shared" si="2"/>
        <v>0.2024291498</v>
      </c>
      <c r="K2695" s="84" t="str">
        <f t="shared" si="3"/>
        <v>Inflasi Normal</v>
      </c>
      <c r="L2695" s="84">
        <f t="shared" si="4"/>
        <v>0.21</v>
      </c>
      <c r="M2695" s="88" t="str">
        <f t="shared" si="5"/>
        <v>Perubahan Normal</v>
      </c>
    </row>
    <row r="2696" ht="18.75" customHeight="1">
      <c r="A2696" s="80" t="s">
        <v>395</v>
      </c>
      <c r="B2696" s="81" t="str">
        <f t="shared" si="1"/>
        <v>Kota Bukittinggi</v>
      </c>
      <c r="C2696" s="81" t="str">
        <f t="array" ref="C2696">XLOOKUP(B2696,Reference!$A$2:$A$152,Reference!$B$2:$B$152)</f>
        <v>Sumatera Barat</v>
      </c>
      <c r="D2696" s="82" t="s">
        <v>3135</v>
      </c>
      <c r="E2696" s="83">
        <v>45352.0</v>
      </c>
      <c r="F2696" s="84" t="str">
        <f t="array" ref="F2696">XLOOKUP(G2696,Reference!$F:$F,Reference!$D:$D,"null")</f>
        <v>Rumah Tangga</v>
      </c>
      <c r="G2696" s="89" t="s">
        <v>84</v>
      </c>
      <c r="H2696" s="90">
        <v>99.44</v>
      </c>
      <c r="I2696" s="90">
        <v>99.46</v>
      </c>
      <c r="J2696" s="87">
        <f t="shared" si="2"/>
        <v>-0.02010858637</v>
      </c>
      <c r="K2696" s="84" t="str">
        <f t="shared" si="3"/>
        <v>Deflasi</v>
      </c>
      <c r="L2696" s="91">
        <f t="shared" si="4"/>
        <v>-0.02</v>
      </c>
      <c r="M2696" s="88" t="str">
        <f t="shared" si="5"/>
        <v>Perubahan Normal</v>
      </c>
    </row>
    <row r="2697" ht="18.75" customHeight="1">
      <c r="A2697" s="80" t="s">
        <v>312</v>
      </c>
      <c r="B2697" s="81" t="str">
        <f t="shared" si="1"/>
        <v>Kab Jayawijaya</v>
      </c>
      <c r="C2697" s="81" t="str">
        <f t="array" ref="C2697">XLOOKUP(B2697,Reference!$A$2:$A$152,Reference!$B$2:$B$152)</f>
        <v>Papua</v>
      </c>
      <c r="D2697" s="82" t="s">
        <v>3136</v>
      </c>
      <c r="E2697" s="83">
        <v>45323.0</v>
      </c>
      <c r="F2697" s="84" t="str">
        <f t="array" ref="F2697">XLOOKUP(G2697,Reference!$F:$F,Reference!$D:$D,"null")</f>
        <v>Rumah Tangga</v>
      </c>
      <c r="G2697" s="85" t="s">
        <v>84</v>
      </c>
      <c r="H2697" s="86">
        <v>98.05</v>
      </c>
      <c r="I2697" s="86">
        <v>98.05</v>
      </c>
      <c r="J2697" s="87">
        <f t="shared" si="2"/>
        <v>0</v>
      </c>
      <c r="K2697" s="84" t="str">
        <f t="shared" si="3"/>
        <v>Stabil</v>
      </c>
      <c r="L2697" s="84">
        <f t="shared" si="4"/>
        <v>0</v>
      </c>
      <c r="M2697" s="88" t="str">
        <f t="shared" si="5"/>
        <v>Perubahan Normal</v>
      </c>
    </row>
    <row r="2698" ht="18.75" customHeight="1">
      <c r="A2698" s="80" t="s">
        <v>382</v>
      </c>
      <c r="B2698" s="81" t="str">
        <f t="shared" si="1"/>
        <v>Kab Ngada</v>
      </c>
      <c r="C2698" s="81" t="str">
        <f t="array" ref="C2698">XLOOKUP(B2698,Reference!$A$2:$A$152,Reference!$B$2:$B$152)</f>
        <v>Nusa Tenggara Timur (NTT)</v>
      </c>
      <c r="D2698" s="82" t="s">
        <v>3137</v>
      </c>
      <c r="E2698" s="83">
        <v>45352.0</v>
      </c>
      <c r="F2698" s="84" t="str">
        <f t="array" ref="F2698">XLOOKUP(G2698,Reference!$F:$F,Reference!$D:$D,"null")</f>
        <v>Makanan dan Pakaian </v>
      </c>
      <c r="G2698" s="85" t="s">
        <v>72</v>
      </c>
      <c r="H2698" s="86">
        <v>92.61</v>
      </c>
      <c r="I2698" s="86">
        <v>93.36</v>
      </c>
      <c r="J2698" s="87">
        <f t="shared" si="2"/>
        <v>-0.8033419023</v>
      </c>
      <c r="K2698" s="84" t="str">
        <f t="shared" si="3"/>
        <v>Deflasi</v>
      </c>
      <c r="L2698" s="84">
        <f t="shared" si="4"/>
        <v>-0.75</v>
      </c>
      <c r="M2698" s="88" t="str">
        <f t="shared" si="5"/>
        <v>Perubahan Normal</v>
      </c>
    </row>
    <row r="2699" ht="18.75" customHeight="1">
      <c r="A2699" s="80" t="s">
        <v>573</v>
      </c>
      <c r="B2699" s="81" t="str">
        <f t="shared" si="1"/>
        <v>Kota Palangkaraya</v>
      </c>
      <c r="C2699" s="81" t="str">
        <f t="array" ref="C2699">XLOOKUP(B2699,Reference!$A$2:$A$152,Reference!$B$2:$B$152)</f>
        <v>Kalimantan Tengah</v>
      </c>
      <c r="D2699" s="82" t="s">
        <v>3138</v>
      </c>
      <c r="E2699" s="83">
        <v>45352.0</v>
      </c>
      <c r="F2699" s="84" t="str">
        <f t="array" ref="F2699">XLOOKUP(G2699,Reference!$F:$F,Reference!$D:$D,"null")</f>
        <v>Rumah Tangga</v>
      </c>
      <c r="G2699" s="85" t="s">
        <v>89</v>
      </c>
      <c r="H2699" s="86">
        <v>102.6</v>
      </c>
      <c r="I2699" s="86">
        <v>102.6</v>
      </c>
      <c r="J2699" s="87">
        <f t="shared" si="2"/>
        <v>0</v>
      </c>
      <c r="K2699" s="84" t="str">
        <f t="shared" si="3"/>
        <v>Stabil</v>
      </c>
      <c r="L2699" s="84">
        <f t="shared" si="4"/>
        <v>0</v>
      </c>
      <c r="M2699" s="88" t="str">
        <f t="shared" si="5"/>
        <v>Perubahan Normal</v>
      </c>
    </row>
    <row r="2700" ht="18.75" customHeight="1">
      <c r="A2700" s="80" t="s">
        <v>571</v>
      </c>
      <c r="B2700" s="81" t="str">
        <f t="shared" si="1"/>
        <v>Kota Sorong</v>
      </c>
      <c r="C2700" s="81" t="str">
        <f t="array" ref="C2700">XLOOKUP(B2700,Reference!$A$2:$A$152,Reference!$B$2:$B$152)</f>
        <v>Papua Barat Daya</v>
      </c>
      <c r="D2700" s="82" t="s">
        <v>3139</v>
      </c>
      <c r="E2700" s="83">
        <v>45352.0</v>
      </c>
      <c r="F2700" s="84" t="str">
        <f t="array" ref="F2700">XLOOKUP(G2700,Reference!$F:$F,Reference!$D:$D,"null")</f>
        <v>Makanan dan Pakaian </v>
      </c>
      <c r="G2700" s="85" t="s">
        <v>56</v>
      </c>
      <c r="H2700" s="86">
        <v>106.24</v>
      </c>
      <c r="I2700" s="86">
        <v>106.63</v>
      </c>
      <c r="J2700" s="87">
        <f t="shared" si="2"/>
        <v>-0.3657507268</v>
      </c>
      <c r="K2700" s="84" t="str">
        <f t="shared" si="3"/>
        <v>Deflasi</v>
      </c>
      <c r="L2700" s="84">
        <f t="shared" si="4"/>
        <v>-0.39</v>
      </c>
      <c r="M2700" s="88" t="str">
        <f t="shared" si="5"/>
        <v>Perubahan Normal</v>
      </c>
    </row>
    <row r="2701" ht="18.75" customHeight="1">
      <c r="A2701" s="80" t="s">
        <v>478</v>
      </c>
      <c r="B2701" s="81" t="str">
        <f t="shared" si="1"/>
        <v>Kab Maluku Tengah</v>
      </c>
      <c r="C2701" s="81" t="str">
        <f t="array" ref="C2701">XLOOKUP(B2701,Reference!$A$2:$A$152,Reference!$B$2:$B$152)</f>
        <v>Maluku</v>
      </c>
      <c r="D2701" s="82" t="s">
        <v>3140</v>
      </c>
      <c r="E2701" s="83">
        <v>45352.0</v>
      </c>
      <c r="F2701" s="84" t="str">
        <f t="array" ref="F2701">XLOOKUP(G2701,Reference!$F:$F,Reference!$D:$D,"null")</f>
        <v>Makanan dan Pakaian </v>
      </c>
      <c r="G2701" s="85" t="s">
        <v>56</v>
      </c>
      <c r="H2701" s="86">
        <v>113.94</v>
      </c>
      <c r="I2701" s="86">
        <v>112.22</v>
      </c>
      <c r="J2701" s="87">
        <f t="shared" si="2"/>
        <v>1.532703618</v>
      </c>
      <c r="K2701" s="84" t="str">
        <f t="shared" si="3"/>
        <v>Inflasi Tinggi</v>
      </c>
      <c r="L2701" s="84">
        <f t="shared" si="4"/>
        <v>1.72</v>
      </c>
      <c r="M2701" s="88" t="str">
        <f t="shared" si="5"/>
        <v>Akselerasi Persentase</v>
      </c>
    </row>
    <row r="2702" ht="18.75" customHeight="1">
      <c r="A2702" s="80" t="s">
        <v>764</v>
      </c>
      <c r="B2702" s="81" t="str">
        <f t="shared" si="1"/>
        <v>Kota Madiun</v>
      </c>
      <c r="C2702" s="81" t="str">
        <f t="array" ref="C2702">XLOOKUP(B2702,Reference!$A$2:$A$152,Reference!$B$2:$B$152)</f>
        <v>Jawa Timur</v>
      </c>
      <c r="D2702" s="82" t="s">
        <v>3141</v>
      </c>
      <c r="E2702" s="83">
        <v>45323.0</v>
      </c>
      <c r="F2702" s="84" t="str">
        <f t="array" ref="F2702">XLOOKUP(G2702,Reference!$F:$F,Reference!$D:$D,"null")</f>
        <v>Makanan dan Pakaian </v>
      </c>
      <c r="G2702" s="85" t="s">
        <v>56</v>
      </c>
      <c r="H2702" s="86">
        <v>103.84</v>
      </c>
      <c r="I2702" s="86">
        <v>103.67</v>
      </c>
      <c r="J2702" s="87">
        <f t="shared" si="2"/>
        <v>0.1639818655</v>
      </c>
      <c r="K2702" s="84" t="str">
        <f t="shared" si="3"/>
        <v>Inflasi Normal</v>
      </c>
      <c r="L2702" s="84">
        <f t="shared" si="4"/>
        <v>0.17</v>
      </c>
      <c r="M2702" s="88" t="str">
        <f t="shared" si="5"/>
        <v>Perubahan Normal</v>
      </c>
    </row>
    <row r="2703" ht="18.75" customHeight="1">
      <c r="A2703" s="80" t="s">
        <v>438</v>
      </c>
      <c r="B2703" s="81" t="str">
        <f t="shared" si="1"/>
        <v>Kab Muara Enim</v>
      </c>
      <c r="C2703" s="81" t="str">
        <f t="array" ref="C2703">XLOOKUP(B2703,Reference!$A$2:$A$152,Reference!$B$2:$B$152)</f>
        <v>Sumatera Selatan</v>
      </c>
      <c r="D2703" s="82" t="s">
        <v>3142</v>
      </c>
      <c r="E2703" s="83">
        <v>45323.0</v>
      </c>
      <c r="F2703" s="84" t="str">
        <f t="array" ref="F2703">XLOOKUP(G2703,Reference!$F:$F,Reference!$D:$D,"null")</f>
        <v>Rumah Tangga</v>
      </c>
      <c r="G2703" s="85" t="s">
        <v>80</v>
      </c>
      <c r="H2703" s="86">
        <v>100.15</v>
      </c>
      <c r="I2703" s="86">
        <v>100.15</v>
      </c>
      <c r="J2703" s="87">
        <f t="shared" si="2"/>
        <v>0</v>
      </c>
      <c r="K2703" s="84" t="str">
        <f t="shared" si="3"/>
        <v>Stabil</v>
      </c>
      <c r="L2703" s="84">
        <f t="shared" si="4"/>
        <v>0</v>
      </c>
      <c r="M2703" s="88" t="str">
        <f t="shared" si="5"/>
        <v>Perubahan Normal</v>
      </c>
    </row>
    <row r="2704" ht="18.75" customHeight="1">
      <c r="A2704" s="80" t="s">
        <v>488</v>
      </c>
      <c r="B2704" s="81" t="str">
        <f t="shared" si="1"/>
        <v>Kab Muko Muko</v>
      </c>
      <c r="C2704" s="81" t="str">
        <f t="array" ref="C2704">XLOOKUP(B2704,Reference!$A$2:$A$152,Reference!$B$2:$B$152)</f>
        <v>Bengkulu</v>
      </c>
      <c r="D2704" s="82" t="s">
        <v>3143</v>
      </c>
      <c r="E2704" s="83">
        <v>45352.0</v>
      </c>
      <c r="F2704" s="84" t="str">
        <f t="array" ref="F2704">XLOOKUP(G2704,Reference!$F:$F,Reference!$D:$D,"null")</f>
        <v>Pendidikan dan Kesehatan</v>
      </c>
      <c r="G2704" s="89" t="s">
        <v>98</v>
      </c>
      <c r="H2704" s="90">
        <v>108.25</v>
      </c>
      <c r="I2704" s="90">
        <v>108.25</v>
      </c>
      <c r="J2704" s="87">
        <f t="shared" si="2"/>
        <v>0</v>
      </c>
      <c r="K2704" s="84" t="str">
        <f t="shared" si="3"/>
        <v>Stabil</v>
      </c>
      <c r="L2704" s="91">
        <f t="shared" si="4"/>
        <v>0</v>
      </c>
      <c r="M2704" s="88" t="str">
        <f t="shared" si="5"/>
        <v>Perubahan Normal</v>
      </c>
    </row>
    <row r="2705" ht="18.75" customHeight="1">
      <c r="A2705" s="80" t="s">
        <v>558</v>
      </c>
      <c r="B2705" s="81" t="str">
        <f t="shared" si="1"/>
        <v>Kab Kapuas</v>
      </c>
      <c r="C2705" s="81" t="str">
        <f t="array" ref="C2705">XLOOKUP(B2705,Reference!$A$2:$A$152,Reference!$B$2:$B$152)</f>
        <v>Kalimantan Tengah</v>
      </c>
      <c r="D2705" s="82" t="s">
        <v>3144</v>
      </c>
      <c r="E2705" s="83">
        <v>45352.0</v>
      </c>
      <c r="F2705" s="84" t="str">
        <f t="array" ref="F2705">XLOOKUP(G2705,Reference!$F:$F,Reference!$D:$D,"null")</f>
        <v>Pendidikan dan Kesehatan</v>
      </c>
      <c r="G2705" s="85" t="s">
        <v>95</v>
      </c>
      <c r="H2705" s="86">
        <v>100.0</v>
      </c>
      <c r="I2705" s="86">
        <v>100.0</v>
      </c>
      <c r="J2705" s="87">
        <f t="shared" si="2"/>
        <v>0</v>
      </c>
      <c r="K2705" s="84" t="str">
        <f t="shared" si="3"/>
        <v>Stabil</v>
      </c>
      <c r="L2705" s="84">
        <f t="shared" si="4"/>
        <v>0</v>
      </c>
      <c r="M2705" s="88" t="str">
        <f t="shared" si="5"/>
        <v>Perubahan Normal</v>
      </c>
    </row>
    <row r="2706" ht="18.75" customHeight="1">
      <c r="A2706" s="80" t="s">
        <v>598</v>
      </c>
      <c r="B2706" s="81" t="str">
        <f t="shared" si="1"/>
        <v>Kota Surakarta</v>
      </c>
      <c r="C2706" s="81" t="str">
        <f t="array" ref="C2706">XLOOKUP(B2706,Reference!$A$2:$A$152,Reference!$B$2:$B$152)</f>
        <v>Jawa Tengah</v>
      </c>
      <c r="D2706" s="82" t="s">
        <v>3145</v>
      </c>
      <c r="E2706" s="83">
        <v>45323.0</v>
      </c>
      <c r="F2706" s="84" t="str">
        <f t="array" ref="F2706">XLOOKUP(G2706,Reference!$F:$F,Reference!$D:$D,"null")</f>
        <v>Rumah Tangga</v>
      </c>
      <c r="G2706" s="85" t="s">
        <v>84</v>
      </c>
      <c r="H2706" s="86">
        <v>101.36</v>
      </c>
      <c r="I2706" s="86">
        <v>101.36</v>
      </c>
      <c r="J2706" s="87">
        <f t="shared" si="2"/>
        <v>0</v>
      </c>
      <c r="K2706" s="84" t="str">
        <f t="shared" si="3"/>
        <v>Stabil</v>
      </c>
      <c r="L2706" s="84">
        <f t="shared" si="4"/>
        <v>0</v>
      </c>
      <c r="M2706" s="88" t="str">
        <f t="shared" si="5"/>
        <v>Perubahan Normal</v>
      </c>
    </row>
    <row r="2707" ht="18.75" customHeight="1">
      <c r="A2707" s="80" t="s">
        <v>378</v>
      </c>
      <c r="B2707" s="81" t="str">
        <f t="shared" si="1"/>
        <v>Kab Berau</v>
      </c>
      <c r="C2707" s="81" t="str">
        <f t="array" ref="C2707">XLOOKUP(B2707,Reference!$A$2:$A$152,Reference!$B$2:$B$152)</f>
        <v>Kalimantan Timur</v>
      </c>
      <c r="D2707" s="82" t="s">
        <v>3146</v>
      </c>
      <c r="E2707" s="83">
        <v>45352.0</v>
      </c>
      <c r="F2707" s="84" t="str">
        <f t="array" ref="F2707">XLOOKUP(G2707,Reference!$F:$F,Reference!$D:$D,"null")</f>
        <v>Makanan dan Pakaian </v>
      </c>
      <c r="G2707" s="85" t="s">
        <v>48</v>
      </c>
      <c r="H2707" s="86">
        <v>109.57</v>
      </c>
      <c r="I2707" s="86">
        <v>109.4</v>
      </c>
      <c r="J2707" s="87">
        <f t="shared" si="2"/>
        <v>0.155393053</v>
      </c>
      <c r="K2707" s="84" t="str">
        <f t="shared" si="3"/>
        <v>Inflasi Normal</v>
      </c>
      <c r="L2707" s="84">
        <f t="shared" si="4"/>
        <v>0.17</v>
      </c>
      <c r="M2707" s="88" t="str">
        <f t="shared" si="5"/>
        <v>Perubahan Normal</v>
      </c>
    </row>
    <row r="2708" ht="18.75" customHeight="1">
      <c r="A2708" s="80" t="s">
        <v>734</v>
      </c>
      <c r="B2708" s="81" t="str">
        <f t="shared" si="1"/>
        <v>Kota Tegal</v>
      </c>
      <c r="C2708" s="81" t="str">
        <f t="array" ref="C2708">XLOOKUP(B2708,Reference!$A$2:$A$152,Reference!$B$2:$B$152)</f>
        <v>Jawa Tengah</v>
      </c>
      <c r="D2708" s="82" t="s">
        <v>3147</v>
      </c>
      <c r="E2708" s="83">
        <v>45352.0</v>
      </c>
      <c r="F2708" s="84" t="str">
        <f t="array" ref="F2708">XLOOKUP(G2708,Reference!$F:$F,Reference!$D:$D,"null")</f>
        <v>Rumah Tangga</v>
      </c>
      <c r="G2708" s="85" t="s">
        <v>80</v>
      </c>
      <c r="H2708" s="86">
        <v>100.87</v>
      </c>
      <c r="I2708" s="86">
        <v>100.87</v>
      </c>
      <c r="J2708" s="87">
        <f t="shared" si="2"/>
        <v>0</v>
      </c>
      <c r="K2708" s="84" t="str">
        <f t="shared" si="3"/>
        <v>Stabil</v>
      </c>
      <c r="L2708" s="84">
        <f t="shared" si="4"/>
        <v>0</v>
      </c>
      <c r="M2708" s="88" t="str">
        <f t="shared" si="5"/>
        <v>Perubahan Normal</v>
      </c>
    </row>
    <row r="2709" ht="18.75" customHeight="1">
      <c r="A2709" s="80" t="s">
        <v>353</v>
      </c>
      <c r="B2709" s="81" t="str">
        <f t="shared" si="1"/>
        <v>Kota Bau Bau</v>
      </c>
      <c r="C2709" s="81" t="str">
        <f t="array" ref="C2709">XLOOKUP(B2709,Reference!$A$2:$A$152,Reference!$B$2:$B$152)</f>
        <v>Sulawesi Tenggara</v>
      </c>
      <c r="D2709" s="82" t="s">
        <v>3148</v>
      </c>
      <c r="E2709" s="83">
        <v>45352.0</v>
      </c>
      <c r="F2709" s="84" t="str">
        <f t="array" ref="F2709">XLOOKUP(G2709,Reference!$F:$F,Reference!$D:$D,"null")</f>
        <v>Rekreasi dan Kendaraan</v>
      </c>
      <c r="G2709" s="85" t="s">
        <v>105</v>
      </c>
      <c r="H2709" s="86">
        <v>107.11</v>
      </c>
      <c r="I2709" s="86">
        <v>106.85</v>
      </c>
      <c r="J2709" s="87">
        <f t="shared" si="2"/>
        <v>0.2433317735</v>
      </c>
      <c r="K2709" s="84" t="str">
        <f t="shared" si="3"/>
        <v>Inflasi Normal</v>
      </c>
      <c r="L2709" s="84">
        <f t="shared" si="4"/>
        <v>0.26</v>
      </c>
      <c r="M2709" s="88" t="str">
        <f t="shared" si="5"/>
        <v>Perubahan Normal</v>
      </c>
    </row>
    <row r="2710" ht="18.75" customHeight="1">
      <c r="A2710" s="80" t="s">
        <v>526</v>
      </c>
      <c r="B2710" s="81" t="str">
        <f t="shared" si="1"/>
        <v>Maumere</v>
      </c>
      <c r="C2710" s="81" t="str">
        <f t="array" ref="C2710">XLOOKUP(B2710,Reference!$A$2:$A$152,Reference!$B$2:$B$152)</f>
        <v>Nusa Tenggara Timur (NTT)</v>
      </c>
      <c r="D2710" s="82" t="s">
        <v>3149</v>
      </c>
      <c r="E2710" s="83">
        <v>45352.0</v>
      </c>
      <c r="F2710" s="84" t="str">
        <f t="array" ref="F2710">XLOOKUP(G2710,Reference!$F:$F,Reference!$D:$D,"null")</f>
        <v>Rumah Tangga</v>
      </c>
      <c r="G2710" s="85" t="s">
        <v>84</v>
      </c>
      <c r="H2710" s="86">
        <v>103.62</v>
      </c>
      <c r="I2710" s="86">
        <v>103.62</v>
      </c>
      <c r="J2710" s="87">
        <f t="shared" si="2"/>
        <v>0</v>
      </c>
      <c r="K2710" s="84" t="str">
        <f t="shared" si="3"/>
        <v>Stabil</v>
      </c>
      <c r="L2710" s="84">
        <f t="shared" si="4"/>
        <v>0</v>
      </c>
      <c r="M2710" s="88" t="str">
        <f t="shared" si="5"/>
        <v>Perubahan Normal</v>
      </c>
    </row>
    <row r="2711" ht="18.75" customHeight="1">
      <c r="A2711" s="80" t="s">
        <v>353</v>
      </c>
      <c r="B2711" s="81" t="str">
        <f t="shared" si="1"/>
        <v>Kota Bau Bau</v>
      </c>
      <c r="C2711" s="81" t="str">
        <f t="array" ref="C2711">XLOOKUP(B2711,Reference!$A$2:$A$152,Reference!$B$2:$B$152)</f>
        <v>Sulawesi Tenggara</v>
      </c>
      <c r="D2711" s="82" t="s">
        <v>3150</v>
      </c>
      <c r="E2711" s="83">
        <v>45323.0</v>
      </c>
      <c r="F2711" s="84" t="str">
        <f t="array" ref="F2711">XLOOKUP(G2711,Reference!$F:$F,Reference!$D:$D,"null")</f>
        <v>Pendidikan dan Kesehatan</v>
      </c>
      <c r="G2711" s="85" t="s">
        <v>98</v>
      </c>
      <c r="H2711" s="86">
        <v>100.41</v>
      </c>
      <c r="I2711" s="86">
        <v>100.99</v>
      </c>
      <c r="J2711" s="87">
        <f t="shared" si="2"/>
        <v>-0.5743142885</v>
      </c>
      <c r="K2711" s="84" t="str">
        <f t="shared" si="3"/>
        <v>Deflasi</v>
      </c>
      <c r="L2711" s="84">
        <f t="shared" si="4"/>
        <v>-0.58</v>
      </c>
      <c r="M2711" s="88" t="str">
        <f t="shared" si="5"/>
        <v>Perubahan Normal</v>
      </c>
    </row>
    <row r="2712" ht="18.75" customHeight="1">
      <c r="A2712" s="80" t="s">
        <v>378</v>
      </c>
      <c r="B2712" s="81" t="str">
        <f t="shared" si="1"/>
        <v>Kab Berau</v>
      </c>
      <c r="C2712" s="81" t="str">
        <f t="array" ref="C2712">XLOOKUP(B2712,Reference!$A$2:$A$152,Reference!$B$2:$B$152)</f>
        <v>Kalimantan Timur</v>
      </c>
      <c r="D2712" s="82" t="s">
        <v>3151</v>
      </c>
      <c r="E2712" s="83">
        <v>45323.0</v>
      </c>
      <c r="F2712" s="84" t="str">
        <f t="array" ref="F2712">XLOOKUP(G2712,Reference!$F:$F,Reference!$D:$D,"null")</f>
        <v>Rekreasi dan Kendaraan</v>
      </c>
      <c r="G2712" s="85" t="s">
        <v>105</v>
      </c>
      <c r="H2712" s="86">
        <v>103.01</v>
      </c>
      <c r="I2712" s="86">
        <v>102.85</v>
      </c>
      <c r="J2712" s="87">
        <f t="shared" si="2"/>
        <v>0.1555663588</v>
      </c>
      <c r="K2712" s="84" t="str">
        <f t="shared" si="3"/>
        <v>Inflasi Normal</v>
      </c>
      <c r="L2712" s="84">
        <f t="shared" si="4"/>
        <v>0.16</v>
      </c>
      <c r="M2712" s="88" t="str">
        <f t="shared" si="5"/>
        <v>Perubahan Normal</v>
      </c>
    </row>
    <row r="2713" ht="18.75" customHeight="1">
      <c r="A2713" s="80" t="s">
        <v>374</v>
      </c>
      <c r="B2713" s="81" t="str">
        <f t="shared" si="1"/>
        <v>Kab Majalengka</v>
      </c>
      <c r="C2713" s="81" t="str">
        <f t="array" ref="C2713">XLOOKUP(B2713,Reference!$A$2:$A$152,Reference!$B$2:$B$152)</f>
        <v>Jawa Barat</v>
      </c>
      <c r="D2713" s="82" t="s">
        <v>3152</v>
      </c>
      <c r="E2713" s="83">
        <v>45352.0</v>
      </c>
      <c r="F2713" s="84" t="str">
        <f t="array" ref="F2713">XLOOKUP(G2713,Reference!$F:$F,Reference!$D:$D,"null")</f>
        <v>Pendidikan dan Kesehatan</v>
      </c>
      <c r="G2713" s="85" t="s">
        <v>95</v>
      </c>
      <c r="H2713" s="86">
        <v>100.81</v>
      </c>
      <c r="I2713" s="86">
        <v>100.81</v>
      </c>
      <c r="J2713" s="87">
        <f t="shared" si="2"/>
        <v>0</v>
      </c>
      <c r="K2713" s="84" t="str">
        <f t="shared" si="3"/>
        <v>Stabil</v>
      </c>
      <c r="L2713" s="84">
        <f t="shared" si="4"/>
        <v>0</v>
      </c>
      <c r="M2713" s="88" t="str">
        <f t="shared" si="5"/>
        <v>Perubahan Normal</v>
      </c>
    </row>
    <row r="2714" ht="18.75" customHeight="1">
      <c r="A2714" s="80" t="s">
        <v>483</v>
      </c>
      <c r="B2714" s="81" t="str">
        <f t="shared" si="1"/>
        <v>Kota Padangsidimpuan</v>
      </c>
      <c r="C2714" s="81" t="str">
        <f t="array" ref="C2714">XLOOKUP(B2714,Reference!$A$2:$A$152,Reference!$B$2:$B$152)</f>
        <v>Sumatera Utara</v>
      </c>
      <c r="D2714" s="82" t="s">
        <v>3153</v>
      </c>
      <c r="E2714" s="83">
        <v>45323.0</v>
      </c>
      <c r="F2714" s="84" t="str">
        <f t="array" ref="F2714">XLOOKUP(G2714,Reference!$F:$F,Reference!$D:$D,"null")</f>
        <v>Rekreasi dan Kendaraan</v>
      </c>
      <c r="G2714" s="85" t="s">
        <v>105</v>
      </c>
      <c r="H2714" s="86">
        <v>103.17</v>
      </c>
      <c r="I2714" s="86">
        <v>103.17</v>
      </c>
      <c r="J2714" s="87">
        <f t="shared" si="2"/>
        <v>0</v>
      </c>
      <c r="K2714" s="84" t="str">
        <f t="shared" si="3"/>
        <v>Stabil</v>
      </c>
      <c r="L2714" s="84">
        <f t="shared" si="4"/>
        <v>0</v>
      </c>
      <c r="M2714" s="88" t="str">
        <f t="shared" si="5"/>
        <v>Perubahan Normal</v>
      </c>
    </row>
    <row r="2715" ht="18.75" customHeight="1">
      <c r="A2715" s="80" t="s">
        <v>304</v>
      </c>
      <c r="B2715" s="81" t="str">
        <f t="shared" si="1"/>
        <v>Kota Kediri</v>
      </c>
      <c r="C2715" s="81" t="str">
        <f t="array" ref="C2715">XLOOKUP(B2715,Reference!$A$2:$A$152,Reference!$B$2:$B$152)</f>
        <v>Jawa Timur</v>
      </c>
      <c r="D2715" s="82" t="s">
        <v>3154</v>
      </c>
      <c r="E2715" s="83">
        <v>45352.0</v>
      </c>
      <c r="F2715" s="84" t="str">
        <f t="array" ref="F2715">XLOOKUP(G2715,Reference!$F:$F,Reference!$D:$D,"null")</f>
        <v>Makanan dan Pakaian </v>
      </c>
      <c r="G2715" s="85" t="s">
        <v>48</v>
      </c>
      <c r="H2715" s="86">
        <v>113.94</v>
      </c>
      <c r="I2715" s="86">
        <v>111.27</v>
      </c>
      <c r="J2715" s="87">
        <f t="shared" si="2"/>
        <v>2.399568617</v>
      </c>
      <c r="K2715" s="84" t="str">
        <f t="shared" si="3"/>
        <v>Inflasi Tinggi</v>
      </c>
      <c r="L2715" s="84">
        <f t="shared" si="4"/>
        <v>2.67</v>
      </c>
      <c r="M2715" s="88" t="str">
        <f t="shared" si="5"/>
        <v>Akselerasi Kuat</v>
      </c>
    </row>
    <row r="2716" ht="18.75" customHeight="1">
      <c r="A2716" s="80" t="s">
        <v>384</v>
      </c>
      <c r="B2716" s="81" t="str">
        <f t="shared" si="1"/>
        <v>Kab Lebak</v>
      </c>
      <c r="C2716" s="81" t="str">
        <f t="array" ref="C2716">XLOOKUP(B2716,Reference!$A$2:$A$152,Reference!$B$2:$B$152)</f>
        <v>Banten</v>
      </c>
      <c r="D2716" s="82" t="s">
        <v>3155</v>
      </c>
      <c r="E2716" s="83">
        <v>45323.0</v>
      </c>
      <c r="F2716" s="84" t="str">
        <f t="array" ref="F2716">XLOOKUP(G2716,Reference!$F:$F,Reference!$D:$D,"null")</f>
        <v>Makanan dan Pakaian </v>
      </c>
      <c r="G2716" s="85" t="s">
        <v>56</v>
      </c>
      <c r="H2716" s="86">
        <v>105.62</v>
      </c>
      <c r="I2716" s="86">
        <v>105.12</v>
      </c>
      <c r="J2716" s="87">
        <f t="shared" si="2"/>
        <v>0.4756468798</v>
      </c>
      <c r="K2716" s="84" t="str">
        <f t="shared" si="3"/>
        <v>Inflasi Normal</v>
      </c>
      <c r="L2716" s="84">
        <f t="shared" si="4"/>
        <v>0.5</v>
      </c>
      <c r="M2716" s="88" t="str">
        <f t="shared" si="5"/>
        <v>Perubahan Normal</v>
      </c>
    </row>
    <row r="2717" ht="18.75" customHeight="1">
      <c r="A2717" s="80" t="s">
        <v>526</v>
      </c>
      <c r="B2717" s="81" t="str">
        <f t="shared" si="1"/>
        <v>Maumere</v>
      </c>
      <c r="C2717" s="81" t="str">
        <f t="array" ref="C2717">XLOOKUP(B2717,Reference!$A$2:$A$152,Reference!$B$2:$B$152)</f>
        <v>Nusa Tenggara Timur (NTT)</v>
      </c>
      <c r="D2717" s="82" t="s">
        <v>3156</v>
      </c>
      <c r="E2717" s="83">
        <v>45323.0</v>
      </c>
      <c r="F2717" s="84" t="str">
        <f t="array" ref="F2717">XLOOKUP(G2717,Reference!$F:$F,Reference!$D:$D,"null")</f>
        <v>Makanan dan Pakaian </v>
      </c>
      <c r="G2717" s="85" t="s">
        <v>56</v>
      </c>
      <c r="H2717" s="86">
        <v>106.61</v>
      </c>
      <c r="I2717" s="86">
        <v>106.73</v>
      </c>
      <c r="J2717" s="87">
        <f t="shared" si="2"/>
        <v>-0.1124332428</v>
      </c>
      <c r="K2717" s="84" t="str">
        <f t="shared" si="3"/>
        <v>Deflasi</v>
      </c>
      <c r="L2717" s="84">
        <f t="shared" si="4"/>
        <v>-0.12</v>
      </c>
      <c r="M2717" s="88" t="str">
        <f t="shared" si="5"/>
        <v>Perubahan Normal</v>
      </c>
    </row>
    <row r="2718" ht="18.75" customHeight="1">
      <c r="A2718" s="80" t="s">
        <v>362</v>
      </c>
      <c r="B2718" s="81" t="str">
        <f t="shared" si="1"/>
        <v>Sumenep</v>
      </c>
      <c r="C2718" s="81" t="str">
        <f t="array" ref="C2718">XLOOKUP(B2718,Reference!$A$2:$A$152,Reference!$B$2:$B$152)</f>
        <v>Jawa Timur</v>
      </c>
      <c r="D2718" s="82" t="s">
        <v>3157</v>
      </c>
      <c r="E2718" s="83">
        <v>45352.0</v>
      </c>
      <c r="F2718" s="84" t="str">
        <f t="array" ref="F2718">XLOOKUP(G2718,Reference!$F:$F,Reference!$D:$D,"null")</f>
        <v>Pendidikan dan Kesehatan</v>
      </c>
      <c r="G2718" s="85" t="s">
        <v>98</v>
      </c>
      <c r="H2718" s="86">
        <v>109.33</v>
      </c>
      <c r="I2718" s="86">
        <v>109.33</v>
      </c>
      <c r="J2718" s="87">
        <f t="shared" si="2"/>
        <v>0</v>
      </c>
      <c r="K2718" s="84" t="str">
        <f t="shared" si="3"/>
        <v>Stabil</v>
      </c>
      <c r="L2718" s="84">
        <f t="shared" si="4"/>
        <v>0</v>
      </c>
      <c r="M2718" s="88" t="str">
        <f t="shared" si="5"/>
        <v>Perubahan Normal</v>
      </c>
    </row>
    <row r="2719" ht="18.75" customHeight="1">
      <c r="A2719" s="80" t="s">
        <v>642</v>
      </c>
      <c r="B2719" s="81" t="str">
        <f t="shared" si="1"/>
        <v>Kota Bandar Lampung</v>
      </c>
      <c r="C2719" s="81" t="str">
        <f t="array" ref="C2719">XLOOKUP(B2719,Reference!$A$2:$A$152,Reference!$B$2:$B$152)</f>
        <v>Lampung</v>
      </c>
      <c r="D2719" s="82" t="s">
        <v>3158</v>
      </c>
      <c r="E2719" s="83">
        <v>45323.0</v>
      </c>
      <c r="F2719" s="84" t="str">
        <f t="array" ref="F2719">XLOOKUP(G2719,Reference!$F:$F,Reference!$D:$D,"null")</f>
        <v>Pendidikan dan Kesehatan</v>
      </c>
      <c r="G2719" s="85" t="s">
        <v>98</v>
      </c>
      <c r="H2719" s="86">
        <v>102.49</v>
      </c>
      <c r="I2719" s="86">
        <v>102.05</v>
      </c>
      <c r="J2719" s="87">
        <f t="shared" si="2"/>
        <v>0.4311611955</v>
      </c>
      <c r="K2719" s="84" t="str">
        <f t="shared" si="3"/>
        <v>Inflasi Normal</v>
      </c>
      <c r="L2719" s="84">
        <f t="shared" si="4"/>
        <v>0.44</v>
      </c>
      <c r="M2719" s="88" t="str">
        <f t="shared" si="5"/>
        <v>Perubahan Normal</v>
      </c>
    </row>
    <row r="2720" ht="18.75" customHeight="1">
      <c r="A2720" s="80" t="s">
        <v>417</v>
      </c>
      <c r="B2720" s="81" t="str">
        <f t="shared" si="1"/>
        <v>Kotabaru</v>
      </c>
      <c r="C2720" s="81" t="str">
        <f t="array" ref="C2720">XLOOKUP(B2720,Reference!$A$2:$A$152,Reference!$B$2:$B$152)</f>
        <v>Kalimantan Selatan</v>
      </c>
      <c r="D2720" s="82" t="s">
        <v>3159</v>
      </c>
      <c r="E2720" s="83">
        <v>45352.0</v>
      </c>
      <c r="F2720" s="84" t="str">
        <f t="array" ref="F2720">XLOOKUP(G2720,Reference!$F:$F,Reference!$D:$D,"null")</f>
        <v>Makanan dan Pakaian </v>
      </c>
      <c r="G2720" s="85" t="s">
        <v>56</v>
      </c>
      <c r="H2720" s="86">
        <v>105.3</v>
      </c>
      <c r="I2720" s="86">
        <v>105.31</v>
      </c>
      <c r="J2720" s="87">
        <f t="shared" si="2"/>
        <v>-0.00949577438</v>
      </c>
      <c r="K2720" s="84" t="str">
        <f t="shared" si="3"/>
        <v>Deflasi</v>
      </c>
      <c r="L2720" s="84">
        <f t="shared" si="4"/>
        <v>-0.01</v>
      </c>
      <c r="M2720" s="88" t="str">
        <f t="shared" si="5"/>
        <v>Perubahan Normal</v>
      </c>
    </row>
    <row r="2721" ht="18.75" customHeight="1">
      <c r="A2721" s="80" t="s">
        <v>762</v>
      </c>
      <c r="B2721" s="81" t="str">
        <f t="shared" si="1"/>
        <v>Kota Pangkal Pinang</v>
      </c>
      <c r="C2721" s="81" t="str">
        <f t="array" ref="C2721">XLOOKUP(B2721,Reference!$A$2:$A$152,Reference!$B$2:$B$152)</f>
        <v>Kepulauan Bangka Belitung</v>
      </c>
      <c r="D2721" s="82" t="s">
        <v>3160</v>
      </c>
      <c r="E2721" s="83">
        <v>45323.0</v>
      </c>
      <c r="F2721" s="84" t="str">
        <f t="array" ref="F2721">XLOOKUP(G2721,Reference!$F:$F,Reference!$D:$D,"null")</f>
        <v>Makanan dan Pakaian </v>
      </c>
      <c r="G2721" s="85" t="s">
        <v>64</v>
      </c>
      <c r="H2721" s="86">
        <v>100.67</v>
      </c>
      <c r="I2721" s="86">
        <v>100.67</v>
      </c>
      <c r="J2721" s="87">
        <f t="shared" si="2"/>
        <v>0</v>
      </c>
      <c r="K2721" s="84" t="str">
        <f t="shared" si="3"/>
        <v>Stabil</v>
      </c>
      <c r="L2721" s="84">
        <f t="shared" si="4"/>
        <v>0</v>
      </c>
      <c r="M2721" s="88" t="str">
        <f t="shared" si="5"/>
        <v>Perubahan Normal</v>
      </c>
    </row>
    <row r="2722" ht="18.75" customHeight="1">
      <c r="A2722" s="80" t="s">
        <v>306</v>
      </c>
      <c r="B2722" s="81" t="str">
        <f t="shared" si="1"/>
        <v>Kota Padang</v>
      </c>
      <c r="C2722" s="81" t="str">
        <f t="array" ref="C2722">XLOOKUP(B2722,Reference!$A$2:$A$152,Reference!$B$2:$B$152)</f>
        <v>Sumatera Barat</v>
      </c>
      <c r="D2722" s="82" t="s">
        <v>3161</v>
      </c>
      <c r="E2722" s="83">
        <v>45323.0</v>
      </c>
      <c r="F2722" s="84" t="str">
        <f t="array" ref="F2722">XLOOKUP(G2722,Reference!$F:$F,Reference!$D:$D,"null")</f>
        <v>Rekreasi dan Kendaraan</v>
      </c>
      <c r="G2722" s="85" t="s">
        <v>105</v>
      </c>
      <c r="H2722" s="86">
        <v>105.76</v>
      </c>
      <c r="I2722" s="86">
        <v>104.87</v>
      </c>
      <c r="J2722" s="87">
        <f t="shared" si="2"/>
        <v>0.8486697816</v>
      </c>
      <c r="K2722" s="84" t="str">
        <f t="shared" si="3"/>
        <v>Inflasi Tinggi</v>
      </c>
      <c r="L2722" s="84">
        <f t="shared" si="4"/>
        <v>0.89</v>
      </c>
      <c r="M2722" s="88" t="str">
        <f t="shared" si="5"/>
        <v>Akselerasi Persentase</v>
      </c>
    </row>
    <row r="2723" ht="18.75" customHeight="1">
      <c r="A2723" s="80" t="s">
        <v>934</v>
      </c>
      <c r="B2723" s="81" t="str">
        <f t="shared" si="1"/>
        <v>Kab Kolaka</v>
      </c>
      <c r="C2723" s="81" t="str">
        <f t="array" ref="C2723">XLOOKUP(B2723,Reference!$A$2:$A$152,Reference!$B$2:$B$152)</f>
        <v>Sulawesi Tenggara</v>
      </c>
      <c r="D2723" s="82" t="s">
        <v>3162</v>
      </c>
      <c r="E2723" s="83">
        <v>45323.0</v>
      </c>
      <c r="F2723" s="84" t="str">
        <f t="array" ref="F2723">XLOOKUP(G2723,Reference!$F:$F,Reference!$D:$D,"null")</f>
        <v>Pendidikan dan Kesehatan</v>
      </c>
      <c r="G2723" s="85" t="s">
        <v>98</v>
      </c>
      <c r="H2723" s="86">
        <v>99.44</v>
      </c>
      <c r="I2723" s="86">
        <v>100.29</v>
      </c>
      <c r="J2723" s="87">
        <f t="shared" si="2"/>
        <v>-0.8475421278</v>
      </c>
      <c r="K2723" s="84" t="str">
        <f t="shared" si="3"/>
        <v>Deflasi</v>
      </c>
      <c r="L2723" s="84">
        <f t="shared" si="4"/>
        <v>-0.85</v>
      </c>
      <c r="M2723" s="88" t="str">
        <f t="shared" si="5"/>
        <v>Perubahan Normal</v>
      </c>
    </row>
    <row r="2724" ht="18.75" customHeight="1">
      <c r="A2724" s="80" t="s">
        <v>502</v>
      </c>
      <c r="B2724" s="81" t="str">
        <f t="shared" si="1"/>
        <v>Muara Bungo</v>
      </c>
      <c r="C2724" s="81" t="str">
        <f t="array" ref="C2724">XLOOKUP(B2724,Reference!$A$2:$A$152,Reference!$B$2:$B$152)</f>
        <v>Jambi</v>
      </c>
      <c r="D2724" s="82" t="s">
        <v>3163</v>
      </c>
      <c r="E2724" s="83">
        <v>45352.0</v>
      </c>
      <c r="F2724" s="84" t="str">
        <f t="array" ref="F2724">XLOOKUP(G2724,Reference!$F:$F,Reference!$D:$D,"null")</f>
        <v>Rekreasi dan Kendaraan</v>
      </c>
      <c r="G2724" s="85" t="s">
        <v>102</v>
      </c>
      <c r="H2724" s="86">
        <v>105.9</v>
      </c>
      <c r="I2724" s="86">
        <v>105.88</v>
      </c>
      <c r="J2724" s="87">
        <f t="shared" si="2"/>
        <v>0.01888930865</v>
      </c>
      <c r="K2724" s="84" t="str">
        <f t="shared" si="3"/>
        <v>Inflasi Normal</v>
      </c>
      <c r="L2724" s="84">
        <f t="shared" si="4"/>
        <v>0.02</v>
      </c>
      <c r="M2724" s="88" t="str">
        <f t="shared" si="5"/>
        <v>Perubahan Normal</v>
      </c>
    </row>
    <row r="2725" ht="18.75" customHeight="1">
      <c r="A2725" s="80" t="s">
        <v>532</v>
      </c>
      <c r="B2725" s="81" t="str">
        <f t="shared" si="1"/>
        <v>Kota Palembang</v>
      </c>
      <c r="C2725" s="81" t="str">
        <f t="array" ref="C2725">XLOOKUP(B2725,Reference!$A$2:$A$152,Reference!$B$2:$B$152)</f>
        <v>Sumatera Selatan</v>
      </c>
      <c r="D2725" s="82" t="s">
        <v>3164</v>
      </c>
      <c r="E2725" s="83">
        <v>45352.0</v>
      </c>
      <c r="F2725" s="84" t="str">
        <f t="array" ref="F2725">XLOOKUP(G2725,Reference!$F:$F,Reference!$D:$D,"null")</f>
        <v>Rumah Tangga</v>
      </c>
      <c r="G2725" s="85" t="s">
        <v>89</v>
      </c>
      <c r="H2725" s="86">
        <v>103.93</v>
      </c>
      <c r="I2725" s="86">
        <v>103.93</v>
      </c>
      <c r="J2725" s="87">
        <f t="shared" si="2"/>
        <v>0</v>
      </c>
      <c r="K2725" s="84" t="str">
        <f t="shared" si="3"/>
        <v>Stabil</v>
      </c>
      <c r="L2725" s="84">
        <f t="shared" si="4"/>
        <v>0</v>
      </c>
      <c r="M2725" s="88" t="str">
        <f t="shared" si="5"/>
        <v>Perubahan Normal</v>
      </c>
    </row>
    <row r="2726" ht="18.75" customHeight="1">
      <c r="A2726" s="80" t="s">
        <v>395</v>
      </c>
      <c r="B2726" s="81" t="str">
        <f t="shared" si="1"/>
        <v>Kota Bukittinggi</v>
      </c>
      <c r="C2726" s="81" t="str">
        <f t="array" ref="C2726">XLOOKUP(B2726,Reference!$A$2:$A$152,Reference!$B$2:$B$152)</f>
        <v>Sumatera Barat</v>
      </c>
      <c r="D2726" s="82" t="s">
        <v>3165</v>
      </c>
      <c r="E2726" s="83">
        <v>45323.0</v>
      </c>
      <c r="F2726" s="84" t="str">
        <f t="array" ref="F2726">XLOOKUP(G2726,Reference!$F:$F,Reference!$D:$D,"null")</f>
        <v>Rekreasi dan Kendaraan</v>
      </c>
      <c r="G2726" s="85" t="s">
        <v>102</v>
      </c>
      <c r="H2726" s="86">
        <v>101.39</v>
      </c>
      <c r="I2726" s="86">
        <v>101.39</v>
      </c>
      <c r="J2726" s="87">
        <f t="shared" si="2"/>
        <v>0</v>
      </c>
      <c r="K2726" s="84" t="str">
        <f t="shared" si="3"/>
        <v>Stabil</v>
      </c>
      <c r="L2726" s="84">
        <f t="shared" si="4"/>
        <v>0</v>
      </c>
      <c r="M2726" s="88" t="str">
        <f t="shared" si="5"/>
        <v>Perubahan Normal</v>
      </c>
    </row>
    <row r="2727" ht="18.75" customHeight="1">
      <c r="A2727" s="80" t="s">
        <v>298</v>
      </c>
      <c r="B2727" s="81" t="str">
        <f t="shared" si="1"/>
        <v>Kota Bekasi</v>
      </c>
      <c r="C2727" s="81" t="str">
        <f t="array" ref="C2727">XLOOKUP(B2727,Reference!$A$2:$A$152,Reference!$B$2:$B$152)</f>
        <v>Jawa Barat</v>
      </c>
      <c r="D2727" s="82" t="s">
        <v>3166</v>
      </c>
      <c r="E2727" s="83">
        <v>45323.0</v>
      </c>
      <c r="F2727" s="84" t="str">
        <f t="array" ref="F2727">XLOOKUP(G2727,Reference!$F:$F,Reference!$D:$D,"null")</f>
        <v>Pendidikan dan Kesehatan</v>
      </c>
      <c r="G2727" s="85" t="s">
        <v>98</v>
      </c>
      <c r="H2727" s="86">
        <v>105.77</v>
      </c>
      <c r="I2727" s="86">
        <v>105.77</v>
      </c>
      <c r="J2727" s="87">
        <f t="shared" si="2"/>
        <v>0</v>
      </c>
      <c r="K2727" s="84" t="str">
        <f t="shared" si="3"/>
        <v>Stabil</v>
      </c>
      <c r="L2727" s="84">
        <f t="shared" si="4"/>
        <v>0</v>
      </c>
      <c r="M2727" s="88" t="str">
        <f t="shared" si="5"/>
        <v>Perubahan Normal</v>
      </c>
    </row>
    <row r="2728" ht="18.75" customHeight="1">
      <c r="A2728" s="80" t="s">
        <v>370</v>
      </c>
      <c r="B2728" s="81" t="str">
        <f t="shared" si="1"/>
        <v>Jember</v>
      </c>
      <c r="C2728" s="81" t="str">
        <f t="array" ref="C2728">XLOOKUP(B2728,Reference!$A$2:$A$152,Reference!$B$2:$B$152)</f>
        <v>Jawa Timur</v>
      </c>
      <c r="D2728" s="82" t="s">
        <v>3167</v>
      </c>
      <c r="E2728" s="83">
        <v>45323.0</v>
      </c>
      <c r="F2728" s="84" t="str">
        <f t="array" ref="F2728">XLOOKUP(G2728,Reference!$F:$F,Reference!$D:$D,"null")</f>
        <v>Makanan dan Pakaian </v>
      </c>
      <c r="G2728" s="85" t="s">
        <v>56</v>
      </c>
      <c r="H2728" s="86">
        <v>105.27</v>
      </c>
      <c r="I2728" s="86">
        <v>105.27</v>
      </c>
      <c r="J2728" s="87">
        <f t="shared" si="2"/>
        <v>0</v>
      </c>
      <c r="K2728" s="84" t="str">
        <f t="shared" si="3"/>
        <v>Stabil</v>
      </c>
      <c r="L2728" s="84">
        <f t="shared" si="4"/>
        <v>0</v>
      </c>
      <c r="M2728" s="88" t="str">
        <f t="shared" si="5"/>
        <v>Perubahan Normal</v>
      </c>
    </row>
    <row r="2729" ht="18.75" customHeight="1">
      <c r="A2729" s="80" t="s">
        <v>512</v>
      </c>
      <c r="B2729" s="81" t="str">
        <f t="shared" si="1"/>
        <v>Kota Palu</v>
      </c>
      <c r="C2729" s="81" t="str">
        <f t="array" ref="C2729">XLOOKUP(B2729,Reference!$A$2:$A$152,Reference!$B$2:$B$152)</f>
        <v>Sulawesi Tengah</v>
      </c>
      <c r="D2729" s="82" t="s">
        <v>3168</v>
      </c>
      <c r="E2729" s="83">
        <v>45323.0</v>
      </c>
      <c r="F2729" s="84" t="str">
        <f t="array" ref="F2729">XLOOKUP(G2729,Reference!$F:$F,Reference!$D:$D,"null")</f>
        <v>Rekreasi dan Kendaraan</v>
      </c>
      <c r="G2729" s="85" t="s">
        <v>105</v>
      </c>
      <c r="H2729" s="86">
        <v>102.35</v>
      </c>
      <c r="I2729" s="86">
        <v>102.35</v>
      </c>
      <c r="J2729" s="87">
        <f t="shared" si="2"/>
        <v>0</v>
      </c>
      <c r="K2729" s="84" t="str">
        <f t="shared" si="3"/>
        <v>Stabil</v>
      </c>
      <c r="L2729" s="84">
        <f t="shared" si="4"/>
        <v>0</v>
      </c>
      <c r="M2729" s="88" t="str">
        <f t="shared" si="5"/>
        <v>Perubahan Normal</v>
      </c>
    </row>
    <row r="2730" ht="18.75" customHeight="1">
      <c r="A2730" s="80" t="s">
        <v>342</v>
      </c>
      <c r="B2730" s="81" t="str">
        <f t="shared" si="1"/>
        <v>Kab Bandung</v>
      </c>
      <c r="C2730" s="81" t="str">
        <f t="array" ref="C2730">XLOOKUP(B2730,Reference!$A$2:$A$152,Reference!$B$2:$B$152)</f>
        <v>Jawa Barat</v>
      </c>
      <c r="D2730" s="82" t="s">
        <v>3169</v>
      </c>
      <c r="E2730" s="83">
        <v>45323.0</v>
      </c>
      <c r="F2730" s="84" t="str">
        <f t="array" ref="F2730">XLOOKUP(G2730,Reference!$F:$F,Reference!$D:$D,"null")</f>
        <v>Pendidikan dan Kesehatan</v>
      </c>
      <c r="G2730" s="85" t="s">
        <v>95</v>
      </c>
      <c r="H2730" s="86">
        <v>102.16</v>
      </c>
      <c r="I2730" s="86">
        <v>102.16</v>
      </c>
      <c r="J2730" s="87">
        <f t="shared" si="2"/>
        <v>0</v>
      </c>
      <c r="K2730" s="84" t="str">
        <f t="shared" si="3"/>
        <v>Stabil</v>
      </c>
      <c r="L2730" s="84">
        <f t="shared" si="4"/>
        <v>0</v>
      </c>
      <c r="M2730" s="88" t="str">
        <f t="shared" si="5"/>
        <v>Perubahan Normal</v>
      </c>
    </row>
    <row r="2731" ht="18.75" customHeight="1">
      <c r="A2731" s="80" t="s">
        <v>362</v>
      </c>
      <c r="B2731" s="81" t="str">
        <f t="shared" si="1"/>
        <v>Sumenep</v>
      </c>
      <c r="C2731" s="81" t="str">
        <f t="array" ref="C2731">XLOOKUP(B2731,Reference!$A$2:$A$152,Reference!$B$2:$B$152)</f>
        <v>Jawa Timur</v>
      </c>
      <c r="D2731" s="82" t="s">
        <v>3170</v>
      </c>
      <c r="E2731" s="83">
        <v>45323.0</v>
      </c>
      <c r="F2731" s="84" t="str">
        <f t="array" ref="F2731">XLOOKUP(G2731,Reference!$F:$F,Reference!$D:$D,"null")</f>
        <v>Pendidikan dan Kesehatan</v>
      </c>
      <c r="G2731" s="85" t="s">
        <v>95</v>
      </c>
      <c r="H2731" s="86">
        <v>103.54</v>
      </c>
      <c r="I2731" s="86">
        <v>103.54</v>
      </c>
      <c r="J2731" s="87">
        <f t="shared" si="2"/>
        <v>0</v>
      </c>
      <c r="K2731" s="84" t="str">
        <f t="shared" si="3"/>
        <v>Stabil</v>
      </c>
      <c r="L2731" s="84">
        <f t="shared" si="4"/>
        <v>0</v>
      </c>
      <c r="M2731" s="88" t="str">
        <f t="shared" si="5"/>
        <v>Perubahan Normal</v>
      </c>
    </row>
    <row r="2732" ht="18.75" customHeight="1">
      <c r="A2732" s="80" t="s">
        <v>592</v>
      </c>
      <c r="B2732" s="81" t="str">
        <f t="shared" si="1"/>
        <v>Kab Lampung Timur</v>
      </c>
      <c r="C2732" s="81" t="str">
        <f t="array" ref="C2732">XLOOKUP(B2732,Reference!$A$2:$A$152,Reference!$B$2:$B$152)</f>
        <v>Lampung</v>
      </c>
      <c r="D2732" s="82" t="s">
        <v>3171</v>
      </c>
      <c r="E2732" s="83">
        <v>45323.0</v>
      </c>
      <c r="F2732" s="84" t="str">
        <f t="array" ref="F2732">XLOOKUP(G2732,Reference!$F:$F,Reference!$D:$D,"null")</f>
        <v>Pendidikan dan Kesehatan</v>
      </c>
      <c r="G2732" s="85" t="s">
        <v>95</v>
      </c>
      <c r="H2732" s="86">
        <v>100.0</v>
      </c>
      <c r="I2732" s="86">
        <v>100.0</v>
      </c>
      <c r="J2732" s="87">
        <f t="shared" si="2"/>
        <v>0</v>
      </c>
      <c r="K2732" s="84" t="str">
        <f t="shared" si="3"/>
        <v>Stabil</v>
      </c>
      <c r="L2732" s="84">
        <f t="shared" si="4"/>
        <v>0</v>
      </c>
      <c r="M2732" s="88" t="str">
        <f t="shared" si="5"/>
        <v>Perubahan Normal</v>
      </c>
    </row>
    <row r="2733" ht="18.75" customHeight="1">
      <c r="A2733" s="80" t="s">
        <v>460</v>
      </c>
      <c r="B2733" s="81" t="str">
        <f t="shared" si="1"/>
        <v>Kab Kayong Utara</v>
      </c>
      <c r="C2733" s="81" t="str">
        <f t="array" ref="C2733">XLOOKUP(B2733,Reference!$A$2:$A$152,Reference!$B$2:$B$152)</f>
        <v>Kalimantan Barat</v>
      </c>
      <c r="D2733" s="82" t="s">
        <v>3172</v>
      </c>
      <c r="E2733" s="83">
        <v>45323.0</v>
      </c>
      <c r="F2733" s="84" t="str">
        <f t="array" ref="F2733">XLOOKUP(G2733,Reference!$F:$F,Reference!$D:$D,"null")</f>
        <v>Makanan dan Pakaian </v>
      </c>
      <c r="G2733" s="85" t="s">
        <v>72</v>
      </c>
      <c r="H2733" s="86">
        <v>98.74</v>
      </c>
      <c r="I2733" s="86">
        <v>98.74</v>
      </c>
      <c r="J2733" s="87">
        <f t="shared" si="2"/>
        <v>0</v>
      </c>
      <c r="K2733" s="84" t="str">
        <f t="shared" si="3"/>
        <v>Stabil</v>
      </c>
      <c r="L2733" s="84">
        <f t="shared" si="4"/>
        <v>0</v>
      </c>
      <c r="M2733" s="88" t="str">
        <f t="shared" si="5"/>
        <v>Perubahan Normal</v>
      </c>
    </row>
    <row r="2734" ht="18.75" customHeight="1">
      <c r="A2734" s="80" t="s">
        <v>680</v>
      </c>
      <c r="B2734" s="81" t="str">
        <f t="shared" si="1"/>
        <v>Kota Pekanbaru</v>
      </c>
      <c r="C2734" s="81" t="str">
        <f t="array" ref="C2734">XLOOKUP(B2734,Reference!$A$2:$A$152,Reference!$B$2:$B$152)</f>
        <v>Riau</v>
      </c>
      <c r="D2734" s="82" t="s">
        <v>3173</v>
      </c>
      <c r="E2734" s="83">
        <v>45323.0</v>
      </c>
      <c r="F2734" s="84" t="str">
        <f t="array" ref="F2734">XLOOKUP(G2734,Reference!$F:$F,Reference!$D:$D,"null")</f>
        <v>Pendidikan dan Kesehatan</v>
      </c>
      <c r="G2734" s="85" t="s">
        <v>98</v>
      </c>
      <c r="H2734" s="86">
        <v>102.59</v>
      </c>
      <c r="I2734" s="86">
        <v>102.58</v>
      </c>
      <c r="J2734" s="87">
        <f t="shared" si="2"/>
        <v>0.009748488984</v>
      </c>
      <c r="K2734" s="84" t="str">
        <f t="shared" si="3"/>
        <v>Inflasi Normal</v>
      </c>
      <c r="L2734" s="84">
        <f t="shared" si="4"/>
        <v>0.01</v>
      </c>
      <c r="M2734" s="88" t="str">
        <f t="shared" si="5"/>
        <v>Perubahan Normal</v>
      </c>
    </row>
    <row r="2735" ht="18.75" customHeight="1">
      <c r="A2735" s="80" t="s">
        <v>406</v>
      </c>
      <c r="B2735" s="81" t="str">
        <f t="shared" si="1"/>
        <v>Kota Tasikmalaya</v>
      </c>
      <c r="C2735" s="81" t="str">
        <f t="array" ref="C2735">XLOOKUP(B2735,Reference!$A$2:$A$152,Reference!$B$2:$B$152)</f>
        <v>Jawa Barat</v>
      </c>
      <c r="D2735" s="82" t="s">
        <v>3174</v>
      </c>
      <c r="E2735" s="83">
        <v>45352.0</v>
      </c>
      <c r="F2735" s="84" t="str">
        <f t="array" ref="F2735">XLOOKUP(G2735,Reference!$F:$F,Reference!$D:$D,"null")</f>
        <v>Rumah Tangga</v>
      </c>
      <c r="G2735" s="85" t="s">
        <v>84</v>
      </c>
      <c r="H2735" s="86">
        <v>101.83</v>
      </c>
      <c r="I2735" s="86">
        <v>101.83</v>
      </c>
      <c r="J2735" s="87">
        <f t="shared" si="2"/>
        <v>0</v>
      </c>
      <c r="K2735" s="84" t="str">
        <f t="shared" si="3"/>
        <v>Stabil</v>
      </c>
      <c r="L2735" s="84">
        <f t="shared" si="4"/>
        <v>0</v>
      </c>
      <c r="M2735" s="88" t="str">
        <f t="shared" si="5"/>
        <v>Perubahan Normal</v>
      </c>
    </row>
    <row r="2736" ht="18.75" customHeight="1">
      <c r="A2736" s="80" t="s">
        <v>663</v>
      </c>
      <c r="B2736" s="81" t="str">
        <f t="shared" si="1"/>
        <v>Kota Serang</v>
      </c>
      <c r="C2736" s="81" t="str">
        <f t="array" ref="C2736">XLOOKUP(B2736,Reference!$A$2:$A$152,Reference!$B$2:$B$152)</f>
        <v>Banten</v>
      </c>
      <c r="D2736" s="82" t="s">
        <v>3175</v>
      </c>
      <c r="E2736" s="83">
        <v>45352.0</v>
      </c>
      <c r="F2736" s="84" t="str">
        <f t="array" ref="F2736">XLOOKUP(G2736,Reference!$F:$F,Reference!$D:$D,"null")</f>
        <v>Makanan dan Pakaian </v>
      </c>
      <c r="G2736" s="85" t="s">
        <v>56</v>
      </c>
      <c r="H2736" s="86">
        <v>104.37</v>
      </c>
      <c r="I2736" s="86">
        <v>104.26</v>
      </c>
      <c r="J2736" s="87">
        <f t="shared" si="2"/>
        <v>0.1055054671</v>
      </c>
      <c r="K2736" s="84" t="str">
        <f t="shared" si="3"/>
        <v>Inflasi Normal</v>
      </c>
      <c r="L2736" s="84">
        <f t="shared" si="4"/>
        <v>0.11</v>
      </c>
      <c r="M2736" s="88" t="str">
        <f t="shared" si="5"/>
        <v>Perubahan Normal</v>
      </c>
    </row>
    <row r="2737" ht="18.75" customHeight="1">
      <c r="A2737" s="80" t="s">
        <v>680</v>
      </c>
      <c r="B2737" s="81" t="str">
        <f t="shared" si="1"/>
        <v>Kota Pekanbaru</v>
      </c>
      <c r="C2737" s="81" t="str">
        <f t="array" ref="C2737">XLOOKUP(B2737,Reference!$A$2:$A$152,Reference!$B$2:$B$152)</f>
        <v>Riau</v>
      </c>
      <c r="D2737" s="82" t="s">
        <v>3176</v>
      </c>
      <c r="E2737" s="83">
        <v>45323.0</v>
      </c>
      <c r="F2737" s="84" t="str">
        <f t="array" ref="F2737">XLOOKUP(G2737,Reference!$F:$F,Reference!$D:$D,"null")</f>
        <v>Rekreasi dan Kendaraan</v>
      </c>
      <c r="G2737" s="85" t="s">
        <v>102</v>
      </c>
      <c r="H2737" s="86">
        <v>102.6</v>
      </c>
      <c r="I2737" s="86">
        <v>102.18</v>
      </c>
      <c r="J2737" s="87">
        <f t="shared" si="2"/>
        <v>0.4110393423</v>
      </c>
      <c r="K2737" s="84" t="str">
        <f t="shared" si="3"/>
        <v>Inflasi Normal</v>
      </c>
      <c r="L2737" s="84">
        <f t="shared" si="4"/>
        <v>0.42</v>
      </c>
      <c r="M2737" s="88" t="str">
        <f t="shared" si="5"/>
        <v>Perubahan Normal</v>
      </c>
    </row>
    <row r="2738" ht="18.75" customHeight="1">
      <c r="A2738" s="80" t="s">
        <v>360</v>
      </c>
      <c r="B2738" s="81" t="str">
        <f t="shared" si="1"/>
        <v>Kab Wonosobo</v>
      </c>
      <c r="C2738" s="81" t="str">
        <f t="array" ref="C2738">XLOOKUP(B2738,Reference!$A$2:$A$152,Reference!$B$2:$B$152)</f>
        <v>Jawa Tengah</v>
      </c>
      <c r="D2738" s="82" t="s">
        <v>3177</v>
      </c>
      <c r="E2738" s="83">
        <v>45323.0</v>
      </c>
      <c r="F2738" s="84" t="str">
        <f t="array" ref="F2738">XLOOKUP(G2738,Reference!$F:$F,Reference!$D:$D,"null")</f>
        <v>Pendidikan dan Kesehatan</v>
      </c>
      <c r="G2738" s="85" t="s">
        <v>95</v>
      </c>
      <c r="H2738" s="86">
        <v>100.75</v>
      </c>
      <c r="I2738" s="86">
        <v>100.75</v>
      </c>
      <c r="J2738" s="87">
        <f t="shared" si="2"/>
        <v>0</v>
      </c>
      <c r="K2738" s="84" t="str">
        <f t="shared" si="3"/>
        <v>Stabil</v>
      </c>
      <c r="L2738" s="84">
        <f t="shared" si="4"/>
        <v>0</v>
      </c>
      <c r="M2738" s="88" t="str">
        <f t="shared" si="5"/>
        <v>Perubahan Normal</v>
      </c>
    </row>
    <row r="2739" ht="18.75" customHeight="1">
      <c r="A2739" s="80" t="s">
        <v>806</v>
      </c>
      <c r="B2739" s="81" t="str">
        <f t="shared" si="1"/>
        <v>Kab Subang</v>
      </c>
      <c r="C2739" s="81" t="str">
        <f t="array" ref="C2739">XLOOKUP(B2739,Reference!$A$2:$A$152,Reference!$B$2:$B$152)</f>
        <v>Jawa Barat</v>
      </c>
      <c r="D2739" s="82" t="s">
        <v>3178</v>
      </c>
      <c r="E2739" s="83">
        <v>45352.0</v>
      </c>
      <c r="F2739" s="84" t="str">
        <f t="array" ref="F2739">XLOOKUP(G2739,Reference!$F:$F,Reference!$D:$D,"null")</f>
        <v>Rumah Tangga</v>
      </c>
      <c r="G2739" s="85" t="s">
        <v>80</v>
      </c>
      <c r="H2739" s="86">
        <v>106.79</v>
      </c>
      <c r="I2739" s="86">
        <v>106.79</v>
      </c>
      <c r="J2739" s="87">
        <f t="shared" si="2"/>
        <v>0</v>
      </c>
      <c r="K2739" s="84" t="str">
        <f t="shared" si="3"/>
        <v>Stabil</v>
      </c>
      <c r="L2739" s="84">
        <f t="shared" si="4"/>
        <v>0</v>
      </c>
      <c r="M2739" s="88" t="str">
        <f t="shared" si="5"/>
        <v>Perubahan Normal</v>
      </c>
    </row>
    <row r="2740" ht="18.75" customHeight="1">
      <c r="A2740" s="80" t="s">
        <v>542</v>
      </c>
      <c r="B2740" s="81" t="str">
        <f t="shared" si="1"/>
        <v>Kab Karo</v>
      </c>
      <c r="C2740" s="81" t="str">
        <f t="array" ref="C2740">XLOOKUP(B2740,Reference!$A$2:$A$152,Reference!$B$2:$B$152)</f>
        <v>Sumatera Utara</v>
      </c>
      <c r="D2740" s="82" t="s">
        <v>3179</v>
      </c>
      <c r="E2740" s="83">
        <v>45352.0</v>
      </c>
      <c r="F2740" s="84" t="str">
        <f t="array" ref="F2740">XLOOKUP(G2740,Reference!$F:$F,Reference!$D:$D,"null")</f>
        <v>Pendidikan dan Kesehatan</v>
      </c>
      <c r="G2740" s="85" t="s">
        <v>95</v>
      </c>
      <c r="H2740" s="86">
        <v>100.0</v>
      </c>
      <c r="I2740" s="86">
        <v>100.0</v>
      </c>
      <c r="J2740" s="87">
        <f t="shared" si="2"/>
        <v>0</v>
      </c>
      <c r="K2740" s="84" t="str">
        <f t="shared" si="3"/>
        <v>Stabil</v>
      </c>
      <c r="L2740" s="84">
        <f t="shared" si="4"/>
        <v>0</v>
      </c>
      <c r="M2740" s="88" t="str">
        <f t="shared" si="5"/>
        <v>Perubahan Normal</v>
      </c>
    </row>
    <row r="2741" ht="18.75" customHeight="1">
      <c r="A2741" s="80" t="s">
        <v>320</v>
      </c>
      <c r="B2741" s="81" t="str">
        <f t="shared" si="1"/>
        <v>Kota Manado</v>
      </c>
      <c r="C2741" s="81" t="str">
        <f t="array" ref="C2741">XLOOKUP(B2741,Reference!$A$2:$A$152,Reference!$B$2:$B$152)</f>
        <v>Sulawesi Utara</v>
      </c>
      <c r="D2741" s="82" t="s">
        <v>3180</v>
      </c>
      <c r="E2741" s="83">
        <v>45352.0</v>
      </c>
      <c r="F2741" s="84" t="str">
        <f t="array" ref="F2741">XLOOKUP(G2741,Reference!$F:$F,Reference!$D:$D,"null")</f>
        <v>Rekreasi dan Kendaraan</v>
      </c>
      <c r="G2741" s="85" t="s">
        <v>102</v>
      </c>
      <c r="H2741" s="86">
        <v>99.11</v>
      </c>
      <c r="I2741" s="86">
        <v>99.18</v>
      </c>
      <c r="J2741" s="87">
        <f t="shared" si="2"/>
        <v>-0.07057874571</v>
      </c>
      <c r="K2741" s="84" t="str">
        <f t="shared" si="3"/>
        <v>Deflasi</v>
      </c>
      <c r="L2741" s="84">
        <f t="shared" si="4"/>
        <v>-0.07</v>
      </c>
      <c r="M2741" s="88" t="str">
        <f t="shared" si="5"/>
        <v>Perubahan Normal</v>
      </c>
    </row>
    <row r="2742" ht="18.75" customHeight="1">
      <c r="A2742" s="80" t="s">
        <v>460</v>
      </c>
      <c r="B2742" s="81" t="str">
        <f t="shared" si="1"/>
        <v>Kab Kayong Utara</v>
      </c>
      <c r="C2742" s="81" t="str">
        <f t="array" ref="C2742">XLOOKUP(B2742,Reference!$A$2:$A$152,Reference!$B$2:$B$152)</f>
        <v>Kalimantan Barat</v>
      </c>
      <c r="D2742" s="82" t="s">
        <v>3181</v>
      </c>
      <c r="E2742" s="83">
        <v>45352.0</v>
      </c>
      <c r="F2742" s="84" t="str">
        <f t="array" ref="F2742">XLOOKUP(G2742,Reference!$F:$F,Reference!$D:$D,"null")</f>
        <v>Rekreasi dan Kendaraan</v>
      </c>
      <c r="G2742" s="85" t="s">
        <v>105</v>
      </c>
      <c r="H2742" s="86">
        <v>103.6</v>
      </c>
      <c r="I2742" s="86">
        <v>103.6</v>
      </c>
      <c r="J2742" s="87">
        <f t="shared" si="2"/>
        <v>0</v>
      </c>
      <c r="K2742" s="84" t="str">
        <f t="shared" si="3"/>
        <v>Stabil</v>
      </c>
      <c r="L2742" s="84">
        <f t="shared" si="4"/>
        <v>0</v>
      </c>
      <c r="M2742" s="88" t="str">
        <f t="shared" si="5"/>
        <v>Perubahan Normal</v>
      </c>
    </row>
    <row r="2743" ht="18.75" customHeight="1">
      <c r="A2743" s="80" t="s">
        <v>542</v>
      </c>
      <c r="B2743" s="81" t="str">
        <f t="shared" si="1"/>
        <v>Kab Karo</v>
      </c>
      <c r="C2743" s="81" t="str">
        <f t="array" ref="C2743">XLOOKUP(B2743,Reference!$A$2:$A$152,Reference!$B$2:$B$152)</f>
        <v>Sumatera Utara</v>
      </c>
      <c r="D2743" s="82" t="s">
        <v>3182</v>
      </c>
      <c r="E2743" s="83">
        <v>45352.0</v>
      </c>
      <c r="F2743" s="84" t="str">
        <f t="array" ref="F2743">XLOOKUP(G2743,Reference!$F:$F,Reference!$D:$D,"null")</f>
        <v>Rekreasi dan Kendaraan</v>
      </c>
      <c r="G2743" s="85" t="s">
        <v>102</v>
      </c>
      <c r="H2743" s="86">
        <v>107.59</v>
      </c>
      <c r="I2743" s="86">
        <v>107.21</v>
      </c>
      <c r="J2743" s="87">
        <f t="shared" si="2"/>
        <v>0.3544445481</v>
      </c>
      <c r="K2743" s="84" t="str">
        <f t="shared" si="3"/>
        <v>Inflasi Normal</v>
      </c>
      <c r="L2743" s="84">
        <f t="shared" si="4"/>
        <v>0.38</v>
      </c>
      <c r="M2743" s="88" t="str">
        <f t="shared" si="5"/>
        <v>Perubahan Normal</v>
      </c>
    </row>
    <row r="2744" ht="18.75" customHeight="1">
      <c r="A2744" s="80" t="s">
        <v>592</v>
      </c>
      <c r="B2744" s="81" t="str">
        <f t="shared" si="1"/>
        <v>Kab Lampung Timur</v>
      </c>
      <c r="C2744" s="81" t="str">
        <f t="array" ref="C2744">XLOOKUP(B2744,Reference!$A$2:$A$152,Reference!$B$2:$B$152)</f>
        <v>Lampung</v>
      </c>
      <c r="D2744" s="82" t="s">
        <v>3183</v>
      </c>
      <c r="E2744" s="83">
        <v>45352.0</v>
      </c>
      <c r="F2744" s="84" t="str">
        <f t="array" ref="F2744">XLOOKUP(G2744,Reference!$F:$F,Reference!$D:$D,"null")</f>
        <v>Rumah Tangga</v>
      </c>
      <c r="G2744" s="85" t="s">
        <v>84</v>
      </c>
      <c r="H2744" s="86">
        <v>99.2</v>
      </c>
      <c r="I2744" s="86">
        <v>99.2</v>
      </c>
      <c r="J2744" s="87">
        <f t="shared" si="2"/>
        <v>0</v>
      </c>
      <c r="K2744" s="84" t="str">
        <f t="shared" si="3"/>
        <v>Stabil</v>
      </c>
      <c r="L2744" s="84">
        <f t="shared" si="4"/>
        <v>0</v>
      </c>
      <c r="M2744" s="88" t="str">
        <f t="shared" si="5"/>
        <v>Perubahan Normal</v>
      </c>
    </row>
    <row r="2745" ht="18.75" customHeight="1">
      <c r="A2745" s="80" t="s">
        <v>429</v>
      </c>
      <c r="B2745" s="81" t="str">
        <f t="shared" si="1"/>
        <v>Kab Nabire</v>
      </c>
      <c r="C2745" s="81" t="str">
        <f t="array" ref="C2745">XLOOKUP(B2745,Reference!$A$2:$A$152,Reference!$B$2:$B$152)</f>
        <v>Papua</v>
      </c>
      <c r="D2745" s="82" t="s">
        <v>3184</v>
      </c>
      <c r="E2745" s="83">
        <v>45323.0</v>
      </c>
      <c r="F2745" s="84" t="str">
        <f t="array" ref="F2745">XLOOKUP(G2745,Reference!$F:$F,Reference!$D:$D,"null")</f>
        <v>Makanan dan Pakaian </v>
      </c>
      <c r="G2745" s="85" t="s">
        <v>56</v>
      </c>
      <c r="H2745" s="86">
        <v>99.94</v>
      </c>
      <c r="I2745" s="86">
        <v>98.42</v>
      </c>
      <c r="J2745" s="87">
        <f t="shared" si="2"/>
        <v>1.544401544</v>
      </c>
      <c r="K2745" s="84" t="str">
        <f t="shared" si="3"/>
        <v>Inflasi Tinggi</v>
      </c>
      <c r="L2745" s="84">
        <f t="shared" si="4"/>
        <v>1.52</v>
      </c>
      <c r="M2745" s="88" t="str">
        <f t="shared" si="5"/>
        <v>Akselerasi Persentase</v>
      </c>
    </row>
    <row r="2746" ht="18.75" customHeight="1">
      <c r="A2746" s="80" t="s">
        <v>417</v>
      </c>
      <c r="B2746" s="81" t="str">
        <f t="shared" si="1"/>
        <v>Kotabaru</v>
      </c>
      <c r="C2746" s="81" t="str">
        <f t="array" ref="C2746">XLOOKUP(B2746,Reference!$A$2:$A$152,Reference!$B$2:$B$152)</f>
        <v>Kalimantan Selatan</v>
      </c>
      <c r="D2746" s="82" t="s">
        <v>3185</v>
      </c>
      <c r="E2746" s="83">
        <v>45323.0</v>
      </c>
      <c r="F2746" s="84" t="str">
        <f t="array" ref="F2746">XLOOKUP(G2746,Reference!$F:$F,Reference!$D:$D,"null")</f>
        <v>Rumah Tangga</v>
      </c>
      <c r="G2746" s="85" t="s">
        <v>80</v>
      </c>
      <c r="H2746" s="86">
        <v>100.77</v>
      </c>
      <c r="I2746" s="86">
        <v>100.77</v>
      </c>
      <c r="J2746" s="87">
        <f t="shared" si="2"/>
        <v>0</v>
      </c>
      <c r="K2746" s="84" t="str">
        <f t="shared" si="3"/>
        <v>Stabil</v>
      </c>
      <c r="L2746" s="84">
        <f t="shared" si="4"/>
        <v>0</v>
      </c>
      <c r="M2746" s="88" t="str">
        <f t="shared" si="5"/>
        <v>Perubahan Normal</v>
      </c>
    </row>
    <row r="2747" ht="18.75" customHeight="1">
      <c r="A2747" s="80" t="s">
        <v>573</v>
      </c>
      <c r="B2747" s="81" t="str">
        <f t="shared" si="1"/>
        <v>Kota Palangkaraya</v>
      </c>
      <c r="C2747" s="81" t="str">
        <f t="array" ref="C2747">XLOOKUP(B2747,Reference!$A$2:$A$152,Reference!$B$2:$B$152)</f>
        <v>Kalimantan Tengah</v>
      </c>
      <c r="D2747" s="82" t="s">
        <v>3186</v>
      </c>
      <c r="E2747" s="83">
        <v>45323.0</v>
      </c>
      <c r="F2747" s="84" t="str">
        <f t="array" ref="F2747">XLOOKUP(G2747,Reference!$F:$F,Reference!$D:$D,"null")</f>
        <v>Makanan dan Pakaian </v>
      </c>
      <c r="G2747" s="85" t="s">
        <v>56</v>
      </c>
      <c r="H2747" s="86">
        <v>104.34</v>
      </c>
      <c r="I2747" s="86">
        <v>104.43</v>
      </c>
      <c r="J2747" s="87">
        <f t="shared" si="2"/>
        <v>-0.08618213157</v>
      </c>
      <c r="K2747" s="84" t="str">
        <f t="shared" si="3"/>
        <v>Deflasi</v>
      </c>
      <c r="L2747" s="84">
        <f t="shared" si="4"/>
        <v>-0.09</v>
      </c>
      <c r="M2747" s="88" t="str">
        <f t="shared" si="5"/>
        <v>Perubahan Normal</v>
      </c>
    </row>
    <row r="2748" ht="18.75" customHeight="1">
      <c r="A2748" s="80" t="s">
        <v>372</v>
      </c>
      <c r="B2748" s="81" t="str">
        <f t="shared" si="1"/>
        <v>Kota Tanjung Pinang</v>
      </c>
      <c r="C2748" s="81" t="str">
        <f t="array" ref="C2748">XLOOKUP(B2748,Reference!$A$2:$A$152,Reference!$B$2:$B$152)</f>
        <v>Kepulauan Riau</v>
      </c>
      <c r="D2748" s="82" t="s">
        <v>3187</v>
      </c>
      <c r="E2748" s="83">
        <v>45323.0</v>
      </c>
      <c r="F2748" s="84" t="str">
        <f t="array" ref="F2748">XLOOKUP(G2748,Reference!$F:$F,Reference!$D:$D,"null")</f>
        <v>Rumah Tangga</v>
      </c>
      <c r="G2748" s="85" t="s">
        <v>89</v>
      </c>
      <c r="H2748" s="86">
        <v>100.65</v>
      </c>
      <c r="I2748" s="86">
        <v>100.65</v>
      </c>
      <c r="J2748" s="87">
        <f t="shared" si="2"/>
        <v>0</v>
      </c>
      <c r="K2748" s="84" t="str">
        <f t="shared" si="3"/>
        <v>Stabil</v>
      </c>
      <c r="L2748" s="84">
        <f t="shared" si="4"/>
        <v>0</v>
      </c>
      <c r="M2748" s="88" t="str">
        <f t="shared" si="5"/>
        <v>Perubahan Normal</v>
      </c>
    </row>
    <row r="2749" ht="18.75" customHeight="1">
      <c r="A2749" s="80" t="s">
        <v>442</v>
      </c>
      <c r="B2749" s="81" t="str">
        <f t="shared" si="1"/>
        <v>Kota Cirebon</v>
      </c>
      <c r="C2749" s="81" t="str">
        <f t="array" ref="C2749">XLOOKUP(B2749,Reference!$A$2:$A$152,Reference!$B$2:$B$152)</f>
        <v>Jawa Barat</v>
      </c>
      <c r="D2749" s="82" t="s">
        <v>3188</v>
      </c>
      <c r="E2749" s="83">
        <v>45352.0</v>
      </c>
      <c r="F2749" s="84" t="str">
        <f t="array" ref="F2749">XLOOKUP(G2749,Reference!$F:$F,Reference!$D:$D,"null")</f>
        <v>Pendidikan dan Kesehatan</v>
      </c>
      <c r="G2749" s="85" t="s">
        <v>95</v>
      </c>
      <c r="H2749" s="86">
        <v>102.23</v>
      </c>
      <c r="I2749" s="86">
        <v>102.23</v>
      </c>
      <c r="J2749" s="87">
        <f t="shared" si="2"/>
        <v>0</v>
      </c>
      <c r="K2749" s="84" t="str">
        <f t="shared" si="3"/>
        <v>Stabil</v>
      </c>
      <c r="L2749" s="84">
        <f t="shared" si="4"/>
        <v>0</v>
      </c>
      <c r="M2749" s="88" t="str">
        <f t="shared" si="5"/>
        <v>Perubahan Normal</v>
      </c>
    </row>
    <row r="2750" ht="18.75" customHeight="1">
      <c r="A2750" s="80" t="s">
        <v>322</v>
      </c>
      <c r="B2750" s="81" t="str">
        <f t="shared" si="1"/>
        <v>Purwokerto</v>
      </c>
      <c r="C2750" s="81" t="str">
        <f t="array" ref="C2750">XLOOKUP(B2750,Reference!$A$2:$A$152,Reference!$B$2:$B$152)</f>
        <v>Jawa Tengah</v>
      </c>
      <c r="D2750" s="82" t="s">
        <v>3189</v>
      </c>
      <c r="E2750" s="83">
        <v>45323.0</v>
      </c>
      <c r="F2750" s="84" t="str">
        <f t="array" ref="F2750">XLOOKUP(G2750,Reference!$F:$F,Reference!$D:$D,"null")</f>
        <v>Pendidikan dan Kesehatan</v>
      </c>
      <c r="G2750" s="85" t="s">
        <v>98</v>
      </c>
      <c r="H2750" s="86">
        <v>103.8</v>
      </c>
      <c r="I2750" s="86">
        <v>103.51</v>
      </c>
      <c r="J2750" s="87">
        <f t="shared" si="2"/>
        <v>0.2801661675</v>
      </c>
      <c r="K2750" s="84" t="str">
        <f t="shared" si="3"/>
        <v>Inflasi Normal</v>
      </c>
      <c r="L2750" s="84">
        <f t="shared" si="4"/>
        <v>0.29</v>
      </c>
      <c r="M2750" s="88" t="str">
        <f t="shared" si="5"/>
        <v>Perubahan Normal</v>
      </c>
    </row>
    <row r="2751" ht="18.75" customHeight="1">
      <c r="A2751" s="80" t="s">
        <v>389</v>
      </c>
      <c r="B2751" s="81" t="str">
        <f t="shared" si="1"/>
        <v>Tembilahan</v>
      </c>
      <c r="C2751" s="81" t="str">
        <f t="array" ref="C2751">XLOOKUP(B2751,Reference!$A$2:$A$152,Reference!$B$2:$B$152)</f>
        <v>Riau</v>
      </c>
      <c r="D2751" s="82" t="s">
        <v>3190</v>
      </c>
      <c r="E2751" s="83">
        <v>45323.0</v>
      </c>
      <c r="F2751" s="84" t="str">
        <f t="array" ref="F2751">XLOOKUP(G2751,Reference!$F:$F,Reference!$D:$D,"null")</f>
        <v>Makanan dan Pakaian </v>
      </c>
      <c r="G2751" s="85" t="s">
        <v>64</v>
      </c>
      <c r="H2751" s="86">
        <v>100.29</v>
      </c>
      <c r="I2751" s="86">
        <v>100.31</v>
      </c>
      <c r="J2751" s="87">
        <f t="shared" si="2"/>
        <v>-0.01993819161</v>
      </c>
      <c r="K2751" s="84" t="str">
        <f t="shared" si="3"/>
        <v>Deflasi</v>
      </c>
      <c r="L2751" s="84">
        <f t="shared" si="4"/>
        <v>-0.02</v>
      </c>
      <c r="M2751" s="88" t="str">
        <f t="shared" si="5"/>
        <v>Perubahan Normal</v>
      </c>
    </row>
    <row r="2752" ht="18.75" customHeight="1">
      <c r="A2752" s="80" t="s">
        <v>532</v>
      </c>
      <c r="B2752" s="81" t="str">
        <f t="shared" si="1"/>
        <v>Kota Palembang</v>
      </c>
      <c r="C2752" s="81" t="str">
        <f t="array" ref="C2752">XLOOKUP(B2752,Reference!$A$2:$A$152,Reference!$B$2:$B$152)</f>
        <v>Sumatera Selatan</v>
      </c>
      <c r="D2752" s="82" t="s">
        <v>3191</v>
      </c>
      <c r="E2752" s="83">
        <v>45323.0</v>
      </c>
      <c r="F2752" s="84" t="str">
        <f t="array" ref="F2752">XLOOKUP(G2752,Reference!$F:$F,Reference!$D:$D,"null")</f>
        <v>Pendidikan dan Kesehatan</v>
      </c>
      <c r="G2752" s="85" t="s">
        <v>95</v>
      </c>
      <c r="H2752" s="86">
        <v>104.8</v>
      </c>
      <c r="I2752" s="86">
        <v>104.79</v>
      </c>
      <c r="J2752" s="87">
        <f t="shared" si="2"/>
        <v>0.009542895314</v>
      </c>
      <c r="K2752" s="84" t="str">
        <f t="shared" si="3"/>
        <v>Inflasi Normal</v>
      </c>
      <c r="L2752" s="84">
        <f t="shared" si="4"/>
        <v>0.01</v>
      </c>
      <c r="M2752" s="88" t="str">
        <f t="shared" si="5"/>
        <v>Perubahan Normal</v>
      </c>
    </row>
    <row r="2753" ht="18.75" customHeight="1">
      <c r="A2753" s="80" t="s">
        <v>372</v>
      </c>
      <c r="B2753" s="81" t="str">
        <f t="shared" si="1"/>
        <v>Kota Tanjung Pinang</v>
      </c>
      <c r="C2753" s="81" t="str">
        <f t="array" ref="C2753">XLOOKUP(B2753,Reference!$A$2:$A$152,Reference!$B$2:$B$152)</f>
        <v>Kepulauan Riau</v>
      </c>
      <c r="D2753" s="82" t="s">
        <v>3192</v>
      </c>
      <c r="E2753" s="83">
        <v>45323.0</v>
      </c>
      <c r="F2753" s="84" t="str">
        <f t="array" ref="F2753">XLOOKUP(G2753,Reference!$F:$F,Reference!$D:$D,"null")</f>
        <v>Pendidikan dan Kesehatan</v>
      </c>
      <c r="G2753" s="85" t="s">
        <v>98</v>
      </c>
      <c r="H2753" s="86">
        <v>102.54</v>
      </c>
      <c r="I2753" s="86">
        <v>100.65</v>
      </c>
      <c r="J2753" s="87">
        <f t="shared" si="2"/>
        <v>1.877794337</v>
      </c>
      <c r="K2753" s="84" t="str">
        <f t="shared" si="3"/>
        <v>Inflasi Tinggi</v>
      </c>
      <c r="L2753" s="84">
        <f t="shared" si="4"/>
        <v>1.89</v>
      </c>
      <c r="M2753" s="88" t="str">
        <f t="shared" si="5"/>
        <v>Akselerasi Persentase</v>
      </c>
    </row>
    <row r="2754" ht="18.75" customHeight="1">
      <c r="A2754" s="80" t="s">
        <v>442</v>
      </c>
      <c r="B2754" s="81" t="str">
        <f t="shared" si="1"/>
        <v>Kota Cirebon</v>
      </c>
      <c r="C2754" s="81" t="str">
        <f t="array" ref="C2754">XLOOKUP(B2754,Reference!$A$2:$A$152,Reference!$B$2:$B$152)</f>
        <v>Jawa Barat</v>
      </c>
      <c r="D2754" s="82" t="s">
        <v>3193</v>
      </c>
      <c r="E2754" s="83">
        <v>45352.0</v>
      </c>
      <c r="F2754" s="84" t="str">
        <f t="array" ref="F2754">XLOOKUP(G2754,Reference!$F:$F,Reference!$D:$D,"null")</f>
        <v>Rumah Tangga</v>
      </c>
      <c r="G2754" s="85" t="s">
        <v>80</v>
      </c>
      <c r="H2754" s="86">
        <v>101.75</v>
      </c>
      <c r="I2754" s="86">
        <v>100.95</v>
      </c>
      <c r="J2754" s="87">
        <f t="shared" si="2"/>
        <v>0.7924715206</v>
      </c>
      <c r="K2754" s="84" t="str">
        <f t="shared" si="3"/>
        <v>Inflasi Tinggi</v>
      </c>
      <c r="L2754" s="84">
        <f t="shared" si="4"/>
        <v>0.8</v>
      </c>
      <c r="M2754" s="88" t="str">
        <f t="shared" si="5"/>
        <v>Akselerasi Persentase</v>
      </c>
    </row>
    <row r="2755" ht="18.75" customHeight="1">
      <c r="A2755" s="80" t="s">
        <v>393</v>
      </c>
      <c r="B2755" s="81" t="str">
        <f t="shared" si="1"/>
        <v>Kab Sumbawa</v>
      </c>
      <c r="C2755" s="81" t="str">
        <f t="array" ref="C2755">XLOOKUP(B2755,Reference!$A$2:$A$152,Reference!$B$2:$B$152)</f>
        <v>Nusa Tenggara Barat (NTB)</v>
      </c>
      <c r="D2755" s="82" t="s">
        <v>3194</v>
      </c>
      <c r="E2755" s="83">
        <v>45323.0</v>
      </c>
      <c r="F2755" s="84" t="str">
        <f t="array" ref="F2755">XLOOKUP(G2755,Reference!$F:$F,Reference!$D:$D,"null")</f>
        <v>Rumah Tangga</v>
      </c>
      <c r="G2755" s="85" t="s">
        <v>80</v>
      </c>
      <c r="H2755" s="86">
        <v>102.9</v>
      </c>
      <c r="I2755" s="86">
        <v>102.9</v>
      </c>
      <c r="J2755" s="87">
        <f t="shared" si="2"/>
        <v>0</v>
      </c>
      <c r="K2755" s="84" t="str">
        <f t="shared" si="3"/>
        <v>Stabil</v>
      </c>
      <c r="L2755" s="84">
        <f t="shared" si="4"/>
        <v>0</v>
      </c>
      <c r="M2755" s="88" t="str">
        <f t="shared" si="5"/>
        <v>Perubahan Normal</v>
      </c>
    </row>
    <row r="2756" ht="18.75" customHeight="1">
      <c r="A2756" s="80" t="s">
        <v>414</v>
      </c>
      <c r="B2756" s="81" t="str">
        <f t="shared" si="1"/>
        <v>Kota Bandung</v>
      </c>
      <c r="C2756" s="81" t="str">
        <f t="array" ref="C2756">XLOOKUP(B2756,Reference!$A$2:$A$152,Reference!$B$2:$B$152)</f>
        <v>Jawa Barat</v>
      </c>
      <c r="D2756" s="82" t="s">
        <v>3195</v>
      </c>
      <c r="E2756" s="83">
        <v>45352.0</v>
      </c>
      <c r="F2756" s="84" t="str">
        <f t="array" ref="F2756">XLOOKUP(G2756,Reference!$F:$F,Reference!$D:$D,"null")</f>
        <v>Makanan dan Pakaian </v>
      </c>
      <c r="G2756" s="85" t="s">
        <v>48</v>
      </c>
      <c r="H2756" s="86">
        <v>110.87</v>
      </c>
      <c r="I2756" s="86">
        <v>109.15</v>
      </c>
      <c r="J2756" s="87">
        <f t="shared" si="2"/>
        <v>1.575813101</v>
      </c>
      <c r="K2756" s="84" t="str">
        <f t="shared" si="3"/>
        <v>Inflasi Tinggi</v>
      </c>
      <c r="L2756" s="84">
        <f t="shared" si="4"/>
        <v>1.72</v>
      </c>
      <c r="M2756" s="88" t="str">
        <f t="shared" si="5"/>
        <v>Akselerasi Persentase</v>
      </c>
    </row>
    <row r="2757" ht="18.75" customHeight="1">
      <c r="A2757" s="80" t="s">
        <v>429</v>
      </c>
      <c r="B2757" s="81" t="str">
        <f t="shared" si="1"/>
        <v>Kab Nabire</v>
      </c>
      <c r="C2757" s="81" t="str">
        <f t="array" ref="C2757">XLOOKUP(B2757,Reference!$A$2:$A$152,Reference!$B$2:$B$152)</f>
        <v>Papua</v>
      </c>
      <c r="D2757" s="82" t="s">
        <v>3196</v>
      </c>
      <c r="E2757" s="83">
        <v>45323.0</v>
      </c>
      <c r="F2757" s="84" t="str">
        <f t="array" ref="F2757">XLOOKUP(G2757,Reference!$F:$F,Reference!$D:$D,"null")</f>
        <v>Rumah Tangga</v>
      </c>
      <c r="G2757" s="85" t="s">
        <v>80</v>
      </c>
      <c r="H2757" s="86">
        <v>100.8</v>
      </c>
      <c r="I2757" s="86">
        <v>100.8</v>
      </c>
      <c r="J2757" s="87">
        <f t="shared" si="2"/>
        <v>0</v>
      </c>
      <c r="K2757" s="84" t="str">
        <f t="shared" si="3"/>
        <v>Stabil</v>
      </c>
      <c r="L2757" s="84">
        <f t="shared" si="4"/>
        <v>0</v>
      </c>
      <c r="M2757" s="88" t="str">
        <f t="shared" si="5"/>
        <v>Perubahan Normal</v>
      </c>
    </row>
    <row r="2758" ht="18.75" customHeight="1">
      <c r="A2758" s="80" t="s">
        <v>492</v>
      </c>
      <c r="B2758" s="81" t="str">
        <f t="shared" si="1"/>
        <v>Kota Cilegon</v>
      </c>
      <c r="C2758" s="81" t="str">
        <f t="array" ref="C2758">XLOOKUP(B2758,Reference!$A$2:$A$152,Reference!$B$2:$B$152)</f>
        <v>Banten</v>
      </c>
      <c r="D2758" s="82" t="s">
        <v>3197</v>
      </c>
      <c r="E2758" s="83">
        <v>45352.0</v>
      </c>
      <c r="F2758" s="84" t="str">
        <f t="array" ref="F2758">XLOOKUP(G2758,Reference!$F:$F,Reference!$D:$D,"null")</f>
        <v>Makanan dan Pakaian </v>
      </c>
      <c r="G2758" s="85" t="s">
        <v>48</v>
      </c>
      <c r="H2758" s="86">
        <v>110.25</v>
      </c>
      <c r="I2758" s="86">
        <v>109.23</v>
      </c>
      <c r="J2758" s="87">
        <f t="shared" si="2"/>
        <v>0.933809393</v>
      </c>
      <c r="K2758" s="84" t="str">
        <f t="shared" si="3"/>
        <v>Inflasi Tinggi</v>
      </c>
      <c r="L2758" s="84">
        <f t="shared" si="4"/>
        <v>1.02</v>
      </c>
      <c r="M2758" s="88" t="str">
        <f t="shared" si="5"/>
        <v>Akselerasi Persentase</v>
      </c>
    </row>
    <row r="2759" ht="18.75" customHeight="1">
      <c r="A2759" s="80" t="s">
        <v>421</v>
      </c>
      <c r="B2759" s="81" t="str">
        <f t="shared" si="1"/>
        <v>Kab Halmahera Tengah</v>
      </c>
      <c r="C2759" s="81" t="str">
        <f t="array" ref="C2759">XLOOKUP(B2759,Reference!$A$2:$A$152,Reference!$B$2:$B$152)</f>
        <v>Maluku Utara</v>
      </c>
      <c r="D2759" s="82" t="s">
        <v>3198</v>
      </c>
      <c r="E2759" s="83">
        <v>45323.0</v>
      </c>
      <c r="F2759" s="84" t="str">
        <f t="array" ref="F2759">XLOOKUP(G2759,Reference!$F:$F,Reference!$D:$D,"null")</f>
        <v>Rumah Tangga</v>
      </c>
      <c r="G2759" s="89" t="s">
        <v>80</v>
      </c>
      <c r="H2759" s="90">
        <v>100.65</v>
      </c>
      <c r="I2759" s="90">
        <v>100.65</v>
      </c>
      <c r="J2759" s="87">
        <f t="shared" si="2"/>
        <v>0</v>
      </c>
      <c r="K2759" s="84" t="str">
        <f t="shared" si="3"/>
        <v>Stabil</v>
      </c>
      <c r="L2759" s="91">
        <f t="shared" si="4"/>
        <v>0</v>
      </c>
      <c r="M2759" s="88" t="str">
        <f t="shared" si="5"/>
        <v>Perubahan Normal</v>
      </c>
    </row>
    <row r="2760" ht="18.75" customHeight="1">
      <c r="A2760" s="80" t="s">
        <v>483</v>
      </c>
      <c r="B2760" s="81" t="str">
        <f t="shared" si="1"/>
        <v>Kota Padangsidimpuan</v>
      </c>
      <c r="C2760" s="81" t="str">
        <f t="array" ref="C2760">XLOOKUP(B2760,Reference!$A$2:$A$152,Reference!$B$2:$B$152)</f>
        <v>Sumatera Utara</v>
      </c>
      <c r="D2760" s="82" t="s">
        <v>3199</v>
      </c>
      <c r="E2760" s="83">
        <v>45323.0</v>
      </c>
      <c r="F2760" s="84" t="str">
        <f t="array" ref="F2760">XLOOKUP(G2760,Reference!$F:$F,Reference!$D:$D,"null")</f>
        <v>Makanan dan Pakaian </v>
      </c>
      <c r="G2760" s="85" t="s">
        <v>48</v>
      </c>
      <c r="H2760" s="86">
        <v>109.27</v>
      </c>
      <c r="I2760" s="86">
        <v>107.02</v>
      </c>
      <c r="J2760" s="87">
        <f t="shared" si="2"/>
        <v>2.102410764</v>
      </c>
      <c r="K2760" s="84" t="str">
        <f t="shared" si="3"/>
        <v>Inflasi Tinggi</v>
      </c>
      <c r="L2760" s="84">
        <f t="shared" si="4"/>
        <v>2.25</v>
      </c>
      <c r="M2760" s="88" t="str">
        <f t="shared" si="5"/>
        <v>Akselerasi Kuat</v>
      </c>
    </row>
    <row r="2761" ht="18.75" customHeight="1">
      <c r="A2761" s="80" t="s">
        <v>355</v>
      </c>
      <c r="B2761" s="81" t="str">
        <f t="shared" si="1"/>
        <v>Kota Gorontalo</v>
      </c>
      <c r="C2761" s="81" t="str">
        <f t="array" ref="C2761">XLOOKUP(B2761,Reference!$A$2:$A$152,Reference!$B$2:$B$152)</f>
        <v>Gorontalo</v>
      </c>
      <c r="D2761" s="82" t="s">
        <v>3200</v>
      </c>
      <c r="E2761" s="83">
        <v>45352.0</v>
      </c>
      <c r="F2761" s="84" t="str">
        <f t="array" ref="F2761">XLOOKUP(G2761,Reference!$F:$F,Reference!$D:$D,"null")</f>
        <v>Rumah Tangga</v>
      </c>
      <c r="G2761" s="85" t="s">
        <v>89</v>
      </c>
      <c r="H2761" s="86">
        <v>100.6</v>
      </c>
      <c r="I2761" s="86">
        <v>99.68</v>
      </c>
      <c r="J2761" s="87">
        <f t="shared" si="2"/>
        <v>0.922953451</v>
      </c>
      <c r="K2761" s="84" t="str">
        <f t="shared" si="3"/>
        <v>Inflasi Tinggi</v>
      </c>
      <c r="L2761" s="84">
        <f t="shared" si="4"/>
        <v>0.92</v>
      </c>
      <c r="M2761" s="88" t="str">
        <f t="shared" si="5"/>
        <v>Akselerasi Persentase</v>
      </c>
    </row>
    <row r="2762" ht="18.75" customHeight="1">
      <c r="A2762" s="80" t="s">
        <v>460</v>
      </c>
      <c r="B2762" s="81" t="str">
        <f t="shared" si="1"/>
        <v>Kab Kayong Utara</v>
      </c>
      <c r="C2762" s="81" t="str">
        <f t="array" ref="C2762">XLOOKUP(B2762,Reference!$A$2:$A$152,Reference!$B$2:$B$152)</f>
        <v>Kalimantan Barat</v>
      </c>
      <c r="D2762" s="82" t="s">
        <v>3201</v>
      </c>
      <c r="E2762" s="83">
        <v>45352.0</v>
      </c>
      <c r="F2762" s="84" t="str">
        <f t="array" ref="F2762">XLOOKUP(G2762,Reference!$F:$F,Reference!$D:$D,"null")</f>
        <v>Pendidikan dan Kesehatan</v>
      </c>
      <c r="G2762" s="85" t="s">
        <v>98</v>
      </c>
      <c r="H2762" s="86">
        <v>105.94</v>
      </c>
      <c r="I2762" s="86">
        <v>105.84</v>
      </c>
      <c r="J2762" s="87">
        <f t="shared" si="2"/>
        <v>0.09448223734</v>
      </c>
      <c r="K2762" s="84" t="str">
        <f t="shared" si="3"/>
        <v>Inflasi Normal</v>
      </c>
      <c r="L2762" s="84">
        <f t="shared" si="4"/>
        <v>0.1</v>
      </c>
      <c r="M2762" s="88" t="str">
        <f t="shared" si="5"/>
        <v>Perubahan Normal</v>
      </c>
    </row>
    <row r="2763" ht="18.75" customHeight="1">
      <c r="A2763" s="80" t="s">
        <v>1282</v>
      </c>
      <c r="B2763" s="81" t="str">
        <f t="shared" si="1"/>
        <v>Kota Bima</v>
      </c>
      <c r="C2763" s="81" t="str">
        <f t="array" ref="C2763">XLOOKUP(B2763,Reference!$A$2:$A$152,Reference!$B$2:$B$152)</f>
        <v>Nusa Tenggara Barat (NTB)</v>
      </c>
      <c r="D2763" s="82" t="s">
        <v>3202</v>
      </c>
      <c r="E2763" s="83">
        <v>45323.0</v>
      </c>
      <c r="F2763" s="84" t="str">
        <f t="array" ref="F2763">XLOOKUP(G2763,Reference!$F:$F,Reference!$D:$D,"null")</f>
        <v>Rekreasi dan Kendaraan</v>
      </c>
      <c r="G2763" s="85" t="s">
        <v>105</v>
      </c>
      <c r="H2763" s="86">
        <v>100.23</v>
      </c>
      <c r="I2763" s="86">
        <v>100.23</v>
      </c>
      <c r="J2763" s="87">
        <f t="shared" si="2"/>
        <v>0</v>
      </c>
      <c r="K2763" s="84" t="str">
        <f t="shared" si="3"/>
        <v>Stabil</v>
      </c>
      <c r="L2763" s="84">
        <f t="shared" si="4"/>
        <v>0</v>
      </c>
      <c r="M2763" s="88" t="str">
        <f t="shared" si="5"/>
        <v>Perubahan Normal</v>
      </c>
    </row>
    <row r="2764" ht="18.75" customHeight="1">
      <c r="A2764" s="80" t="s">
        <v>458</v>
      </c>
      <c r="B2764" s="81" t="str">
        <f t="shared" si="1"/>
        <v>Kota Dumai</v>
      </c>
      <c r="C2764" s="81" t="str">
        <f t="array" ref="C2764">XLOOKUP(B2764,Reference!$A$2:$A$152,Reference!$B$2:$B$152)</f>
        <v>Riau</v>
      </c>
      <c r="D2764" s="82" t="s">
        <v>3203</v>
      </c>
      <c r="E2764" s="83">
        <v>45323.0</v>
      </c>
      <c r="F2764" s="84" t="str">
        <f t="array" ref="F2764">XLOOKUP(G2764,Reference!$F:$F,Reference!$D:$D,"null")</f>
        <v>Rekreasi dan Kendaraan</v>
      </c>
      <c r="G2764" s="85" t="s">
        <v>102</v>
      </c>
      <c r="H2764" s="86">
        <v>102.44</v>
      </c>
      <c r="I2764" s="86">
        <v>102.5</v>
      </c>
      <c r="J2764" s="87">
        <f t="shared" si="2"/>
        <v>-0.05853658537</v>
      </c>
      <c r="K2764" s="84" t="str">
        <f t="shared" si="3"/>
        <v>Deflasi</v>
      </c>
      <c r="L2764" s="84">
        <f t="shared" si="4"/>
        <v>-0.06</v>
      </c>
      <c r="M2764" s="88" t="str">
        <f t="shared" si="5"/>
        <v>Perubahan Normal</v>
      </c>
    </row>
    <row r="2765" ht="18.75" customHeight="1">
      <c r="A2765" s="80" t="s">
        <v>378</v>
      </c>
      <c r="B2765" s="81" t="str">
        <f t="shared" si="1"/>
        <v>Kab Berau</v>
      </c>
      <c r="C2765" s="81" t="str">
        <f t="array" ref="C2765">XLOOKUP(B2765,Reference!$A$2:$A$152,Reference!$B$2:$B$152)</f>
        <v>Kalimantan Timur</v>
      </c>
      <c r="D2765" s="82" t="s">
        <v>3204</v>
      </c>
      <c r="E2765" s="83">
        <v>45323.0</v>
      </c>
      <c r="F2765" s="84" t="str">
        <f t="array" ref="F2765">XLOOKUP(G2765,Reference!$F:$F,Reference!$D:$D,"null")</f>
        <v>Pendidikan dan Kesehatan</v>
      </c>
      <c r="G2765" s="85" t="s">
        <v>98</v>
      </c>
      <c r="H2765" s="86">
        <v>101.15</v>
      </c>
      <c r="I2765" s="86">
        <v>101.06</v>
      </c>
      <c r="J2765" s="87">
        <f t="shared" si="2"/>
        <v>0.08905600633</v>
      </c>
      <c r="K2765" s="84" t="str">
        <f t="shared" si="3"/>
        <v>Inflasi Normal</v>
      </c>
      <c r="L2765" s="84">
        <f t="shared" si="4"/>
        <v>0.09</v>
      </c>
      <c r="M2765" s="88" t="str">
        <f t="shared" si="5"/>
        <v>Perubahan Normal</v>
      </c>
    </row>
    <row r="2766" ht="18.75" customHeight="1">
      <c r="A2766" s="80" t="s">
        <v>364</v>
      </c>
      <c r="B2766" s="81" t="str">
        <f t="shared" si="1"/>
        <v>Kab Tanah Laut</v>
      </c>
      <c r="C2766" s="81" t="str">
        <f t="array" ref="C2766">XLOOKUP(B2766,Reference!$A$2:$A$152,Reference!$B$2:$B$152)</f>
        <v>Kalimantan Selatan</v>
      </c>
      <c r="D2766" s="82" t="s">
        <v>3205</v>
      </c>
      <c r="E2766" s="83">
        <v>45352.0</v>
      </c>
      <c r="F2766" s="84" t="str">
        <f t="array" ref="F2766">XLOOKUP(G2766,Reference!$F:$F,Reference!$D:$D,"null")</f>
        <v>Makanan dan Pakaian </v>
      </c>
      <c r="G2766" s="85" t="s">
        <v>64</v>
      </c>
      <c r="H2766" s="86">
        <v>102.52</v>
      </c>
      <c r="I2766" s="86">
        <v>101.39</v>
      </c>
      <c r="J2766" s="87">
        <f t="shared" si="2"/>
        <v>1.114508334</v>
      </c>
      <c r="K2766" s="84" t="str">
        <f t="shared" si="3"/>
        <v>Inflasi Tinggi</v>
      </c>
      <c r="L2766" s="84">
        <f t="shared" si="4"/>
        <v>1.13</v>
      </c>
      <c r="M2766" s="88" t="str">
        <f t="shared" si="5"/>
        <v>Akselerasi Persentase</v>
      </c>
    </row>
    <row r="2767" ht="18.75" customHeight="1">
      <c r="A2767" s="80" t="s">
        <v>740</v>
      </c>
      <c r="B2767" s="81" t="str">
        <f t="shared" si="1"/>
        <v>Kota Gunungsitoli</v>
      </c>
      <c r="C2767" s="81" t="str">
        <f t="array" ref="C2767">XLOOKUP(B2767,Reference!$A$2:$A$152,Reference!$B$2:$B$152)</f>
        <v>Sumatera Utara</v>
      </c>
      <c r="D2767" s="82" t="s">
        <v>3206</v>
      </c>
      <c r="E2767" s="83">
        <v>45323.0</v>
      </c>
      <c r="F2767" s="84" t="str">
        <f t="array" ref="F2767">XLOOKUP(G2767,Reference!$F:$F,Reference!$D:$D,"null")</f>
        <v>Rumah Tangga</v>
      </c>
      <c r="G2767" s="85" t="s">
        <v>80</v>
      </c>
      <c r="H2767" s="86">
        <v>102.22</v>
      </c>
      <c r="I2767" s="86">
        <v>102.22</v>
      </c>
      <c r="J2767" s="87">
        <f t="shared" si="2"/>
        <v>0</v>
      </c>
      <c r="K2767" s="84" t="str">
        <f t="shared" si="3"/>
        <v>Stabil</v>
      </c>
      <c r="L2767" s="84">
        <f t="shared" si="4"/>
        <v>0</v>
      </c>
      <c r="M2767" s="88" t="str">
        <f t="shared" si="5"/>
        <v>Perubahan Normal</v>
      </c>
    </row>
    <row r="2768" ht="18.75" customHeight="1">
      <c r="A2768" s="80" t="s">
        <v>764</v>
      </c>
      <c r="B2768" s="81" t="str">
        <f t="shared" si="1"/>
        <v>Kota Madiun</v>
      </c>
      <c r="C2768" s="81" t="str">
        <f t="array" ref="C2768">XLOOKUP(B2768,Reference!$A$2:$A$152,Reference!$B$2:$B$152)</f>
        <v>Jawa Timur</v>
      </c>
      <c r="D2768" s="82" t="s">
        <v>3207</v>
      </c>
      <c r="E2768" s="83">
        <v>45352.0</v>
      </c>
      <c r="F2768" s="84" t="str">
        <f t="array" ref="F2768">XLOOKUP(G2768,Reference!$F:$F,Reference!$D:$D,"null")</f>
        <v>Makanan dan Pakaian </v>
      </c>
      <c r="G2768" s="85" t="s">
        <v>64</v>
      </c>
      <c r="H2768" s="86">
        <v>102.43</v>
      </c>
      <c r="I2768" s="86">
        <v>102.34</v>
      </c>
      <c r="J2768" s="87">
        <f t="shared" si="2"/>
        <v>0.08794215361</v>
      </c>
      <c r="K2768" s="84" t="str">
        <f t="shared" si="3"/>
        <v>Inflasi Normal</v>
      </c>
      <c r="L2768" s="84">
        <f t="shared" si="4"/>
        <v>0.09</v>
      </c>
      <c r="M2768" s="88" t="str">
        <f t="shared" si="5"/>
        <v>Perubahan Normal</v>
      </c>
    </row>
    <row r="2769" ht="18.75" customHeight="1">
      <c r="A2769" s="80" t="s">
        <v>573</v>
      </c>
      <c r="B2769" s="81" t="str">
        <f t="shared" si="1"/>
        <v>Kota Palangkaraya</v>
      </c>
      <c r="C2769" s="81" t="str">
        <f t="array" ref="C2769">XLOOKUP(B2769,Reference!$A$2:$A$152,Reference!$B$2:$B$152)</f>
        <v>Kalimantan Tengah</v>
      </c>
      <c r="D2769" s="82" t="s">
        <v>3208</v>
      </c>
      <c r="E2769" s="83">
        <v>45323.0</v>
      </c>
      <c r="F2769" s="84" t="str">
        <f t="array" ref="F2769">XLOOKUP(G2769,Reference!$F:$F,Reference!$D:$D,"null")</f>
        <v>Makanan dan Pakaian </v>
      </c>
      <c r="G2769" s="85" t="s">
        <v>48</v>
      </c>
      <c r="H2769" s="86">
        <v>108.75</v>
      </c>
      <c r="I2769" s="86">
        <v>110.51</v>
      </c>
      <c r="J2769" s="87">
        <f t="shared" si="2"/>
        <v>-1.592616053</v>
      </c>
      <c r="K2769" s="84" t="str">
        <f t="shared" si="3"/>
        <v>Deflasi</v>
      </c>
      <c r="L2769" s="84">
        <f t="shared" si="4"/>
        <v>-1.76</v>
      </c>
      <c r="M2769" s="88" t="str">
        <f t="shared" si="5"/>
        <v>Perubahan Normal</v>
      </c>
    </row>
    <row r="2770" ht="18.75" customHeight="1">
      <c r="A2770" s="80" t="s">
        <v>433</v>
      </c>
      <c r="B2770" s="81" t="str">
        <f t="shared" si="1"/>
        <v>Kab Tulungagung</v>
      </c>
      <c r="C2770" s="81" t="str">
        <f t="array" ref="C2770">XLOOKUP(B2770,Reference!$A$2:$A$152,Reference!$B$2:$B$152)</f>
        <v>Jawa Timur</v>
      </c>
      <c r="D2770" s="82" t="s">
        <v>3209</v>
      </c>
      <c r="E2770" s="83">
        <v>45352.0</v>
      </c>
      <c r="F2770" s="84" t="str">
        <f t="array" ref="F2770">XLOOKUP(G2770,Reference!$F:$F,Reference!$D:$D,"null")</f>
        <v>Rumah Tangga</v>
      </c>
      <c r="G2770" s="85" t="s">
        <v>84</v>
      </c>
      <c r="H2770" s="86">
        <v>102.46</v>
      </c>
      <c r="I2770" s="86">
        <v>102.46</v>
      </c>
      <c r="J2770" s="87">
        <f t="shared" si="2"/>
        <v>0</v>
      </c>
      <c r="K2770" s="84" t="str">
        <f t="shared" si="3"/>
        <v>Stabil</v>
      </c>
      <c r="L2770" s="84">
        <f t="shared" si="4"/>
        <v>0</v>
      </c>
      <c r="M2770" s="88" t="str">
        <f t="shared" si="5"/>
        <v>Perubahan Normal</v>
      </c>
    </row>
    <row r="2771" ht="18.75" customHeight="1">
      <c r="A2771" s="80" t="s">
        <v>316</v>
      </c>
      <c r="B2771" s="81" t="str">
        <f t="shared" si="1"/>
        <v>Singaraja</v>
      </c>
      <c r="C2771" s="81" t="str">
        <f t="array" ref="C2771">XLOOKUP(B2771,Reference!$A$2:$A$152,Reference!$B$2:$B$152)</f>
        <v>Bali</v>
      </c>
      <c r="D2771" s="82" t="s">
        <v>3210</v>
      </c>
      <c r="E2771" s="83">
        <v>45352.0</v>
      </c>
      <c r="F2771" s="84" t="str">
        <f t="array" ref="F2771">XLOOKUP(G2771,Reference!$F:$F,Reference!$D:$D,"null")</f>
        <v>Pendidikan dan Kesehatan</v>
      </c>
      <c r="G2771" s="85" t="s">
        <v>98</v>
      </c>
      <c r="H2771" s="86">
        <v>100.98</v>
      </c>
      <c r="I2771" s="86">
        <v>100.93</v>
      </c>
      <c r="J2771" s="87">
        <f t="shared" si="2"/>
        <v>0.04953928465</v>
      </c>
      <c r="K2771" s="84" t="str">
        <f t="shared" si="3"/>
        <v>Inflasi Normal</v>
      </c>
      <c r="L2771" s="84">
        <f t="shared" si="4"/>
        <v>0.05</v>
      </c>
      <c r="M2771" s="88" t="str">
        <f t="shared" si="5"/>
        <v>Perubahan Normal</v>
      </c>
    </row>
    <row r="2772" ht="18.75" customHeight="1">
      <c r="A2772" s="80" t="s">
        <v>925</v>
      </c>
      <c r="B2772" s="81" t="str">
        <f t="shared" si="1"/>
        <v>Kota Jakarta</v>
      </c>
      <c r="C2772" s="81" t="str">
        <f t="array" ref="C2772">XLOOKUP(B2772,Reference!$A$2:$A$152,Reference!$B$2:$B$152)</f>
        <v>DKI Jakarta</v>
      </c>
      <c r="D2772" s="82" t="s">
        <v>3211</v>
      </c>
      <c r="E2772" s="83">
        <v>45352.0</v>
      </c>
      <c r="F2772" s="84" t="str">
        <f t="array" ref="F2772">XLOOKUP(G2772,Reference!$F:$F,Reference!$D:$D,"null")</f>
        <v>Makanan dan Pakaian </v>
      </c>
      <c r="G2772" s="85" t="s">
        <v>48</v>
      </c>
      <c r="H2772" s="86">
        <v>111.29</v>
      </c>
      <c r="I2772" s="86">
        <v>109.52</v>
      </c>
      <c r="J2772" s="87">
        <f t="shared" si="2"/>
        <v>1.61614317</v>
      </c>
      <c r="K2772" s="84" t="str">
        <f t="shared" si="3"/>
        <v>Inflasi Tinggi</v>
      </c>
      <c r="L2772" s="84">
        <f t="shared" si="4"/>
        <v>1.77</v>
      </c>
      <c r="M2772" s="88" t="str">
        <f t="shared" si="5"/>
        <v>Akselerasi Persentase</v>
      </c>
    </row>
    <row r="2773" ht="18.75" customHeight="1">
      <c r="A2773" s="80" t="s">
        <v>335</v>
      </c>
      <c r="B2773" s="81" t="str">
        <f t="shared" si="1"/>
        <v>Kab Wonogiri</v>
      </c>
      <c r="C2773" s="81" t="str">
        <f t="array" ref="C2773">XLOOKUP(B2773,Reference!$A$2:$A$152,Reference!$B$2:$B$152)</f>
        <v>Jawa Tengah</v>
      </c>
      <c r="D2773" s="82" t="s">
        <v>3212</v>
      </c>
      <c r="E2773" s="83">
        <v>45323.0</v>
      </c>
      <c r="F2773" s="84" t="str">
        <f t="array" ref="F2773">XLOOKUP(G2773,Reference!$F:$F,Reference!$D:$D,"null")</f>
        <v>Pendidikan dan Kesehatan</v>
      </c>
      <c r="G2773" s="85" t="s">
        <v>98</v>
      </c>
      <c r="H2773" s="86">
        <v>102.53</v>
      </c>
      <c r="I2773" s="86">
        <v>101.81</v>
      </c>
      <c r="J2773" s="87">
        <f t="shared" si="2"/>
        <v>0.7071996857</v>
      </c>
      <c r="K2773" s="84" t="str">
        <f t="shared" si="3"/>
        <v>Inflasi Tinggi</v>
      </c>
      <c r="L2773" s="84">
        <f t="shared" si="4"/>
        <v>0.72</v>
      </c>
      <c r="M2773" s="88" t="str">
        <f t="shared" si="5"/>
        <v>Akselerasi Persentase</v>
      </c>
    </row>
    <row r="2774" ht="18.75" customHeight="1">
      <c r="A2774" s="80" t="s">
        <v>542</v>
      </c>
      <c r="B2774" s="81" t="str">
        <f t="shared" si="1"/>
        <v>Kab Karo</v>
      </c>
      <c r="C2774" s="81" t="str">
        <f t="array" ref="C2774">XLOOKUP(B2774,Reference!$A$2:$A$152,Reference!$B$2:$B$152)</f>
        <v>Sumatera Utara</v>
      </c>
      <c r="D2774" s="82" t="s">
        <v>3213</v>
      </c>
      <c r="E2774" s="83">
        <v>45352.0</v>
      </c>
      <c r="F2774" s="84" t="str">
        <f t="array" ref="F2774">XLOOKUP(G2774,Reference!$F:$F,Reference!$D:$D,"null")</f>
        <v>Rumah Tangga</v>
      </c>
      <c r="G2774" s="85" t="s">
        <v>84</v>
      </c>
      <c r="H2774" s="86">
        <v>97.83</v>
      </c>
      <c r="I2774" s="86">
        <v>97.94</v>
      </c>
      <c r="J2774" s="87">
        <f t="shared" si="2"/>
        <v>-0.1123136614</v>
      </c>
      <c r="K2774" s="84" t="str">
        <f t="shared" si="3"/>
        <v>Deflasi</v>
      </c>
      <c r="L2774" s="84">
        <f t="shared" si="4"/>
        <v>-0.11</v>
      </c>
      <c r="M2774" s="88" t="str">
        <f t="shared" si="5"/>
        <v>Perubahan Normal</v>
      </c>
    </row>
    <row r="2775" ht="18.75" customHeight="1">
      <c r="A2775" s="80" t="s">
        <v>497</v>
      </c>
      <c r="B2775" s="81" t="str">
        <f t="shared" si="1"/>
        <v>Tanjung Pandan</v>
      </c>
      <c r="C2775" s="81" t="str">
        <f t="array" ref="C2775">XLOOKUP(B2775,Reference!$A$2:$A$152,Reference!$B$2:$B$152)</f>
        <v>Kepulauan Bangka Belitung</v>
      </c>
      <c r="D2775" s="82" t="s">
        <v>3214</v>
      </c>
      <c r="E2775" s="83">
        <v>45352.0</v>
      </c>
      <c r="F2775" s="84" t="str">
        <f t="array" ref="F2775">XLOOKUP(G2775,Reference!$F:$F,Reference!$D:$D,"null")</f>
        <v>Makanan dan Pakaian </v>
      </c>
      <c r="G2775" s="85" t="s">
        <v>48</v>
      </c>
      <c r="H2775" s="86">
        <v>103.5</v>
      </c>
      <c r="I2775" s="86">
        <v>105.08</v>
      </c>
      <c r="J2775" s="87">
        <f t="shared" si="2"/>
        <v>-1.503616292</v>
      </c>
      <c r="K2775" s="84" t="str">
        <f t="shared" si="3"/>
        <v>Deflasi</v>
      </c>
      <c r="L2775" s="84">
        <f t="shared" si="4"/>
        <v>-1.58</v>
      </c>
      <c r="M2775" s="88" t="str">
        <f t="shared" si="5"/>
        <v>Perubahan Normal</v>
      </c>
    </row>
    <row r="2776" ht="18.75" customHeight="1">
      <c r="A2776" s="80" t="s">
        <v>1031</v>
      </c>
      <c r="B2776" s="81" t="str">
        <f t="shared" si="1"/>
        <v>Kab Majene</v>
      </c>
      <c r="C2776" s="81" t="str">
        <f t="array" ref="C2776">XLOOKUP(B2776,Reference!$A$2:$A$152,Reference!$B$2:$B$152)</f>
        <v>Sulawesi Barat</v>
      </c>
      <c r="D2776" s="82" t="s">
        <v>3215</v>
      </c>
      <c r="E2776" s="83">
        <v>45352.0</v>
      </c>
      <c r="F2776" s="84" t="str">
        <f t="array" ref="F2776">XLOOKUP(G2776,Reference!$F:$F,Reference!$D:$D,"null")</f>
        <v>Pendidikan dan Kesehatan</v>
      </c>
      <c r="G2776" s="85" t="s">
        <v>98</v>
      </c>
      <c r="H2776" s="86">
        <v>98.5</v>
      </c>
      <c r="I2776" s="86">
        <v>98.5</v>
      </c>
      <c r="J2776" s="87">
        <f t="shared" si="2"/>
        <v>0</v>
      </c>
      <c r="K2776" s="84" t="str">
        <f t="shared" si="3"/>
        <v>Stabil</v>
      </c>
      <c r="L2776" s="84">
        <f t="shared" si="4"/>
        <v>0</v>
      </c>
      <c r="M2776" s="88" t="str">
        <f t="shared" si="5"/>
        <v>Perubahan Normal</v>
      </c>
    </row>
    <row r="2777" ht="18.75" customHeight="1">
      <c r="A2777" s="80" t="s">
        <v>318</v>
      </c>
      <c r="B2777" s="81" t="str">
        <f t="shared" si="1"/>
        <v>Tanjung</v>
      </c>
      <c r="C2777" s="81" t="str">
        <f t="array" ref="C2777">XLOOKUP(B2777,Reference!$A$2:$A$152,Reference!$B$2:$B$152)</f>
        <v>Kalimantan Selatan</v>
      </c>
      <c r="D2777" s="82" t="s">
        <v>3216</v>
      </c>
      <c r="E2777" s="83">
        <v>45323.0</v>
      </c>
      <c r="F2777" s="84" t="str">
        <f t="array" ref="F2777">XLOOKUP(G2777,Reference!$F:$F,Reference!$D:$D,"null")</f>
        <v>Rumah Tangga</v>
      </c>
      <c r="G2777" s="85" t="s">
        <v>84</v>
      </c>
      <c r="H2777" s="86">
        <v>100.58</v>
      </c>
      <c r="I2777" s="86">
        <v>100.58</v>
      </c>
      <c r="J2777" s="87">
        <f t="shared" si="2"/>
        <v>0</v>
      </c>
      <c r="K2777" s="84" t="str">
        <f t="shared" si="3"/>
        <v>Stabil</v>
      </c>
      <c r="L2777" s="84">
        <f t="shared" si="4"/>
        <v>0</v>
      </c>
      <c r="M2777" s="88" t="str">
        <f t="shared" si="5"/>
        <v>Perubahan Normal</v>
      </c>
    </row>
    <row r="2778" ht="18.75" customHeight="1">
      <c r="A2778" s="80" t="s">
        <v>318</v>
      </c>
      <c r="B2778" s="81" t="str">
        <f t="shared" si="1"/>
        <v>Tanjung</v>
      </c>
      <c r="C2778" s="81" t="str">
        <f t="array" ref="C2778">XLOOKUP(B2778,Reference!$A$2:$A$152,Reference!$B$2:$B$152)</f>
        <v>Kalimantan Selatan</v>
      </c>
      <c r="D2778" s="82" t="s">
        <v>3217</v>
      </c>
      <c r="E2778" s="83">
        <v>45323.0</v>
      </c>
      <c r="F2778" s="84" t="str">
        <f t="array" ref="F2778">XLOOKUP(G2778,Reference!$F:$F,Reference!$D:$D,"null")</f>
        <v>Rekreasi dan Kendaraan</v>
      </c>
      <c r="G2778" s="85" t="s">
        <v>102</v>
      </c>
      <c r="H2778" s="86">
        <v>103.32</v>
      </c>
      <c r="I2778" s="86">
        <v>102.78</v>
      </c>
      <c r="J2778" s="87">
        <f t="shared" si="2"/>
        <v>0.5253940455</v>
      </c>
      <c r="K2778" s="84" t="str">
        <f t="shared" si="3"/>
        <v>Inflasi Tinggi</v>
      </c>
      <c r="L2778" s="84">
        <f t="shared" si="4"/>
        <v>0.54</v>
      </c>
      <c r="M2778" s="88" t="str">
        <f t="shared" si="5"/>
        <v>Akselerasi Persentase</v>
      </c>
    </row>
    <row r="2779" ht="18.75" customHeight="1">
      <c r="A2779" s="80" t="s">
        <v>302</v>
      </c>
      <c r="B2779" s="81" t="str">
        <f t="shared" si="1"/>
        <v>Kota Lubuk Linggau</v>
      </c>
      <c r="C2779" s="81" t="str">
        <f t="array" ref="C2779">XLOOKUP(B2779,Reference!$A$2:$A$152,Reference!$B$2:$B$152)</f>
        <v>Sumatera Selatan</v>
      </c>
      <c r="D2779" s="82" t="s">
        <v>3218</v>
      </c>
      <c r="E2779" s="83">
        <v>45352.0</v>
      </c>
      <c r="F2779" s="84" t="str">
        <f t="array" ref="F2779">XLOOKUP(G2779,Reference!$F:$F,Reference!$D:$D,"null")</f>
        <v>Makanan dan Pakaian </v>
      </c>
      <c r="G2779" s="85" t="s">
        <v>64</v>
      </c>
      <c r="H2779" s="86">
        <v>102.29</v>
      </c>
      <c r="I2779" s="86">
        <v>101.97</v>
      </c>
      <c r="J2779" s="87">
        <f t="shared" si="2"/>
        <v>0.3138177895</v>
      </c>
      <c r="K2779" s="84" t="str">
        <f t="shared" si="3"/>
        <v>Inflasi Normal</v>
      </c>
      <c r="L2779" s="84">
        <f t="shared" si="4"/>
        <v>0.32</v>
      </c>
      <c r="M2779" s="88" t="str">
        <f t="shared" si="5"/>
        <v>Perubahan Normal</v>
      </c>
    </row>
    <row r="2780" ht="18.75" customHeight="1">
      <c r="A2780" s="80" t="s">
        <v>471</v>
      </c>
      <c r="B2780" s="81" t="str">
        <f t="shared" si="1"/>
        <v>Kab Gunungkidul</v>
      </c>
      <c r="C2780" s="81" t="str">
        <f t="array" ref="C2780">XLOOKUP(B2780,Reference!$A$2:$A$152,Reference!$B$2:$B$152)</f>
        <v>D.I. Yogyakarta</v>
      </c>
      <c r="D2780" s="82" t="s">
        <v>3219</v>
      </c>
      <c r="E2780" s="83">
        <v>45323.0</v>
      </c>
      <c r="F2780" s="84" t="str">
        <f t="array" ref="F2780">XLOOKUP(G2780,Reference!$F:$F,Reference!$D:$D,"null")</f>
        <v>Makanan dan Pakaian </v>
      </c>
      <c r="G2780" s="85" t="s">
        <v>48</v>
      </c>
      <c r="H2780" s="86">
        <v>112.36</v>
      </c>
      <c r="I2780" s="86">
        <v>110.61</v>
      </c>
      <c r="J2780" s="87">
        <f t="shared" si="2"/>
        <v>1.582135431</v>
      </c>
      <c r="K2780" s="84" t="str">
        <f t="shared" si="3"/>
        <v>Inflasi Tinggi</v>
      </c>
      <c r="L2780" s="84">
        <f t="shared" si="4"/>
        <v>1.75</v>
      </c>
      <c r="M2780" s="88" t="str">
        <f t="shared" si="5"/>
        <v>Akselerasi Persentase</v>
      </c>
    </row>
    <row r="2781" ht="18.75" customHeight="1">
      <c r="A2781" s="80" t="s">
        <v>380</v>
      </c>
      <c r="B2781" s="81" t="str">
        <f t="shared" si="1"/>
        <v>Kota Bengkulu</v>
      </c>
      <c r="C2781" s="81" t="str">
        <f t="array" ref="C2781">XLOOKUP(B2781,Reference!$A$2:$A$152,Reference!$B$2:$B$152)</f>
        <v>Bengkulu</v>
      </c>
      <c r="D2781" s="82" t="s">
        <v>3220</v>
      </c>
      <c r="E2781" s="83">
        <v>45323.0</v>
      </c>
      <c r="F2781" s="84" t="str">
        <f t="array" ref="F2781">XLOOKUP(G2781,Reference!$F:$F,Reference!$D:$D,"null")</f>
        <v>Pendidikan dan Kesehatan</v>
      </c>
      <c r="G2781" s="85" t="s">
        <v>95</v>
      </c>
      <c r="H2781" s="86">
        <v>102.8</v>
      </c>
      <c r="I2781" s="86">
        <v>102.8</v>
      </c>
      <c r="J2781" s="87">
        <f t="shared" si="2"/>
        <v>0</v>
      </c>
      <c r="K2781" s="84" t="str">
        <f t="shared" si="3"/>
        <v>Stabil</v>
      </c>
      <c r="L2781" s="84">
        <f t="shared" si="4"/>
        <v>0</v>
      </c>
      <c r="M2781" s="88" t="str">
        <f t="shared" si="5"/>
        <v>Perubahan Normal</v>
      </c>
    </row>
    <row r="2782" ht="18.75" customHeight="1">
      <c r="A2782" s="80" t="s">
        <v>401</v>
      </c>
      <c r="B2782" s="81" t="str">
        <f t="shared" si="1"/>
        <v>Kota Tual</v>
      </c>
      <c r="C2782" s="81" t="str">
        <f t="array" ref="C2782">XLOOKUP(B2782,Reference!$A$2:$A$152,Reference!$B$2:$B$152)</f>
        <v>Maluku</v>
      </c>
      <c r="D2782" s="82" t="s">
        <v>3221</v>
      </c>
      <c r="E2782" s="83">
        <v>45323.0</v>
      </c>
      <c r="F2782" s="84" t="str">
        <f t="array" ref="F2782">XLOOKUP(G2782,Reference!$F:$F,Reference!$D:$D,"null")</f>
        <v>Makanan dan Pakaian </v>
      </c>
      <c r="G2782" s="85" t="s">
        <v>48</v>
      </c>
      <c r="H2782" s="86">
        <v>106.19</v>
      </c>
      <c r="I2782" s="86">
        <v>103.9</v>
      </c>
      <c r="J2782" s="87">
        <f t="shared" si="2"/>
        <v>2.204042348</v>
      </c>
      <c r="K2782" s="84" t="str">
        <f t="shared" si="3"/>
        <v>Inflasi Tinggi</v>
      </c>
      <c r="L2782" s="84">
        <f t="shared" si="4"/>
        <v>2.29</v>
      </c>
      <c r="M2782" s="88" t="str">
        <f t="shared" si="5"/>
        <v>Akselerasi Kuat</v>
      </c>
    </row>
    <row r="2783" ht="18.75" customHeight="1">
      <c r="A2783" s="80" t="s">
        <v>990</v>
      </c>
      <c r="B2783" s="81" t="str">
        <f t="shared" si="1"/>
        <v>Kab Pandeglang</v>
      </c>
      <c r="C2783" s="81" t="str">
        <f t="array" ref="C2783">XLOOKUP(B2783,Reference!$A$2:$A$152,Reference!$B$2:$B$152)</f>
        <v>Banten</v>
      </c>
      <c r="D2783" s="82" t="s">
        <v>3222</v>
      </c>
      <c r="E2783" s="83">
        <v>45352.0</v>
      </c>
      <c r="F2783" s="84" t="str">
        <f t="array" ref="F2783">XLOOKUP(G2783,Reference!$F:$F,Reference!$D:$D,"null")</f>
        <v>Rekreasi dan Kendaraan</v>
      </c>
      <c r="G2783" s="85" t="s">
        <v>102</v>
      </c>
      <c r="H2783" s="86">
        <v>103.99</v>
      </c>
      <c r="I2783" s="86">
        <v>103.99</v>
      </c>
      <c r="J2783" s="87">
        <f t="shared" si="2"/>
        <v>0</v>
      </c>
      <c r="K2783" s="84" t="str">
        <f t="shared" si="3"/>
        <v>Stabil</v>
      </c>
      <c r="L2783" s="84">
        <f t="shared" si="4"/>
        <v>0</v>
      </c>
      <c r="M2783" s="88" t="str">
        <f t="shared" si="5"/>
        <v>Perubahan Normal</v>
      </c>
    </row>
    <row r="2784" ht="18.75" customHeight="1">
      <c r="A2784" s="80" t="s">
        <v>458</v>
      </c>
      <c r="B2784" s="81" t="str">
        <f t="shared" si="1"/>
        <v>Kota Dumai</v>
      </c>
      <c r="C2784" s="81" t="str">
        <f t="array" ref="C2784">XLOOKUP(B2784,Reference!$A$2:$A$152,Reference!$B$2:$B$152)</f>
        <v>Riau</v>
      </c>
      <c r="D2784" s="82" t="s">
        <v>3223</v>
      </c>
      <c r="E2784" s="83">
        <v>45352.0</v>
      </c>
      <c r="F2784" s="84" t="str">
        <f t="array" ref="F2784">XLOOKUP(G2784,Reference!$F:$F,Reference!$D:$D,"null")</f>
        <v>Pendidikan dan Kesehatan</v>
      </c>
      <c r="G2784" s="85" t="s">
        <v>95</v>
      </c>
      <c r="H2784" s="86">
        <v>103.22</v>
      </c>
      <c r="I2784" s="86">
        <v>103.22</v>
      </c>
      <c r="J2784" s="87">
        <f t="shared" si="2"/>
        <v>0</v>
      </c>
      <c r="K2784" s="84" t="str">
        <f t="shared" si="3"/>
        <v>Stabil</v>
      </c>
      <c r="L2784" s="84">
        <f t="shared" si="4"/>
        <v>0</v>
      </c>
      <c r="M2784" s="88" t="str">
        <f t="shared" si="5"/>
        <v>Perubahan Normal</v>
      </c>
    </row>
    <row r="2785" ht="18.75" customHeight="1">
      <c r="A2785" s="80" t="s">
        <v>302</v>
      </c>
      <c r="B2785" s="81" t="str">
        <f t="shared" si="1"/>
        <v>Kota Lubuk Linggau</v>
      </c>
      <c r="C2785" s="81" t="str">
        <f t="array" ref="C2785">XLOOKUP(B2785,Reference!$A$2:$A$152,Reference!$B$2:$B$152)</f>
        <v>Sumatera Selatan</v>
      </c>
      <c r="D2785" s="82" t="s">
        <v>3224</v>
      </c>
      <c r="E2785" s="83">
        <v>45323.0</v>
      </c>
      <c r="F2785" s="84" t="str">
        <f t="array" ref="F2785">XLOOKUP(G2785,Reference!$F:$F,Reference!$D:$D,"null")</f>
        <v>Makanan dan Pakaian </v>
      </c>
      <c r="G2785" s="89" t="s">
        <v>48</v>
      </c>
      <c r="H2785" s="90">
        <v>106.12</v>
      </c>
      <c r="I2785" s="90">
        <v>105.21</v>
      </c>
      <c r="J2785" s="87">
        <f t="shared" si="2"/>
        <v>0.8649367931</v>
      </c>
      <c r="K2785" s="84" t="str">
        <f t="shared" si="3"/>
        <v>Inflasi Tinggi</v>
      </c>
      <c r="L2785" s="91">
        <f t="shared" si="4"/>
        <v>0.91</v>
      </c>
      <c r="M2785" s="88" t="str">
        <f t="shared" si="5"/>
        <v>Akselerasi Persentase</v>
      </c>
    </row>
    <row r="2786" ht="18.75" customHeight="1">
      <c r="A2786" s="80" t="s">
        <v>312</v>
      </c>
      <c r="B2786" s="81" t="str">
        <f t="shared" si="1"/>
        <v>Kab Jayawijaya</v>
      </c>
      <c r="C2786" s="81" t="str">
        <f t="array" ref="C2786">XLOOKUP(B2786,Reference!$A$2:$A$152,Reference!$B$2:$B$152)</f>
        <v>Papua</v>
      </c>
      <c r="D2786" s="82" t="s">
        <v>3225</v>
      </c>
      <c r="E2786" s="83">
        <v>45323.0</v>
      </c>
      <c r="F2786" s="84" t="str">
        <f t="array" ref="F2786">XLOOKUP(G2786,Reference!$F:$F,Reference!$D:$D,"null")</f>
        <v>Makanan dan Pakaian </v>
      </c>
      <c r="G2786" s="85" t="s">
        <v>56</v>
      </c>
      <c r="H2786" s="86">
        <v>99.02</v>
      </c>
      <c r="I2786" s="86">
        <v>99.02</v>
      </c>
      <c r="J2786" s="87">
        <f t="shared" si="2"/>
        <v>0</v>
      </c>
      <c r="K2786" s="84" t="str">
        <f t="shared" si="3"/>
        <v>Stabil</v>
      </c>
      <c r="L2786" s="84">
        <f t="shared" si="4"/>
        <v>0</v>
      </c>
      <c r="M2786" s="88" t="str">
        <f t="shared" si="5"/>
        <v>Perubahan Normal</v>
      </c>
    </row>
    <row r="2787" ht="18.75" customHeight="1">
      <c r="A2787" s="80" t="s">
        <v>296</v>
      </c>
      <c r="B2787" s="81" t="str">
        <f t="shared" si="1"/>
        <v>Kota Bogor</v>
      </c>
      <c r="C2787" s="81" t="str">
        <f t="array" ref="C2787">XLOOKUP(B2787,Reference!$A$2:$A$152,Reference!$B$2:$B$152)</f>
        <v>Jawa Barat</v>
      </c>
      <c r="D2787" s="82" t="s">
        <v>3226</v>
      </c>
      <c r="E2787" s="83">
        <v>45352.0</v>
      </c>
      <c r="F2787" s="84" t="str">
        <f t="array" ref="F2787">XLOOKUP(G2787,Reference!$F:$F,Reference!$D:$D,"null")</f>
        <v>Makanan dan Pakaian </v>
      </c>
      <c r="G2787" s="85" t="s">
        <v>48</v>
      </c>
      <c r="H2787" s="86">
        <v>113.5</v>
      </c>
      <c r="I2787" s="86">
        <v>111.53</v>
      </c>
      <c r="J2787" s="87">
        <f t="shared" si="2"/>
        <v>1.766340895</v>
      </c>
      <c r="K2787" s="84" t="str">
        <f t="shared" si="3"/>
        <v>Inflasi Tinggi</v>
      </c>
      <c r="L2787" s="84">
        <f t="shared" si="4"/>
        <v>1.97</v>
      </c>
      <c r="M2787" s="88" t="str">
        <f t="shared" si="5"/>
        <v>Akselerasi Persentase</v>
      </c>
    </row>
    <row r="2788" ht="18.75" customHeight="1">
      <c r="A2788" s="80" t="s">
        <v>586</v>
      </c>
      <c r="B2788" s="81" t="str">
        <f t="shared" si="1"/>
        <v>Kab Karimun</v>
      </c>
      <c r="C2788" s="81" t="str">
        <f t="array" ref="C2788">XLOOKUP(B2788,Reference!$A$2:$A$152,Reference!$B$2:$B$152)</f>
        <v>Kepulauan Riau</v>
      </c>
      <c r="D2788" s="82" t="s">
        <v>3227</v>
      </c>
      <c r="E2788" s="83">
        <v>45323.0</v>
      </c>
      <c r="F2788" s="84" t="str">
        <f t="array" ref="F2788">XLOOKUP(G2788,Reference!$F:$F,Reference!$D:$D,"null")</f>
        <v>Rumah Tangga</v>
      </c>
      <c r="G2788" s="85" t="s">
        <v>89</v>
      </c>
      <c r="H2788" s="86">
        <v>106.62</v>
      </c>
      <c r="I2788" s="86">
        <v>106.62</v>
      </c>
      <c r="J2788" s="87">
        <f t="shared" si="2"/>
        <v>0</v>
      </c>
      <c r="K2788" s="84" t="str">
        <f t="shared" si="3"/>
        <v>Stabil</v>
      </c>
      <c r="L2788" s="84">
        <f t="shared" si="4"/>
        <v>0</v>
      </c>
      <c r="M2788" s="88" t="str">
        <f t="shared" si="5"/>
        <v>Perubahan Normal</v>
      </c>
    </row>
    <row r="2789" ht="18.75" customHeight="1">
      <c r="A2789" s="80" t="s">
        <v>715</v>
      </c>
      <c r="B2789" s="81" t="str">
        <f t="shared" si="1"/>
        <v>Kab Bojonegoro</v>
      </c>
      <c r="C2789" s="81" t="str">
        <f t="array" ref="C2789">XLOOKUP(B2789,Reference!$A$2:$A$152,Reference!$B$2:$B$152)</f>
        <v>Jawa Timur</v>
      </c>
      <c r="D2789" s="82" t="s">
        <v>3228</v>
      </c>
      <c r="E2789" s="83">
        <v>45323.0</v>
      </c>
      <c r="F2789" s="84" t="str">
        <f t="array" ref="F2789">XLOOKUP(G2789,Reference!$F:$F,Reference!$D:$D,"null")</f>
        <v>Makanan dan Pakaian </v>
      </c>
      <c r="G2789" s="85" t="s">
        <v>72</v>
      </c>
      <c r="H2789" s="86">
        <v>103.97</v>
      </c>
      <c r="I2789" s="86">
        <v>104.15</v>
      </c>
      <c r="J2789" s="87">
        <f t="shared" si="2"/>
        <v>-0.1728276524</v>
      </c>
      <c r="K2789" s="84" t="str">
        <f t="shared" si="3"/>
        <v>Deflasi</v>
      </c>
      <c r="L2789" s="84">
        <f t="shared" si="4"/>
        <v>-0.18</v>
      </c>
      <c r="M2789" s="88" t="str">
        <f t="shared" si="5"/>
        <v>Perubahan Normal</v>
      </c>
    </row>
    <row r="2790" ht="18.75" customHeight="1">
      <c r="A2790" s="80" t="s">
        <v>822</v>
      </c>
      <c r="B2790" s="81" t="str">
        <f t="shared" si="1"/>
        <v>Kota Pontianak</v>
      </c>
      <c r="C2790" s="81" t="str">
        <f t="array" ref="C2790">XLOOKUP(B2790,Reference!$A$2:$A$152,Reference!$B$2:$B$152)</f>
        <v>Kalimantan Barat</v>
      </c>
      <c r="D2790" s="82" t="s">
        <v>3229</v>
      </c>
      <c r="E2790" s="83">
        <v>45352.0</v>
      </c>
      <c r="F2790" s="84" t="str">
        <f t="array" ref="F2790">XLOOKUP(G2790,Reference!$F:$F,Reference!$D:$D,"null")</f>
        <v>Makanan dan Pakaian </v>
      </c>
      <c r="G2790" s="85" t="s">
        <v>48</v>
      </c>
      <c r="H2790" s="86">
        <v>107.61</v>
      </c>
      <c r="I2790" s="86">
        <v>106.22</v>
      </c>
      <c r="J2790" s="87">
        <f t="shared" si="2"/>
        <v>1.308604783</v>
      </c>
      <c r="K2790" s="84" t="str">
        <f t="shared" si="3"/>
        <v>Inflasi Tinggi</v>
      </c>
      <c r="L2790" s="84">
        <f t="shared" si="4"/>
        <v>1.39</v>
      </c>
      <c r="M2790" s="88" t="str">
        <f t="shared" si="5"/>
        <v>Akselerasi Persentase</v>
      </c>
    </row>
    <row r="2791" ht="18.75" customHeight="1">
      <c r="A2791" s="80" t="s">
        <v>581</v>
      </c>
      <c r="B2791" s="81" t="str">
        <f t="shared" si="1"/>
        <v>Kab Dharmasraya</v>
      </c>
      <c r="C2791" s="81" t="str">
        <f t="array" ref="C2791">XLOOKUP(B2791,Reference!$A$2:$A$152,Reference!$B$2:$B$152)</f>
        <v>Sumatera Barat</v>
      </c>
      <c r="D2791" s="82" t="s">
        <v>3230</v>
      </c>
      <c r="E2791" s="83">
        <v>45352.0</v>
      </c>
      <c r="F2791" s="84" t="str">
        <f t="array" ref="F2791">XLOOKUP(G2791,Reference!$F:$F,Reference!$D:$D,"null")</f>
        <v>Rekreasi dan Kendaraan</v>
      </c>
      <c r="G2791" s="85" t="s">
        <v>105</v>
      </c>
      <c r="H2791" s="86">
        <v>105.12</v>
      </c>
      <c r="I2791" s="86">
        <v>105.12</v>
      </c>
      <c r="J2791" s="87">
        <f t="shared" si="2"/>
        <v>0</v>
      </c>
      <c r="K2791" s="84" t="str">
        <f t="shared" si="3"/>
        <v>Stabil</v>
      </c>
      <c r="L2791" s="84">
        <f t="shared" si="4"/>
        <v>0</v>
      </c>
      <c r="M2791" s="88" t="str">
        <f t="shared" si="5"/>
        <v>Perubahan Normal</v>
      </c>
    </row>
    <row r="2792" ht="18.75" customHeight="1">
      <c r="A2792" s="80" t="s">
        <v>631</v>
      </c>
      <c r="B2792" s="81" t="str">
        <f t="shared" si="1"/>
        <v>Kab Toli Toli</v>
      </c>
      <c r="C2792" s="81" t="str">
        <f t="array" ref="C2792">XLOOKUP(B2792,Reference!$A$2:$A$152,Reference!$B$2:$B$152)</f>
        <v>Sulawesi Tengah</v>
      </c>
      <c r="D2792" s="82" t="s">
        <v>3231</v>
      </c>
      <c r="E2792" s="83">
        <v>45323.0</v>
      </c>
      <c r="F2792" s="84" t="str">
        <f t="array" ref="F2792">XLOOKUP(G2792,Reference!$F:$F,Reference!$D:$D,"null")</f>
        <v>Rekreasi dan Kendaraan</v>
      </c>
      <c r="G2792" s="85" t="s">
        <v>105</v>
      </c>
      <c r="H2792" s="86">
        <v>101.06</v>
      </c>
      <c r="I2792" s="86">
        <v>101.06</v>
      </c>
      <c r="J2792" s="87">
        <f t="shared" si="2"/>
        <v>0</v>
      </c>
      <c r="K2792" s="84" t="str">
        <f t="shared" si="3"/>
        <v>Stabil</v>
      </c>
      <c r="L2792" s="84">
        <f t="shared" si="4"/>
        <v>0</v>
      </c>
      <c r="M2792" s="88" t="str">
        <f t="shared" si="5"/>
        <v>Perubahan Normal</v>
      </c>
    </row>
    <row r="2793" ht="18.75" customHeight="1">
      <c r="A2793" s="80" t="s">
        <v>450</v>
      </c>
      <c r="B2793" s="81" t="str">
        <f t="shared" si="1"/>
        <v>Waingapu</v>
      </c>
      <c r="C2793" s="81" t="str">
        <f t="array" ref="C2793">XLOOKUP(B2793,Reference!$A$2:$A$152,Reference!$B$2:$B$152)</f>
        <v>Nusa Tenggara Timur (NTT)</v>
      </c>
      <c r="D2793" s="82" t="s">
        <v>3232</v>
      </c>
      <c r="E2793" s="83">
        <v>45352.0</v>
      </c>
      <c r="F2793" s="84" t="str">
        <f t="array" ref="F2793">XLOOKUP(G2793,Reference!$F:$F,Reference!$D:$D,"null")</f>
        <v>Pendidikan dan Kesehatan</v>
      </c>
      <c r="G2793" s="85" t="s">
        <v>95</v>
      </c>
      <c r="H2793" s="86">
        <v>100.12</v>
      </c>
      <c r="I2793" s="86">
        <v>100.12</v>
      </c>
      <c r="J2793" s="87">
        <f t="shared" si="2"/>
        <v>0</v>
      </c>
      <c r="K2793" s="84" t="str">
        <f t="shared" si="3"/>
        <v>Stabil</v>
      </c>
      <c r="L2793" s="84">
        <f t="shared" si="4"/>
        <v>0</v>
      </c>
      <c r="M2793" s="88" t="str">
        <f t="shared" si="5"/>
        <v>Perubahan Normal</v>
      </c>
    </row>
    <row r="2794" ht="18.75" customHeight="1">
      <c r="A2794" s="80" t="s">
        <v>706</v>
      </c>
      <c r="B2794" s="81" t="str">
        <f t="shared" si="1"/>
        <v>Kota Makassar</v>
      </c>
      <c r="C2794" s="81" t="str">
        <f t="array" ref="C2794">XLOOKUP(B2794,Reference!$A$2:$A$152,Reference!$B$2:$B$152)</f>
        <v>Sulawesi Selatan</v>
      </c>
      <c r="D2794" s="82" t="s">
        <v>3233</v>
      </c>
      <c r="E2794" s="83">
        <v>45352.0</v>
      </c>
      <c r="F2794" s="84" t="str">
        <f t="array" ref="F2794">XLOOKUP(G2794,Reference!$F:$F,Reference!$D:$D,"null")</f>
        <v>Pendidikan dan Kesehatan</v>
      </c>
      <c r="G2794" s="85" t="s">
        <v>95</v>
      </c>
      <c r="H2794" s="86">
        <v>103.61</v>
      </c>
      <c r="I2794" s="86">
        <v>103.61</v>
      </c>
      <c r="J2794" s="87">
        <f t="shared" si="2"/>
        <v>0</v>
      </c>
      <c r="K2794" s="84" t="str">
        <f t="shared" si="3"/>
        <v>Stabil</v>
      </c>
      <c r="L2794" s="84">
        <f t="shared" si="4"/>
        <v>0</v>
      </c>
      <c r="M2794" s="88" t="str">
        <f t="shared" si="5"/>
        <v>Perubahan Normal</v>
      </c>
    </row>
    <row r="2795" ht="18.75" customHeight="1">
      <c r="A2795" s="80" t="s">
        <v>505</v>
      </c>
      <c r="B2795" s="81" t="str">
        <f t="shared" si="1"/>
        <v>Kota Denpasar</v>
      </c>
      <c r="C2795" s="81" t="str">
        <f t="array" ref="C2795">XLOOKUP(B2795,Reference!$A$2:$A$152,Reference!$B$2:$B$152)</f>
        <v>Bali</v>
      </c>
      <c r="D2795" s="82" t="s">
        <v>3234</v>
      </c>
      <c r="E2795" s="83">
        <v>45352.0</v>
      </c>
      <c r="F2795" s="84" t="str">
        <f t="array" ref="F2795">XLOOKUP(G2795,Reference!$F:$F,Reference!$D:$D,"null")</f>
        <v>Rumah Tangga</v>
      </c>
      <c r="G2795" s="85" t="s">
        <v>84</v>
      </c>
      <c r="H2795" s="86">
        <v>102.88</v>
      </c>
      <c r="I2795" s="86">
        <v>102.88</v>
      </c>
      <c r="J2795" s="87">
        <f t="shared" si="2"/>
        <v>0</v>
      </c>
      <c r="K2795" s="84" t="str">
        <f t="shared" si="3"/>
        <v>Stabil</v>
      </c>
      <c r="L2795" s="84">
        <f t="shared" si="4"/>
        <v>0</v>
      </c>
      <c r="M2795" s="88" t="str">
        <f t="shared" si="5"/>
        <v>Perubahan Normal</v>
      </c>
    </row>
    <row r="2796" ht="18.75" customHeight="1">
      <c r="A2796" s="80" t="s">
        <v>618</v>
      </c>
      <c r="B2796" s="81" t="str">
        <f t="shared" si="1"/>
        <v>Kota Tangerang</v>
      </c>
      <c r="C2796" s="81" t="str">
        <f t="array" ref="C2796">XLOOKUP(B2796,Reference!$A$2:$A$152,Reference!$B$2:$B$152)</f>
        <v>Banten</v>
      </c>
      <c r="D2796" s="82" t="s">
        <v>3235</v>
      </c>
      <c r="E2796" s="83">
        <v>45323.0</v>
      </c>
      <c r="F2796" s="84" t="str">
        <f t="array" ref="F2796">XLOOKUP(G2796,Reference!$F:$F,Reference!$D:$D,"null")</f>
        <v>Pendidikan dan Kesehatan</v>
      </c>
      <c r="G2796" s="85" t="s">
        <v>95</v>
      </c>
      <c r="H2796" s="86">
        <v>100.26</v>
      </c>
      <c r="I2796" s="86">
        <v>100.26</v>
      </c>
      <c r="J2796" s="87">
        <f t="shared" si="2"/>
        <v>0</v>
      </c>
      <c r="K2796" s="84" t="str">
        <f t="shared" si="3"/>
        <v>Stabil</v>
      </c>
      <c r="L2796" s="84">
        <f t="shared" si="4"/>
        <v>0</v>
      </c>
      <c r="M2796" s="88" t="str">
        <f t="shared" si="5"/>
        <v>Perubahan Normal</v>
      </c>
    </row>
    <row r="2797" ht="18.75" customHeight="1">
      <c r="A2797" s="80" t="s">
        <v>408</v>
      </c>
      <c r="B2797" s="81" t="str">
        <f t="shared" si="1"/>
        <v>Manokwari</v>
      </c>
      <c r="C2797" s="81" t="str">
        <f t="array" ref="C2797">XLOOKUP(B2797,Reference!$A$2:$A$152,Reference!$B$2:$B$152)</f>
        <v>Papua Barat Daya</v>
      </c>
      <c r="D2797" s="82" t="s">
        <v>3236</v>
      </c>
      <c r="E2797" s="83">
        <v>45352.0</v>
      </c>
      <c r="F2797" s="84" t="str">
        <f t="array" ref="F2797">XLOOKUP(G2797,Reference!$F:$F,Reference!$D:$D,"null")</f>
        <v>Makanan dan Pakaian </v>
      </c>
      <c r="G2797" s="85" t="s">
        <v>48</v>
      </c>
      <c r="H2797" s="86">
        <v>110.9</v>
      </c>
      <c r="I2797" s="86">
        <v>109.43</v>
      </c>
      <c r="J2797" s="87">
        <f t="shared" si="2"/>
        <v>1.3433245</v>
      </c>
      <c r="K2797" s="84" t="str">
        <f t="shared" si="3"/>
        <v>Inflasi Tinggi</v>
      </c>
      <c r="L2797" s="84">
        <f t="shared" si="4"/>
        <v>1.47</v>
      </c>
      <c r="M2797" s="88" t="str">
        <f t="shared" si="5"/>
        <v>Akselerasi Persentase</v>
      </c>
    </row>
    <row r="2798" ht="18.75" customHeight="1">
      <c r="A2798" s="80" t="s">
        <v>294</v>
      </c>
      <c r="B2798" s="81" t="str">
        <f t="shared" si="1"/>
        <v>Kab Labuhanbatu</v>
      </c>
      <c r="C2798" s="81" t="str">
        <f t="array" ref="C2798">XLOOKUP(B2798,Reference!$A$2:$A$152,Reference!$B$2:$B$152)</f>
        <v>Sumatera Utara</v>
      </c>
      <c r="D2798" s="82" t="s">
        <v>3237</v>
      </c>
      <c r="E2798" s="83">
        <v>45352.0</v>
      </c>
      <c r="F2798" s="84" t="str">
        <f t="array" ref="F2798">XLOOKUP(G2798,Reference!$F:$F,Reference!$D:$D,"null")</f>
        <v>Rumah Tangga</v>
      </c>
      <c r="G2798" s="85" t="s">
        <v>80</v>
      </c>
      <c r="H2798" s="86">
        <v>100.0</v>
      </c>
      <c r="I2798" s="86">
        <v>100.0</v>
      </c>
      <c r="J2798" s="87">
        <f t="shared" si="2"/>
        <v>0</v>
      </c>
      <c r="K2798" s="84" t="str">
        <f t="shared" si="3"/>
        <v>Stabil</v>
      </c>
      <c r="L2798" s="84">
        <f t="shared" si="4"/>
        <v>0</v>
      </c>
      <c r="M2798" s="88" t="str">
        <f t="shared" si="5"/>
        <v>Perubahan Normal</v>
      </c>
    </row>
    <row r="2799" ht="18.75" customHeight="1">
      <c r="A2799" s="80" t="s">
        <v>298</v>
      </c>
      <c r="B2799" s="81" t="str">
        <f t="shared" si="1"/>
        <v>Kota Bekasi</v>
      </c>
      <c r="C2799" s="81" t="str">
        <f t="array" ref="C2799">XLOOKUP(B2799,Reference!$A$2:$A$152,Reference!$B$2:$B$152)</f>
        <v>Jawa Barat</v>
      </c>
      <c r="D2799" s="82" t="s">
        <v>3238</v>
      </c>
      <c r="E2799" s="83">
        <v>45352.0</v>
      </c>
      <c r="F2799" s="84" t="str">
        <f t="array" ref="F2799">XLOOKUP(G2799,Reference!$F:$F,Reference!$D:$D,"null")</f>
        <v>Makanan dan Pakaian </v>
      </c>
      <c r="G2799" s="85" t="s">
        <v>72</v>
      </c>
      <c r="H2799" s="86">
        <v>102.47</v>
      </c>
      <c r="I2799" s="86">
        <v>102.51</v>
      </c>
      <c r="J2799" s="87">
        <f t="shared" si="2"/>
        <v>-0.03902058336</v>
      </c>
      <c r="K2799" s="84" t="str">
        <f t="shared" si="3"/>
        <v>Deflasi</v>
      </c>
      <c r="L2799" s="84">
        <f t="shared" si="4"/>
        <v>-0.04</v>
      </c>
      <c r="M2799" s="88" t="str">
        <f t="shared" si="5"/>
        <v>Perubahan Normal</v>
      </c>
    </row>
    <row r="2800" ht="18.75" customHeight="1">
      <c r="A2800" s="80" t="s">
        <v>764</v>
      </c>
      <c r="B2800" s="81" t="str">
        <f t="shared" si="1"/>
        <v>Kota Madiun</v>
      </c>
      <c r="C2800" s="81" t="str">
        <f t="array" ref="C2800">XLOOKUP(B2800,Reference!$A$2:$A$152,Reference!$B$2:$B$152)</f>
        <v>Jawa Timur</v>
      </c>
      <c r="D2800" s="82" t="s">
        <v>3239</v>
      </c>
      <c r="E2800" s="83">
        <v>45323.0</v>
      </c>
      <c r="F2800" s="84" t="str">
        <f t="array" ref="F2800">XLOOKUP(G2800,Reference!$F:$F,Reference!$D:$D,"null")</f>
        <v>Rekreasi dan Kendaraan</v>
      </c>
      <c r="G2800" s="85" t="s">
        <v>102</v>
      </c>
      <c r="H2800" s="86">
        <v>100.89</v>
      </c>
      <c r="I2800" s="86">
        <v>100.83</v>
      </c>
      <c r="J2800" s="87">
        <f t="shared" si="2"/>
        <v>0.05950609938</v>
      </c>
      <c r="K2800" s="84" t="str">
        <f t="shared" si="3"/>
        <v>Inflasi Normal</v>
      </c>
      <c r="L2800" s="84">
        <f t="shared" si="4"/>
        <v>0.06</v>
      </c>
      <c r="M2800" s="88" t="str">
        <f t="shared" si="5"/>
        <v>Perubahan Normal</v>
      </c>
    </row>
    <row r="2801" ht="18.75" customHeight="1">
      <c r="A2801" s="80" t="s">
        <v>294</v>
      </c>
      <c r="B2801" s="81" t="str">
        <f t="shared" si="1"/>
        <v>Kab Labuhanbatu</v>
      </c>
      <c r="C2801" s="81" t="str">
        <f t="array" ref="C2801">XLOOKUP(B2801,Reference!$A$2:$A$152,Reference!$B$2:$B$152)</f>
        <v>Sumatera Utara</v>
      </c>
      <c r="D2801" s="82" t="s">
        <v>3240</v>
      </c>
      <c r="E2801" s="83">
        <v>45323.0</v>
      </c>
      <c r="F2801" s="84" t="str">
        <f t="array" ref="F2801">XLOOKUP(G2801,Reference!$F:$F,Reference!$D:$D,"null")</f>
        <v>Makanan dan Pakaian </v>
      </c>
      <c r="G2801" s="85" t="s">
        <v>64</v>
      </c>
      <c r="H2801" s="86">
        <v>110.2</v>
      </c>
      <c r="I2801" s="86">
        <v>110.42</v>
      </c>
      <c r="J2801" s="87">
        <f t="shared" si="2"/>
        <v>-0.1992392682</v>
      </c>
      <c r="K2801" s="84" t="str">
        <f t="shared" si="3"/>
        <v>Deflasi</v>
      </c>
      <c r="L2801" s="84">
        <f t="shared" si="4"/>
        <v>-0.22</v>
      </c>
      <c r="M2801" s="88" t="str">
        <f t="shared" si="5"/>
        <v>Perubahan Normal</v>
      </c>
    </row>
    <row r="2802" ht="18.75" customHeight="1">
      <c r="A2802" s="80" t="s">
        <v>495</v>
      </c>
      <c r="B2802" s="81" t="str">
        <f t="shared" si="1"/>
        <v>Kota Medan</v>
      </c>
      <c r="C2802" s="81" t="str">
        <f t="array" ref="C2802">XLOOKUP(B2802,Reference!$A$2:$A$152,Reference!$B$2:$B$152)</f>
        <v>Sumatera Utara</v>
      </c>
      <c r="D2802" s="82" t="s">
        <v>3241</v>
      </c>
      <c r="E2802" s="83">
        <v>45352.0</v>
      </c>
      <c r="F2802" s="84" t="str">
        <f t="array" ref="F2802">XLOOKUP(G2802,Reference!$F:$F,Reference!$D:$D,"null")</f>
        <v>Rumah Tangga</v>
      </c>
      <c r="G2802" s="85" t="s">
        <v>84</v>
      </c>
      <c r="H2802" s="86">
        <v>101.51</v>
      </c>
      <c r="I2802" s="86">
        <v>101.51</v>
      </c>
      <c r="J2802" s="87">
        <f t="shared" si="2"/>
        <v>0</v>
      </c>
      <c r="K2802" s="84" t="str">
        <f t="shared" si="3"/>
        <v>Stabil</v>
      </c>
      <c r="L2802" s="84">
        <f t="shared" si="4"/>
        <v>0</v>
      </c>
      <c r="M2802" s="88" t="str">
        <f t="shared" si="5"/>
        <v>Perubahan Normal</v>
      </c>
    </row>
    <row r="2803" ht="18.75" customHeight="1">
      <c r="A2803" s="80" t="s">
        <v>542</v>
      </c>
      <c r="B2803" s="81" t="str">
        <f t="shared" si="1"/>
        <v>Kab Karo</v>
      </c>
      <c r="C2803" s="81" t="str">
        <f t="array" ref="C2803">XLOOKUP(B2803,Reference!$A$2:$A$152,Reference!$B$2:$B$152)</f>
        <v>Sumatera Utara</v>
      </c>
      <c r="D2803" s="82" t="s">
        <v>3242</v>
      </c>
      <c r="E2803" s="83">
        <v>45323.0</v>
      </c>
      <c r="F2803" s="84" t="str">
        <f t="array" ref="F2803">XLOOKUP(G2803,Reference!$F:$F,Reference!$D:$D,"null")</f>
        <v>Makanan dan Pakaian </v>
      </c>
      <c r="G2803" s="85" t="s">
        <v>56</v>
      </c>
      <c r="H2803" s="86">
        <v>96.65</v>
      </c>
      <c r="I2803" s="86">
        <v>97.49</v>
      </c>
      <c r="J2803" s="87">
        <f t="shared" si="2"/>
        <v>-0.8616268335</v>
      </c>
      <c r="K2803" s="84" t="str">
        <f t="shared" si="3"/>
        <v>Deflasi</v>
      </c>
      <c r="L2803" s="84">
        <f t="shared" si="4"/>
        <v>-0.84</v>
      </c>
      <c r="M2803" s="88" t="str">
        <f t="shared" si="5"/>
        <v>Perubahan Normal</v>
      </c>
    </row>
    <row r="2804" ht="18.75" customHeight="1">
      <c r="A2804" s="80" t="s">
        <v>965</v>
      </c>
      <c r="B2804" s="81" t="str">
        <f t="shared" si="1"/>
        <v>Kab Konawe</v>
      </c>
      <c r="C2804" s="81" t="str">
        <f t="array" ref="C2804">XLOOKUP(B2804,Reference!$A$2:$A$152,Reference!$B$2:$B$152)</f>
        <v>Sulawesi Tenggara</v>
      </c>
      <c r="D2804" s="82" t="s">
        <v>3243</v>
      </c>
      <c r="E2804" s="83">
        <v>45323.0</v>
      </c>
      <c r="F2804" s="84" t="str">
        <f t="array" ref="F2804">XLOOKUP(G2804,Reference!$F:$F,Reference!$D:$D,"null")</f>
        <v>Pendidikan dan Kesehatan</v>
      </c>
      <c r="G2804" s="89" t="s">
        <v>98</v>
      </c>
      <c r="H2804" s="90">
        <v>102.0</v>
      </c>
      <c r="I2804" s="90">
        <v>102.0</v>
      </c>
      <c r="J2804" s="87">
        <f t="shared" si="2"/>
        <v>0</v>
      </c>
      <c r="K2804" s="84" t="str">
        <f t="shared" si="3"/>
        <v>Stabil</v>
      </c>
      <c r="L2804" s="91">
        <f t="shared" si="4"/>
        <v>0</v>
      </c>
      <c r="M2804" s="88" t="str">
        <f t="shared" si="5"/>
        <v>Perubahan Normal</v>
      </c>
    </row>
    <row r="2805" ht="18.75" customHeight="1">
      <c r="A2805" s="80" t="s">
        <v>715</v>
      </c>
      <c r="B2805" s="81" t="str">
        <f t="shared" si="1"/>
        <v>Kab Bojonegoro</v>
      </c>
      <c r="C2805" s="81" t="str">
        <f t="array" ref="C2805">XLOOKUP(B2805,Reference!$A$2:$A$152,Reference!$B$2:$B$152)</f>
        <v>Jawa Timur</v>
      </c>
      <c r="D2805" s="82" t="s">
        <v>3244</v>
      </c>
      <c r="E2805" s="83">
        <v>45323.0</v>
      </c>
      <c r="F2805" s="84" t="str">
        <f t="array" ref="F2805">XLOOKUP(G2805,Reference!$F:$F,Reference!$D:$D,"null")</f>
        <v>Rumah Tangga</v>
      </c>
      <c r="G2805" s="89" t="s">
        <v>89</v>
      </c>
      <c r="H2805" s="90">
        <v>116.87</v>
      </c>
      <c r="I2805" s="90">
        <v>116.56</v>
      </c>
      <c r="J2805" s="87">
        <f t="shared" si="2"/>
        <v>0.2659574468</v>
      </c>
      <c r="K2805" s="84" t="str">
        <f t="shared" si="3"/>
        <v>Inflasi Normal</v>
      </c>
      <c r="L2805" s="91">
        <f t="shared" si="4"/>
        <v>0.31</v>
      </c>
      <c r="M2805" s="88" t="str">
        <f t="shared" si="5"/>
        <v>Perubahan Normal</v>
      </c>
    </row>
    <row r="2806" ht="18.75" customHeight="1">
      <c r="A2806" s="80" t="s">
        <v>300</v>
      </c>
      <c r="B2806" s="81" t="str">
        <f t="shared" si="1"/>
        <v>Sintang</v>
      </c>
      <c r="C2806" s="81" t="str">
        <f t="array" ref="C2806">XLOOKUP(B2806,Reference!$A$2:$A$152,Reference!$B$2:$B$152)</f>
        <v>Kalimantan Barat</v>
      </c>
      <c r="D2806" s="82" t="s">
        <v>3245</v>
      </c>
      <c r="E2806" s="83">
        <v>45352.0</v>
      </c>
      <c r="F2806" s="84" t="str">
        <f t="array" ref="F2806">XLOOKUP(G2806,Reference!$F:$F,Reference!$D:$D,"null")</f>
        <v>Rumah Tangga</v>
      </c>
      <c r="G2806" s="85" t="s">
        <v>80</v>
      </c>
      <c r="H2806" s="86">
        <v>100.13</v>
      </c>
      <c r="I2806" s="86">
        <v>100.13</v>
      </c>
      <c r="J2806" s="87">
        <f t="shared" si="2"/>
        <v>0</v>
      </c>
      <c r="K2806" s="84" t="str">
        <f t="shared" si="3"/>
        <v>Stabil</v>
      </c>
      <c r="L2806" s="84">
        <f t="shared" si="4"/>
        <v>0</v>
      </c>
      <c r="M2806" s="88" t="str">
        <f t="shared" si="5"/>
        <v>Perubahan Normal</v>
      </c>
    </row>
    <row r="2807" ht="18.75" customHeight="1">
      <c r="A2807" s="80" t="s">
        <v>672</v>
      </c>
      <c r="B2807" s="81" t="str">
        <f t="shared" si="1"/>
        <v>Kab Ogan Komering Ilir</v>
      </c>
      <c r="C2807" s="81" t="str">
        <f t="array" ref="C2807">XLOOKUP(B2807,Reference!$A$2:$A$152,Reference!$B$2:$B$152)</f>
        <v>Sumatera Selatan</v>
      </c>
      <c r="D2807" s="82" t="s">
        <v>3246</v>
      </c>
      <c r="E2807" s="83">
        <v>45323.0</v>
      </c>
      <c r="F2807" s="84" t="str">
        <f t="array" ref="F2807">XLOOKUP(G2807,Reference!$F:$F,Reference!$D:$D,"null")</f>
        <v>Makanan dan Pakaian </v>
      </c>
      <c r="G2807" s="85" t="s">
        <v>48</v>
      </c>
      <c r="H2807" s="86">
        <v>110.46</v>
      </c>
      <c r="I2807" s="86">
        <v>110.77</v>
      </c>
      <c r="J2807" s="87">
        <f t="shared" si="2"/>
        <v>-0.2798591676</v>
      </c>
      <c r="K2807" s="84" t="str">
        <f t="shared" si="3"/>
        <v>Deflasi</v>
      </c>
      <c r="L2807" s="84">
        <f t="shared" si="4"/>
        <v>-0.31</v>
      </c>
      <c r="M2807" s="88" t="str">
        <f t="shared" si="5"/>
        <v>Perubahan Normal</v>
      </c>
    </row>
    <row r="2808" ht="18.75" customHeight="1">
      <c r="A2808" s="80" t="s">
        <v>495</v>
      </c>
      <c r="B2808" s="81" t="str">
        <f t="shared" si="1"/>
        <v>Kota Medan</v>
      </c>
      <c r="C2808" s="81" t="str">
        <f t="array" ref="C2808">XLOOKUP(B2808,Reference!$A$2:$A$152,Reference!$B$2:$B$152)</f>
        <v>Sumatera Utara</v>
      </c>
      <c r="D2808" s="82" t="s">
        <v>3247</v>
      </c>
      <c r="E2808" s="83">
        <v>45352.0</v>
      </c>
      <c r="F2808" s="84" t="str">
        <f t="array" ref="F2808">XLOOKUP(G2808,Reference!$F:$F,Reference!$D:$D,"null")</f>
        <v>Makanan dan Pakaian </v>
      </c>
      <c r="G2808" s="85" t="s">
        <v>56</v>
      </c>
      <c r="H2808" s="86">
        <v>104.73</v>
      </c>
      <c r="I2808" s="86">
        <v>103.93</v>
      </c>
      <c r="J2808" s="87">
        <f t="shared" si="2"/>
        <v>0.7697488694</v>
      </c>
      <c r="K2808" s="84" t="str">
        <f t="shared" si="3"/>
        <v>Inflasi Tinggi</v>
      </c>
      <c r="L2808" s="84">
        <f t="shared" si="4"/>
        <v>0.8</v>
      </c>
      <c r="M2808" s="88" t="str">
        <f t="shared" si="5"/>
        <v>Akselerasi Persentase</v>
      </c>
    </row>
    <row r="2809" ht="18.75" customHeight="1">
      <c r="A2809" s="80" t="s">
        <v>322</v>
      </c>
      <c r="B2809" s="81" t="str">
        <f t="shared" si="1"/>
        <v>Purwokerto</v>
      </c>
      <c r="C2809" s="81" t="str">
        <f t="array" ref="C2809">XLOOKUP(B2809,Reference!$A$2:$A$152,Reference!$B$2:$B$152)</f>
        <v>Jawa Tengah</v>
      </c>
      <c r="D2809" s="82" t="s">
        <v>3248</v>
      </c>
      <c r="E2809" s="83">
        <v>45323.0</v>
      </c>
      <c r="F2809" s="84" t="str">
        <f t="array" ref="F2809">XLOOKUP(G2809,Reference!$F:$F,Reference!$D:$D,"null")</f>
        <v>Makanan dan Pakaian </v>
      </c>
      <c r="G2809" s="85" t="s">
        <v>72</v>
      </c>
      <c r="H2809" s="86">
        <v>100.04</v>
      </c>
      <c r="I2809" s="86">
        <v>100.03</v>
      </c>
      <c r="J2809" s="87">
        <f t="shared" si="2"/>
        <v>0.0099970009</v>
      </c>
      <c r="K2809" s="84" t="str">
        <f t="shared" si="3"/>
        <v>Inflasi Normal</v>
      </c>
      <c r="L2809" s="84">
        <f t="shared" si="4"/>
        <v>0.01</v>
      </c>
      <c r="M2809" s="88" t="str">
        <f t="shared" si="5"/>
        <v>Perubahan Normal</v>
      </c>
    </row>
    <row r="2810" ht="18.75" customHeight="1">
      <c r="A2810" s="80" t="s">
        <v>310</v>
      </c>
      <c r="B2810" s="81" t="str">
        <f t="shared" si="1"/>
        <v>Kab Kampar</v>
      </c>
      <c r="C2810" s="81" t="str">
        <f t="array" ref="C2810">XLOOKUP(B2810,Reference!$A$2:$A$152,Reference!$B$2:$B$152)</f>
        <v>Riau</v>
      </c>
      <c r="D2810" s="82" t="s">
        <v>3249</v>
      </c>
      <c r="E2810" s="83">
        <v>45323.0</v>
      </c>
      <c r="F2810" s="84" t="str">
        <f t="array" ref="F2810">XLOOKUP(G2810,Reference!$F:$F,Reference!$D:$D,"null")</f>
        <v>Rumah Tangga</v>
      </c>
      <c r="G2810" s="85" t="s">
        <v>80</v>
      </c>
      <c r="H2810" s="86">
        <v>100.0</v>
      </c>
      <c r="I2810" s="86">
        <v>100.0</v>
      </c>
      <c r="J2810" s="87">
        <f t="shared" si="2"/>
        <v>0</v>
      </c>
      <c r="K2810" s="84" t="str">
        <f t="shared" si="3"/>
        <v>Stabil</v>
      </c>
      <c r="L2810" s="84">
        <f t="shared" si="4"/>
        <v>0</v>
      </c>
      <c r="M2810" s="88" t="str">
        <f t="shared" si="5"/>
        <v>Perubahan Normal</v>
      </c>
    </row>
    <row r="2811" ht="18.75" customHeight="1">
      <c r="A2811" s="80" t="s">
        <v>497</v>
      </c>
      <c r="B2811" s="81" t="str">
        <f t="shared" si="1"/>
        <v>Tanjung Pandan</v>
      </c>
      <c r="C2811" s="81" t="str">
        <f t="array" ref="C2811">XLOOKUP(B2811,Reference!$A$2:$A$152,Reference!$B$2:$B$152)</f>
        <v>Kepulauan Bangka Belitung</v>
      </c>
      <c r="D2811" s="82" t="s">
        <v>3250</v>
      </c>
      <c r="E2811" s="83">
        <v>45323.0</v>
      </c>
      <c r="F2811" s="84" t="str">
        <f t="array" ref="F2811">XLOOKUP(G2811,Reference!$F:$F,Reference!$D:$D,"null")</f>
        <v>Rekreasi dan Kendaraan</v>
      </c>
      <c r="G2811" s="85" t="s">
        <v>102</v>
      </c>
      <c r="H2811" s="86">
        <v>98.68</v>
      </c>
      <c r="I2811" s="86">
        <v>98.68</v>
      </c>
      <c r="J2811" s="87">
        <f t="shared" si="2"/>
        <v>0</v>
      </c>
      <c r="K2811" s="84" t="str">
        <f t="shared" si="3"/>
        <v>Stabil</v>
      </c>
      <c r="L2811" s="84">
        <f t="shared" si="4"/>
        <v>0</v>
      </c>
      <c r="M2811" s="88" t="str">
        <f t="shared" si="5"/>
        <v>Perubahan Normal</v>
      </c>
    </row>
    <row r="2812" ht="18.75" customHeight="1">
      <c r="A2812" s="80" t="s">
        <v>529</v>
      </c>
      <c r="B2812" s="81" t="str">
        <f t="shared" si="1"/>
        <v>Kota Yogyakarta</v>
      </c>
      <c r="C2812" s="81" t="str">
        <f t="array" ref="C2812">XLOOKUP(B2812,Reference!$A$2:$A$152,Reference!$B$2:$B$152)</f>
        <v>D.I. Yogyakarta</v>
      </c>
      <c r="D2812" s="82" t="s">
        <v>3251</v>
      </c>
      <c r="E2812" s="83">
        <v>45323.0</v>
      </c>
      <c r="F2812" s="84" t="str">
        <f t="array" ref="F2812">XLOOKUP(G2812,Reference!$F:$F,Reference!$D:$D,"null")</f>
        <v>Makanan dan Pakaian </v>
      </c>
      <c r="G2812" s="85" t="s">
        <v>48</v>
      </c>
      <c r="H2812" s="86">
        <v>110.33</v>
      </c>
      <c r="I2812" s="86">
        <v>108.99</v>
      </c>
      <c r="J2812" s="87">
        <f t="shared" si="2"/>
        <v>1.229470594</v>
      </c>
      <c r="K2812" s="84" t="str">
        <f t="shared" si="3"/>
        <v>Inflasi Tinggi</v>
      </c>
      <c r="L2812" s="84">
        <f t="shared" si="4"/>
        <v>1.34</v>
      </c>
      <c r="M2812" s="88" t="str">
        <f t="shared" si="5"/>
        <v>Akselerasi Persentase</v>
      </c>
    </row>
    <row r="2813" ht="18.75" customHeight="1">
      <c r="A2813" s="80" t="s">
        <v>515</v>
      </c>
      <c r="B2813" s="81" t="str">
        <f t="shared" si="1"/>
        <v>Kab Gresik</v>
      </c>
      <c r="C2813" s="81" t="str">
        <f t="array" ref="C2813">XLOOKUP(B2813,Reference!$A$2:$A$152,Reference!$B$2:$B$152)</f>
        <v>Jawa Timur</v>
      </c>
      <c r="D2813" s="82" t="s">
        <v>3252</v>
      </c>
      <c r="E2813" s="83">
        <v>45323.0</v>
      </c>
      <c r="F2813" s="84" t="str">
        <f t="array" ref="F2813">XLOOKUP(G2813,Reference!$F:$F,Reference!$D:$D,"null")</f>
        <v>Pendidikan dan Kesehatan</v>
      </c>
      <c r="G2813" s="85" t="s">
        <v>98</v>
      </c>
      <c r="H2813" s="86">
        <v>105.47</v>
      </c>
      <c r="I2813" s="86">
        <v>105.39</v>
      </c>
      <c r="J2813" s="87">
        <f t="shared" si="2"/>
        <v>0.07590853022</v>
      </c>
      <c r="K2813" s="84" t="str">
        <f t="shared" si="3"/>
        <v>Inflasi Normal</v>
      </c>
      <c r="L2813" s="84">
        <f t="shared" si="4"/>
        <v>0.08</v>
      </c>
      <c r="M2813" s="88" t="str">
        <f t="shared" si="5"/>
        <v>Perubahan Normal</v>
      </c>
    </row>
    <row r="2814" ht="18.75" customHeight="1">
      <c r="A2814" s="80" t="s">
        <v>462</v>
      </c>
      <c r="B2814" s="81" t="str">
        <f t="shared" si="1"/>
        <v>Kota Probolinggo</v>
      </c>
      <c r="C2814" s="81" t="str">
        <f t="array" ref="C2814">XLOOKUP(B2814,Reference!$A$2:$A$152,Reference!$B$2:$B$152)</f>
        <v>Jawa Timur</v>
      </c>
      <c r="D2814" s="82" t="s">
        <v>3253</v>
      </c>
      <c r="E2814" s="83">
        <v>45323.0</v>
      </c>
      <c r="F2814" s="84" t="str">
        <f t="array" ref="F2814">XLOOKUP(G2814,Reference!$F:$F,Reference!$D:$D,"null")</f>
        <v>Rumah Tangga</v>
      </c>
      <c r="G2814" s="85" t="s">
        <v>80</v>
      </c>
      <c r="H2814" s="86">
        <v>101.68</v>
      </c>
      <c r="I2814" s="86">
        <v>101.68</v>
      </c>
      <c r="J2814" s="87">
        <f t="shared" si="2"/>
        <v>0</v>
      </c>
      <c r="K2814" s="84" t="str">
        <f t="shared" si="3"/>
        <v>Stabil</v>
      </c>
      <c r="L2814" s="84">
        <f t="shared" si="4"/>
        <v>0</v>
      </c>
      <c r="M2814" s="88" t="str">
        <f t="shared" si="5"/>
        <v>Perubahan Normal</v>
      </c>
    </row>
    <row r="2815" ht="18.75" customHeight="1">
      <c r="A2815" s="80" t="s">
        <v>512</v>
      </c>
      <c r="B2815" s="81" t="str">
        <f t="shared" si="1"/>
        <v>Kota Palu</v>
      </c>
      <c r="C2815" s="81" t="str">
        <f t="array" ref="C2815">XLOOKUP(B2815,Reference!$A$2:$A$152,Reference!$B$2:$B$152)</f>
        <v>Sulawesi Tengah</v>
      </c>
      <c r="D2815" s="82" t="s">
        <v>3254</v>
      </c>
      <c r="E2815" s="83">
        <v>45352.0</v>
      </c>
      <c r="F2815" s="84" t="str">
        <f t="array" ref="F2815">XLOOKUP(G2815,Reference!$F:$F,Reference!$D:$D,"null")</f>
        <v>Rumah Tangga</v>
      </c>
      <c r="G2815" s="85" t="s">
        <v>80</v>
      </c>
      <c r="H2815" s="86">
        <v>105.5</v>
      </c>
      <c r="I2815" s="86">
        <v>105.5</v>
      </c>
      <c r="J2815" s="87">
        <f t="shared" si="2"/>
        <v>0</v>
      </c>
      <c r="K2815" s="84" t="str">
        <f t="shared" si="3"/>
        <v>Stabil</v>
      </c>
      <c r="L2815" s="84">
        <f t="shared" si="4"/>
        <v>0</v>
      </c>
      <c r="M2815" s="88" t="str">
        <f t="shared" si="5"/>
        <v>Perubahan Normal</v>
      </c>
    </row>
    <row r="2816" ht="18.75" customHeight="1">
      <c r="A2816" s="80" t="s">
        <v>483</v>
      </c>
      <c r="B2816" s="81" t="str">
        <f t="shared" si="1"/>
        <v>Kota Padangsidimpuan</v>
      </c>
      <c r="C2816" s="81" t="str">
        <f t="array" ref="C2816">XLOOKUP(B2816,Reference!$A$2:$A$152,Reference!$B$2:$B$152)</f>
        <v>Sumatera Utara</v>
      </c>
      <c r="D2816" s="82" t="s">
        <v>3255</v>
      </c>
      <c r="E2816" s="83">
        <v>45352.0</v>
      </c>
      <c r="F2816" s="84" t="str">
        <f t="array" ref="F2816">XLOOKUP(G2816,Reference!$F:$F,Reference!$D:$D,"null")</f>
        <v>Rumah Tangga</v>
      </c>
      <c r="G2816" s="85" t="s">
        <v>80</v>
      </c>
      <c r="H2816" s="86">
        <v>101.62</v>
      </c>
      <c r="I2816" s="86">
        <v>100.94</v>
      </c>
      <c r="J2816" s="87">
        <f t="shared" si="2"/>
        <v>0.6736675253</v>
      </c>
      <c r="K2816" s="84" t="str">
        <f t="shared" si="3"/>
        <v>Inflasi Tinggi</v>
      </c>
      <c r="L2816" s="84">
        <f t="shared" si="4"/>
        <v>0.68</v>
      </c>
      <c r="M2816" s="88" t="str">
        <f t="shared" si="5"/>
        <v>Akselerasi Persentase</v>
      </c>
    </row>
    <row r="2817" ht="18.75" customHeight="1">
      <c r="A2817" s="80" t="s">
        <v>401</v>
      </c>
      <c r="B2817" s="81" t="str">
        <f t="shared" si="1"/>
        <v>Kota Tual</v>
      </c>
      <c r="C2817" s="81" t="str">
        <f t="array" ref="C2817">XLOOKUP(B2817,Reference!$A$2:$A$152,Reference!$B$2:$B$152)</f>
        <v>Maluku</v>
      </c>
      <c r="D2817" s="82" t="s">
        <v>3256</v>
      </c>
      <c r="E2817" s="83">
        <v>45352.0</v>
      </c>
      <c r="F2817" s="84" t="str">
        <f t="array" ref="F2817">XLOOKUP(G2817,Reference!$F:$F,Reference!$D:$D,"null")</f>
        <v>Pendidikan dan Kesehatan</v>
      </c>
      <c r="G2817" s="85" t="s">
        <v>95</v>
      </c>
      <c r="H2817" s="86">
        <v>100.02</v>
      </c>
      <c r="I2817" s="86">
        <v>100.02</v>
      </c>
      <c r="J2817" s="87">
        <f t="shared" si="2"/>
        <v>0</v>
      </c>
      <c r="K2817" s="84" t="str">
        <f t="shared" si="3"/>
        <v>Stabil</v>
      </c>
      <c r="L2817" s="84">
        <f t="shared" si="4"/>
        <v>0</v>
      </c>
      <c r="M2817" s="88" t="str">
        <f t="shared" si="5"/>
        <v>Perubahan Normal</v>
      </c>
    </row>
    <row r="2818" ht="18.75" customHeight="1">
      <c r="A2818" s="80" t="s">
        <v>734</v>
      </c>
      <c r="B2818" s="81" t="str">
        <f t="shared" si="1"/>
        <v>Kota Tegal</v>
      </c>
      <c r="C2818" s="81" t="str">
        <f t="array" ref="C2818">XLOOKUP(B2818,Reference!$A$2:$A$152,Reference!$B$2:$B$152)</f>
        <v>Jawa Tengah</v>
      </c>
      <c r="D2818" s="82" t="s">
        <v>3257</v>
      </c>
      <c r="E2818" s="83">
        <v>45323.0</v>
      </c>
      <c r="F2818" s="84" t="str">
        <f t="array" ref="F2818">XLOOKUP(G2818,Reference!$F:$F,Reference!$D:$D,"null")</f>
        <v>Rumah Tangga</v>
      </c>
      <c r="G2818" s="85" t="s">
        <v>84</v>
      </c>
      <c r="H2818" s="86">
        <v>99.98</v>
      </c>
      <c r="I2818" s="86">
        <v>99.98</v>
      </c>
      <c r="J2818" s="87">
        <f t="shared" si="2"/>
        <v>0</v>
      </c>
      <c r="K2818" s="84" t="str">
        <f t="shared" si="3"/>
        <v>Stabil</v>
      </c>
      <c r="L2818" s="84">
        <f t="shared" si="4"/>
        <v>0</v>
      </c>
      <c r="M2818" s="88" t="str">
        <f t="shared" si="5"/>
        <v>Perubahan Normal</v>
      </c>
    </row>
    <row r="2819" ht="18.75" customHeight="1">
      <c r="A2819" s="80" t="s">
        <v>364</v>
      </c>
      <c r="B2819" s="81" t="str">
        <f t="shared" si="1"/>
        <v>Kab Tanah Laut</v>
      </c>
      <c r="C2819" s="81" t="str">
        <f t="array" ref="C2819">XLOOKUP(B2819,Reference!$A$2:$A$152,Reference!$B$2:$B$152)</f>
        <v>Kalimantan Selatan</v>
      </c>
      <c r="D2819" s="82" t="s">
        <v>3258</v>
      </c>
      <c r="E2819" s="83">
        <v>45352.0</v>
      </c>
      <c r="F2819" s="84" t="str">
        <f t="array" ref="F2819">XLOOKUP(G2819,Reference!$F:$F,Reference!$D:$D,"null")</f>
        <v>Rumah Tangga</v>
      </c>
      <c r="G2819" s="85" t="s">
        <v>89</v>
      </c>
      <c r="H2819" s="86">
        <v>101.65</v>
      </c>
      <c r="I2819" s="86">
        <v>101.65</v>
      </c>
      <c r="J2819" s="87">
        <f t="shared" si="2"/>
        <v>0</v>
      </c>
      <c r="K2819" s="84" t="str">
        <f t="shared" si="3"/>
        <v>Stabil</v>
      </c>
      <c r="L2819" s="84">
        <f t="shared" si="4"/>
        <v>0</v>
      </c>
      <c r="M2819" s="88" t="str">
        <f t="shared" si="5"/>
        <v>Perubahan Normal</v>
      </c>
    </row>
    <row r="2820" ht="18.75" customHeight="1">
      <c r="A2820" s="80" t="s">
        <v>423</v>
      </c>
      <c r="B2820" s="81" t="str">
        <f t="shared" si="1"/>
        <v>Kota Kotamobagu</v>
      </c>
      <c r="C2820" s="81" t="str">
        <f t="array" ref="C2820">XLOOKUP(B2820,Reference!$A$2:$A$152,Reference!$B$2:$B$152)</f>
        <v>Sulawesi Utara</v>
      </c>
      <c r="D2820" s="82" t="s">
        <v>3259</v>
      </c>
      <c r="E2820" s="83">
        <v>45352.0</v>
      </c>
      <c r="F2820" s="84" t="str">
        <f t="array" ref="F2820">XLOOKUP(G2820,Reference!$F:$F,Reference!$D:$D,"null")</f>
        <v>Rekreasi dan Kendaraan</v>
      </c>
      <c r="G2820" s="85" t="s">
        <v>105</v>
      </c>
      <c r="H2820" s="86">
        <v>105.02</v>
      </c>
      <c r="I2820" s="86">
        <v>104.92</v>
      </c>
      <c r="J2820" s="87">
        <f t="shared" si="2"/>
        <v>0.09531071292</v>
      </c>
      <c r="K2820" s="84" t="str">
        <f t="shared" si="3"/>
        <v>Inflasi Normal</v>
      </c>
      <c r="L2820" s="84">
        <f t="shared" si="4"/>
        <v>0.1</v>
      </c>
      <c r="M2820" s="88" t="str">
        <f t="shared" si="5"/>
        <v>Perubahan Normal</v>
      </c>
    </row>
    <row r="2821" ht="18.75" customHeight="1">
      <c r="A2821" s="80" t="s">
        <v>512</v>
      </c>
      <c r="B2821" s="81" t="str">
        <f t="shared" si="1"/>
        <v>Kota Palu</v>
      </c>
      <c r="C2821" s="81" t="str">
        <f t="array" ref="C2821">XLOOKUP(B2821,Reference!$A$2:$A$152,Reference!$B$2:$B$152)</f>
        <v>Sulawesi Tengah</v>
      </c>
      <c r="D2821" s="82" t="s">
        <v>3260</v>
      </c>
      <c r="E2821" s="83">
        <v>45352.0</v>
      </c>
      <c r="F2821" s="84" t="str">
        <f t="array" ref="F2821">XLOOKUP(G2821,Reference!$F:$F,Reference!$D:$D,"null")</f>
        <v>Rumah Tangga</v>
      </c>
      <c r="G2821" s="85" t="s">
        <v>89</v>
      </c>
      <c r="H2821" s="86">
        <v>101.96</v>
      </c>
      <c r="I2821" s="86">
        <v>101.96</v>
      </c>
      <c r="J2821" s="87">
        <f t="shared" si="2"/>
        <v>0</v>
      </c>
      <c r="K2821" s="84" t="str">
        <f t="shared" si="3"/>
        <v>Stabil</v>
      </c>
      <c r="L2821" s="84">
        <f t="shared" si="4"/>
        <v>0</v>
      </c>
      <c r="M2821" s="88" t="str">
        <f t="shared" si="5"/>
        <v>Perubahan Normal</v>
      </c>
    </row>
    <row r="2822" ht="18.75" customHeight="1">
      <c r="A2822" s="80" t="s">
        <v>458</v>
      </c>
      <c r="B2822" s="81" t="str">
        <f t="shared" si="1"/>
        <v>Kota Dumai</v>
      </c>
      <c r="C2822" s="81" t="str">
        <f t="array" ref="C2822">XLOOKUP(B2822,Reference!$A$2:$A$152,Reference!$B$2:$B$152)</f>
        <v>Riau</v>
      </c>
      <c r="D2822" s="82" t="s">
        <v>3261</v>
      </c>
      <c r="E2822" s="83">
        <v>45323.0</v>
      </c>
      <c r="F2822" s="84" t="str">
        <f t="array" ref="F2822">XLOOKUP(G2822,Reference!$F:$F,Reference!$D:$D,"null")</f>
        <v>Rumah Tangga</v>
      </c>
      <c r="G2822" s="89" t="s">
        <v>80</v>
      </c>
      <c r="H2822" s="90">
        <v>102.83</v>
      </c>
      <c r="I2822" s="90">
        <v>102.83</v>
      </c>
      <c r="J2822" s="87">
        <f t="shared" si="2"/>
        <v>0</v>
      </c>
      <c r="K2822" s="84" t="str">
        <f t="shared" si="3"/>
        <v>Stabil</v>
      </c>
      <c r="L2822" s="91">
        <f t="shared" si="4"/>
        <v>0</v>
      </c>
      <c r="M2822" s="88" t="str">
        <f t="shared" si="5"/>
        <v>Perubahan Normal</v>
      </c>
    </row>
    <row r="2823" ht="18.75" customHeight="1">
      <c r="A2823" s="80" t="s">
        <v>372</v>
      </c>
      <c r="B2823" s="81" t="str">
        <f t="shared" si="1"/>
        <v>Kota Tanjung Pinang</v>
      </c>
      <c r="C2823" s="81" t="str">
        <f t="array" ref="C2823">XLOOKUP(B2823,Reference!$A$2:$A$152,Reference!$B$2:$B$152)</f>
        <v>Kepulauan Riau</v>
      </c>
      <c r="D2823" s="82" t="s">
        <v>3262</v>
      </c>
      <c r="E2823" s="83">
        <v>45323.0</v>
      </c>
      <c r="F2823" s="84" t="str">
        <f t="array" ref="F2823">XLOOKUP(G2823,Reference!$F:$F,Reference!$D:$D,"null")</f>
        <v>Makanan dan Pakaian </v>
      </c>
      <c r="G2823" s="85" t="s">
        <v>64</v>
      </c>
      <c r="H2823" s="86">
        <v>100.0</v>
      </c>
      <c r="I2823" s="86">
        <v>99.98</v>
      </c>
      <c r="J2823" s="87">
        <f t="shared" si="2"/>
        <v>0.0200040008</v>
      </c>
      <c r="K2823" s="84" t="str">
        <f t="shared" si="3"/>
        <v>Inflasi Normal</v>
      </c>
      <c r="L2823" s="84">
        <f t="shared" si="4"/>
        <v>0.02</v>
      </c>
      <c r="M2823" s="88" t="str">
        <f t="shared" si="5"/>
        <v>Perubahan Normal</v>
      </c>
    </row>
    <row r="2824" ht="18.75" customHeight="1">
      <c r="A2824" s="80" t="s">
        <v>495</v>
      </c>
      <c r="B2824" s="81" t="str">
        <f t="shared" si="1"/>
        <v>Kota Medan</v>
      </c>
      <c r="C2824" s="81" t="str">
        <f t="array" ref="C2824">XLOOKUP(B2824,Reference!$A$2:$A$152,Reference!$B$2:$B$152)</f>
        <v>Sumatera Utara</v>
      </c>
      <c r="D2824" s="82" t="s">
        <v>3263</v>
      </c>
      <c r="E2824" s="83">
        <v>45352.0</v>
      </c>
      <c r="F2824" s="84" t="str">
        <f t="array" ref="F2824">XLOOKUP(G2824,Reference!$F:$F,Reference!$D:$D,"null")</f>
        <v>Pendidikan dan Kesehatan</v>
      </c>
      <c r="G2824" s="89" t="s">
        <v>98</v>
      </c>
      <c r="H2824" s="90">
        <v>102.45</v>
      </c>
      <c r="I2824" s="90">
        <v>102.45</v>
      </c>
      <c r="J2824" s="87">
        <f t="shared" si="2"/>
        <v>0</v>
      </c>
      <c r="K2824" s="84" t="str">
        <f t="shared" si="3"/>
        <v>Stabil</v>
      </c>
      <c r="L2824" s="91">
        <f t="shared" si="4"/>
        <v>0</v>
      </c>
      <c r="M2824" s="88" t="str">
        <f t="shared" si="5"/>
        <v>Perubahan Normal</v>
      </c>
    </row>
    <row r="2825" ht="18.75" customHeight="1">
      <c r="A2825" s="80" t="s">
        <v>419</v>
      </c>
      <c r="B2825" s="81" t="str">
        <f t="shared" si="1"/>
        <v>Kota Singkawang</v>
      </c>
      <c r="C2825" s="81" t="str">
        <f t="array" ref="C2825">XLOOKUP(B2825,Reference!$A$2:$A$152,Reference!$B$2:$B$152)</f>
        <v>Kalimantan Barat</v>
      </c>
      <c r="D2825" s="82" t="s">
        <v>3264</v>
      </c>
      <c r="E2825" s="83">
        <v>45352.0</v>
      </c>
      <c r="F2825" s="84" t="str">
        <f t="array" ref="F2825">XLOOKUP(G2825,Reference!$F:$F,Reference!$D:$D,"null")</f>
        <v>Makanan dan Pakaian </v>
      </c>
      <c r="G2825" s="85" t="s">
        <v>72</v>
      </c>
      <c r="H2825" s="86">
        <v>100.13</v>
      </c>
      <c r="I2825" s="86">
        <v>100.13</v>
      </c>
      <c r="J2825" s="87">
        <f t="shared" si="2"/>
        <v>0</v>
      </c>
      <c r="K2825" s="84" t="str">
        <f t="shared" si="3"/>
        <v>Stabil</v>
      </c>
      <c r="L2825" s="84">
        <f t="shared" si="4"/>
        <v>0</v>
      </c>
      <c r="M2825" s="88" t="str">
        <f t="shared" si="5"/>
        <v>Perubahan Normal</v>
      </c>
    </row>
    <row r="2826" ht="18.75" customHeight="1">
      <c r="A2826" s="80" t="s">
        <v>483</v>
      </c>
      <c r="B2826" s="81" t="str">
        <f t="shared" si="1"/>
        <v>Kota Padangsidimpuan</v>
      </c>
      <c r="C2826" s="81" t="str">
        <f t="array" ref="C2826">XLOOKUP(B2826,Reference!$A$2:$A$152,Reference!$B$2:$B$152)</f>
        <v>Sumatera Utara</v>
      </c>
      <c r="D2826" s="82" t="s">
        <v>3265</v>
      </c>
      <c r="E2826" s="83">
        <v>45323.0</v>
      </c>
      <c r="F2826" s="84" t="str">
        <f t="array" ref="F2826">XLOOKUP(G2826,Reference!$F:$F,Reference!$D:$D,"null")</f>
        <v>Pendidikan dan Kesehatan</v>
      </c>
      <c r="G2826" s="85" t="s">
        <v>95</v>
      </c>
      <c r="H2826" s="86">
        <v>101.74</v>
      </c>
      <c r="I2826" s="86">
        <v>101.74</v>
      </c>
      <c r="J2826" s="87">
        <f t="shared" si="2"/>
        <v>0</v>
      </c>
      <c r="K2826" s="84" t="str">
        <f t="shared" si="3"/>
        <v>Stabil</v>
      </c>
      <c r="L2826" s="84">
        <f t="shared" si="4"/>
        <v>0</v>
      </c>
      <c r="M2826" s="88" t="str">
        <f t="shared" si="5"/>
        <v>Perubahan Normal</v>
      </c>
    </row>
    <row r="2827" ht="18.75" customHeight="1">
      <c r="A2827" s="80" t="s">
        <v>406</v>
      </c>
      <c r="B2827" s="81" t="str">
        <f t="shared" si="1"/>
        <v>Kota Tasikmalaya</v>
      </c>
      <c r="C2827" s="81" t="str">
        <f t="array" ref="C2827">XLOOKUP(B2827,Reference!$A$2:$A$152,Reference!$B$2:$B$152)</f>
        <v>Jawa Barat</v>
      </c>
      <c r="D2827" s="82" t="s">
        <v>3266</v>
      </c>
      <c r="E2827" s="83">
        <v>45352.0</v>
      </c>
      <c r="F2827" s="84" t="str">
        <f t="array" ref="F2827">XLOOKUP(G2827,Reference!$F:$F,Reference!$D:$D,"null")</f>
        <v>Rumah Tangga</v>
      </c>
      <c r="G2827" s="85" t="s">
        <v>80</v>
      </c>
      <c r="H2827" s="86">
        <v>100.04</v>
      </c>
      <c r="I2827" s="86">
        <v>100.04</v>
      </c>
      <c r="J2827" s="87">
        <f t="shared" si="2"/>
        <v>0</v>
      </c>
      <c r="K2827" s="84" t="str">
        <f t="shared" si="3"/>
        <v>Stabil</v>
      </c>
      <c r="L2827" s="84">
        <f t="shared" si="4"/>
        <v>0</v>
      </c>
      <c r="M2827" s="88" t="str">
        <f t="shared" si="5"/>
        <v>Perubahan Normal</v>
      </c>
    </row>
    <row r="2828" ht="18.75" customHeight="1">
      <c r="A2828" s="80" t="s">
        <v>460</v>
      </c>
      <c r="B2828" s="81" t="str">
        <f t="shared" si="1"/>
        <v>Kab Kayong Utara</v>
      </c>
      <c r="C2828" s="81" t="str">
        <f t="array" ref="C2828">XLOOKUP(B2828,Reference!$A$2:$A$152,Reference!$B$2:$B$152)</f>
        <v>Kalimantan Barat</v>
      </c>
      <c r="D2828" s="82" t="s">
        <v>3267</v>
      </c>
      <c r="E2828" s="83">
        <v>45352.0</v>
      </c>
      <c r="F2828" s="84" t="str">
        <f t="array" ref="F2828">XLOOKUP(G2828,Reference!$F:$F,Reference!$D:$D,"null")</f>
        <v>Rumah Tangga</v>
      </c>
      <c r="G2828" s="85" t="s">
        <v>84</v>
      </c>
      <c r="H2828" s="86">
        <v>102.61</v>
      </c>
      <c r="I2828" s="86">
        <v>102.66</v>
      </c>
      <c r="J2828" s="87">
        <f t="shared" si="2"/>
        <v>-0.04870446133</v>
      </c>
      <c r="K2828" s="84" t="str">
        <f t="shared" si="3"/>
        <v>Deflasi</v>
      </c>
      <c r="L2828" s="84">
        <f t="shared" si="4"/>
        <v>-0.05</v>
      </c>
      <c r="M2828" s="88" t="str">
        <f t="shared" si="5"/>
        <v>Perubahan Normal</v>
      </c>
    </row>
    <row r="2829" ht="18.75" customHeight="1">
      <c r="A2829" s="80" t="s">
        <v>478</v>
      </c>
      <c r="B2829" s="81" t="str">
        <f t="shared" si="1"/>
        <v>Kab Maluku Tengah</v>
      </c>
      <c r="C2829" s="81" t="str">
        <f t="array" ref="C2829">XLOOKUP(B2829,Reference!$A$2:$A$152,Reference!$B$2:$B$152)</f>
        <v>Maluku</v>
      </c>
      <c r="D2829" s="82" t="s">
        <v>3268</v>
      </c>
      <c r="E2829" s="83">
        <v>45352.0</v>
      </c>
      <c r="F2829" s="84" t="str">
        <f t="array" ref="F2829">XLOOKUP(G2829,Reference!$F:$F,Reference!$D:$D,"null")</f>
        <v>Pendidikan dan Kesehatan</v>
      </c>
      <c r="G2829" s="85" t="s">
        <v>98</v>
      </c>
      <c r="H2829" s="86">
        <v>140.62</v>
      </c>
      <c r="I2829" s="86">
        <v>139.2</v>
      </c>
      <c r="J2829" s="87">
        <f t="shared" si="2"/>
        <v>1.020114943</v>
      </c>
      <c r="K2829" s="84" t="str">
        <f t="shared" si="3"/>
        <v>Inflasi Tinggi</v>
      </c>
      <c r="L2829" s="84">
        <f t="shared" si="4"/>
        <v>1.42</v>
      </c>
      <c r="M2829" s="88" t="str">
        <f t="shared" si="5"/>
        <v>Akselerasi Persentase</v>
      </c>
    </row>
    <row r="2830" ht="18.75" customHeight="1">
      <c r="A2830" s="80" t="s">
        <v>706</v>
      </c>
      <c r="B2830" s="81" t="str">
        <f t="shared" si="1"/>
        <v>Kota Makassar</v>
      </c>
      <c r="C2830" s="81" t="str">
        <f t="array" ref="C2830">XLOOKUP(B2830,Reference!$A$2:$A$152,Reference!$B$2:$B$152)</f>
        <v>Sulawesi Selatan</v>
      </c>
      <c r="D2830" s="82" t="s">
        <v>3269</v>
      </c>
      <c r="E2830" s="83">
        <v>45352.0</v>
      </c>
      <c r="F2830" s="84" t="str">
        <f t="array" ref="F2830">XLOOKUP(G2830,Reference!$F:$F,Reference!$D:$D,"null")</f>
        <v>Makanan dan Pakaian </v>
      </c>
      <c r="G2830" s="85" t="s">
        <v>56</v>
      </c>
      <c r="H2830" s="86">
        <v>105.07</v>
      </c>
      <c r="I2830" s="86">
        <v>105.5</v>
      </c>
      <c r="J2830" s="87">
        <f t="shared" si="2"/>
        <v>-0.4075829384</v>
      </c>
      <c r="K2830" s="84" t="str">
        <f t="shared" si="3"/>
        <v>Deflasi</v>
      </c>
      <c r="L2830" s="84">
        <f t="shared" si="4"/>
        <v>-0.43</v>
      </c>
      <c r="M2830" s="88" t="str">
        <f t="shared" si="5"/>
        <v>Perubahan Normal</v>
      </c>
    </row>
    <row r="2831" ht="18.75" customHeight="1">
      <c r="A2831" s="80" t="s">
        <v>395</v>
      </c>
      <c r="B2831" s="81" t="str">
        <f t="shared" si="1"/>
        <v>Kota Bukittinggi</v>
      </c>
      <c r="C2831" s="81" t="str">
        <f t="array" ref="C2831">XLOOKUP(B2831,Reference!$A$2:$A$152,Reference!$B$2:$B$152)</f>
        <v>Sumatera Barat</v>
      </c>
      <c r="D2831" s="82" t="s">
        <v>3270</v>
      </c>
      <c r="E2831" s="83">
        <v>45323.0</v>
      </c>
      <c r="F2831" s="84" t="str">
        <f t="array" ref="F2831">XLOOKUP(G2831,Reference!$F:$F,Reference!$D:$D,"null")</f>
        <v>Rekreasi dan Kendaraan</v>
      </c>
      <c r="G2831" s="85" t="s">
        <v>105</v>
      </c>
      <c r="H2831" s="86">
        <v>105.7</v>
      </c>
      <c r="I2831" s="86">
        <v>105.7</v>
      </c>
      <c r="J2831" s="87">
        <f t="shared" si="2"/>
        <v>0</v>
      </c>
      <c r="K2831" s="84" t="str">
        <f t="shared" si="3"/>
        <v>Stabil</v>
      </c>
      <c r="L2831" s="84">
        <f t="shared" si="4"/>
        <v>0</v>
      </c>
      <c r="M2831" s="88" t="str">
        <f t="shared" si="5"/>
        <v>Perubahan Normal</v>
      </c>
    </row>
    <row r="2832" ht="18.75" customHeight="1">
      <c r="A2832" s="80" t="s">
        <v>576</v>
      </c>
      <c r="B2832" s="81" t="str">
        <f t="shared" si="1"/>
        <v>Kab Tabanan</v>
      </c>
      <c r="C2832" s="81" t="str">
        <f t="array" ref="C2832">XLOOKUP(B2832,Reference!$A$2:$A$152,Reference!$B$2:$B$152)</f>
        <v>Bali</v>
      </c>
      <c r="D2832" s="82" t="s">
        <v>3271</v>
      </c>
      <c r="E2832" s="83">
        <v>45323.0</v>
      </c>
      <c r="F2832" s="84" t="str">
        <f t="array" ref="F2832">XLOOKUP(G2832,Reference!$F:$F,Reference!$D:$D,"null")</f>
        <v>Pendidikan dan Kesehatan</v>
      </c>
      <c r="G2832" s="85" t="s">
        <v>98</v>
      </c>
      <c r="H2832" s="86">
        <v>108.82</v>
      </c>
      <c r="I2832" s="86">
        <v>108.7</v>
      </c>
      <c r="J2832" s="87">
        <f t="shared" si="2"/>
        <v>0.1103955842</v>
      </c>
      <c r="K2832" s="84" t="str">
        <f t="shared" si="3"/>
        <v>Inflasi Normal</v>
      </c>
      <c r="L2832" s="84">
        <f t="shared" si="4"/>
        <v>0.12</v>
      </c>
      <c r="M2832" s="88" t="str">
        <f t="shared" si="5"/>
        <v>Perubahan Normal</v>
      </c>
    </row>
    <row r="2833" ht="18.75" customHeight="1">
      <c r="A2833" s="80" t="s">
        <v>905</v>
      </c>
      <c r="B2833" s="81" t="str">
        <f t="shared" si="1"/>
        <v>Kota Ambon</v>
      </c>
      <c r="C2833" s="81" t="str">
        <f t="array" ref="C2833">XLOOKUP(B2833,Reference!$A$2:$A$152,Reference!$B$2:$B$152)</f>
        <v>Maluku</v>
      </c>
      <c r="D2833" s="82" t="s">
        <v>3272</v>
      </c>
      <c r="E2833" s="83">
        <v>45323.0</v>
      </c>
      <c r="F2833" s="84" t="str">
        <f t="array" ref="F2833">XLOOKUP(G2833,Reference!$F:$F,Reference!$D:$D,"null")</f>
        <v>Rumah Tangga</v>
      </c>
      <c r="G2833" s="85" t="s">
        <v>80</v>
      </c>
      <c r="H2833" s="86">
        <v>100.62</v>
      </c>
      <c r="I2833" s="86">
        <v>100.62</v>
      </c>
      <c r="J2833" s="87">
        <f t="shared" si="2"/>
        <v>0</v>
      </c>
      <c r="K2833" s="84" t="str">
        <f t="shared" si="3"/>
        <v>Stabil</v>
      </c>
      <c r="L2833" s="84">
        <f t="shared" si="4"/>
        <v>0</v>
      </c>
      <c r="M2833" s="88" t="str">
        <f t="shared" si="5"/>
        <v>Perubahan Normal</v>
      </c>
    </row>
    <row r="2834" ht="18.75" customHeight="1">
      <c r="A2834" s="80" t="s">
        <v>524</v>
      </c>
      <c r="B2834" s="81" t="str">
        <f t="shared" si="1"/>
        <v>Kudus</v>
      </c>
      <c r="C2834" s="81" t="str">
        <f t="array" ref="C2834">XLOOKUP(B2834,Reference!$A$2:$A$152,Reference!$B$2:$B$152)</f>
        <v>Jawa Tengah</v>
      </c>
      <c r="D2834" s="82" t="s">
        <v>3273</v>
      </c>
      <c r="E2834" s="83">
        <v>45323.0</v>
      </c>
      <c r="F2834" s="84" t="str">
        <f t="array" ref="F2834">XLOOKUP(G2834,Reference!$F:$F,Reference!$D:$D,"null")</f>
        <v>Makanan dan Pakaian </v>
      </c>
      <c r="G2834" s="85" t="s">
        <v>56</v>
      </c>
      <c r="H2834" s="86">
        <v>103.61</v>
      </c>
      <c r="I2834" s="86">
        <v>103.88</v>
      </c>
      <c r="J2834" s="87">
        <f t="shared" si="2"/>
        <v>-0.2599152869</v>
      </c>
      <c r="K2834" s="84" t="str">
        <f t="shared" si="3"/>
        <v>Deflasi</v>
      </c>
      <c r="L2834" s="84">
        <f t="shared" si="4"/>
        <v>-0.27</v>
      </c>
      <c r="M2834" s="88" t="str">
        <f t="shared" si="5"/>
        <v>Perubahan Normal</v>
      </c>
    </row>
    <row r="2835" ht="18.75" customHeight="1">
      <c r="A2835" s="80" t="s">
        <v>925</v>
      </c>
      <c r="B2835" s="81" t="str">
        <f t="shared" si="1"/>
        <v>Kota Jakarta</v>
      </c>
      <c r="C2835" s="81" t="str">
        <f t="array" ref="C2835">XLOOKUP(B2835,Reference!$A$2:$A$152,Reference!$B$2:$B$152)</f>
        <v>DKI Jakarta</v>
      </c>
      <c r="D2835" s="82" t="s">
        <v>3274</v>
      </c>
      <c r="E2835" s="83">
        <v>45323.0</v>
      </c>
      <c r="F2835" s="84" t="str">
        <f t="array" ref="F2835">XLOOKUP(G2835,Reference!$F:$F,Reference!$D:$D,"null")</f>
        <v>Pendidikan dan Kesehatan</v>
      </c>
      <c r="G2835" s="85" t="s">
        <v>95</v>
      </c>
      <c r="H2835" s="86">
        <v>102.36</v>
      </c>
      <c r="I2835" s="86">
        <v>102.36</v>
      </c>
      <c r="J2835" s="87">
        <f t="shared" si="2"/>
        <v>0</v>
      </c>
      <c r="K2835" s="84" t="str">
        <f t="shared" si="3"/>
        <v>Stabil</v>
      </c>
      <c r="L2835" s="84">
        <f t="shared" si="4"/>
        <v>0</v>
      </c>
      <c r="M2835" s="88" t="str">
        <f t="shared" si="5"/>
        <v>Perubahan Normal</v>
      </c>
    </row>
    <row r="2836" ht="18.75" customHeight="1">
      <c r="A2836" s="80" t="s">
        <v>512</v>
      </c>
      <c r="B2836" s="81" t="str">
        <f t="shared" si="1"/>
        <v>Kota Palu</v>
      </c>
      <c r="C2836" s="81" t="str">
        <f t="array" ref="C2836">XLOOKUP(B2836,Reference!$A$2:$A$152,Reference!$B$2:$B$152)</f>
        <v>Sulawesi Tengah</v>
      </c>
      <c r="D2836" s="82" t="s">
        <v>3275</v>
      </c>
      <c r="E2836" s="83">
        <v>45352.0</v>
      </c>
      <c r="F2836" s="84" t="str">
        <f t="array" ref="F2836">XLOOKUP(G2836,Reference!$F:$F,Reference!$D:$D,"null")</f>
        <v>Rekreasi dan Kendaraan</v>
      </c>
      <c r="G2836" s="85" t="s">
        <v>105</v>
      </c>
      <c r="H2836" s="86">
        <v>102.69</v>
      </c>
      <c r="I2836" s="86">
        <v>102.35</v>
      </c>
      <c r="J2836" s="87">
        <f t="shared" si="2"/>
        <v>0.3321934538</v>
      </c>
      <c r="K2836" s="84" t="str">
        <f t="shared" si="3"/>
        <v>Inflasi Normal</v>
      </c>
      <c r="L2836" s="84">
        <f t="shared" si="4"/>
        <v>0.34</v>
      </c>
      <c r="M2836" s="88" t="str">
        <f t="shared" si="5"/>
        <v>Perubahan Normal</v>
      </c>
    </row>
    <row r="2837" ht="18.75" customHeight="1">
      <c r="A2837" s="80" t="s">
        <v>634</v>
      </c>
      <c r="B2837" s="81" t="str">
        <f t="shared" si="1"/>
        <v>Kota Depok</v>
      </c>
      <c r="C2837" s="81" t="str">
        <f t="array" ref="C2837">XLOOKUP(B2837,Reference!$A$2:$A$152,Reference!$B$2:$B$152)</f>
        <v>Jawa Barat</v>
      </c>
      <c r="D2837" s="82" t="s">
        <v>3276</v>
      </c>
      <c r="E2837" s="83">
        <v>45323.0</v>
      </c>
      <c r="F2837" s="84" t="str">
        <f t="array" ref="F2837">XLOOKUP(G2837,Reference!$F:$F,Reference!$D:$D,"null")</f>
        <v>Rumah Tangga</v>
      </c>
      <c r="G2837" s="89" t="s">
        <v>89</v>
      </c>
      <c r="H2837" s="90">
        <v>104.4</v>
      </c>
      <c r="I2837" s="90">
        <v>104.4</v>
      </c>
      <c r="J2837" s="87">
        <f t="shared" si="2"/>
        <v>0</v>
      </c>
      <c r="K2837" s="84" t="str">
        <f t="shared" si="3"/>
        <v>Stabil</v>
      </c>
      <c r="L2837" s="91">
        <f t="shared" si="4"/>
        <v>0</v>
      </c>
      <c r="M2837" s="88" t="str">
        <f t="shared" si="5"/>
        <v>Perubahan Normal</v>
      </c>
    </row>
    <row r="2838" ht="18.75" customHeight="1">
      <c r="A2838" s="80" t="s">
        <v>333</v>
      </c>
      <c r="B2838" s="81" t="str">
        <f t="shared" si="1"/>
        <v>Kab Pasaman Barat</v>
      </c>
      <c r="C2838" s="81" t="str">
        <f t="array" ref="C2838">XLOOKUP(B2838,Reference!$A$2:$A$152,Reference!$B$2:$B$152)</f>
        <v>Sumatera Barat</v>
      </c>
      <c r="D2838" s="82" t="s">
        <v>3277</v>
      </c>
      <c r="E2838" s="83">
        <v>45352.0</v>
      </c>
      <c r="F2838" s="84" t="str">
        <f t="array" ref="F2838">XLOOKUP(G2838,Reference!$F:$F,Reference!$D:$D,"null")</f>
        <v>Makanan dan Pakaian </v>
      </c>
      <c r="G2838" s="89" t="s">
        <v>48</v>
      </c>
      <c r="H2838" s="90">
        <v>118.19</v>
      </c>
      <c r="I2838" s="90">
        <v>115.72</v>
      </c>
      <c r="J2838" s="87">
        <f t="shared" si="2"/>
        <v>2.134462496</v>
      </c>
      <c r="K2838" s="84" t="str">
        <f t="shared" si="3"/>
        <v>Inflasi Tinggi</v>
      </c>
      <c r="L2838" s="91">
        <f t="shared" si="4"/>
        <v>2.47</v>
      </c>
      <c r="M2838" s="88" t="str">
        <f t="shared" si="5"/>
        <v>Akselerasi Kuat</v>
      </c>
    </row>
    <row r="2839" ht="18.75" customHeight="1">
      <c r="A2839" s="80" t="s">
        <v>526</v>
      </c>
      <c r="B2839" s="81" t="str">
        <f t="shared" si="1"/>
        <v>Maumere</v>
      </c>
      <c r="C2839" s="81" t="str">
        <f t="array" ref="C2839">XLOOKUP(B2839,Reference!$A$2:$A$152,Reference!$B$2:$B$152)</f>
        <v>Nusa Tenggara Timur (NTT)</v>
      </c>
      <c r="D2839" s="82" t="s">
        <v>3278</v>
      </c>
      <c r="E2839" s="83">
        <v>45352.0</v>
      </c>
      <c r="F2839" s="84" t="str">
        <f t="array" ref="F2839">XLOOKUP(G2839,Reference!$F:$F,Reference!$D:$D,"null")</f>
        <v>Pendidikan dan Kesehatan</v>
      </c>
      <c r="G2839" s="85" t="s">
        <v>98</v>
      </c>
      <c r="H2839" s="86">
        <v>103.79</v>
      </c>
      <c r="I2839" s="86">
        <v>103.97</v>
      </c>
      <c r="J2839" s="87">
        <f t="shared" si="2"/>
        <v>-0.1731268635</v>
      </c>
      <c r="K2839" s="84" t="str">
        <f t="shared" si="3"/>
        <v>Deflasi</v>
      </c>
      <c r="L2839" s="84">
        <f t="shared" si="4"/>
        <v>-0.18</v>
      </c>
      <c r="M2839" s="88" t="str">
        <f t="shared" si="5"/>
        <v>Perubahan Normal</v>
      </c>
    </row>
    <row r="2840" ht="18.75" customHeight="1">
      <c r="A2840" s="80" t="s">
        <v>304</v>
      </c>
      <c r="B2840" s="81" t="str">
        <f t="shared" si="1"/>
        <v>Kota Kediri</v>
      </c>
      <c r="C2840" s="81" t="str">
        <f t="array" ref="C2840">XLOOKUP(B2840,Reference!$A$2:$A$152,Reference!$B$2:$B$152)</f>
        <v>Jawa Timur</v>
      </c>
      <c r="D2840" s="82" t="s">
        <v>3279</v>
      </c>
      <c r="E2840" s="83">
        <v>45352.0</v>
      </c>
      <c r="F2840" s="84" t="str">
        <f t="array" ref="F2840">XLOOKUP(G2840,Reference!$F:$F,Reference!$D:$D,"null")</f>
        <v>Rumah Tangga</v>
      </c>
      <c r="G2840" s="85" t="s">
        <v>80</v>
      </c>
      <c r="H2840" s="86">
        <v>101.36</v>
      </c>
      <c r="I2840" s="86">
        <v>101.36</v>
      </c>
      <c r="J2840" s="87">
        <f t="shared" si="2"/>
        <v>0</v>
      </c>
      <c r="K2840" s="84" t="str">
        <f t="shared" si="3"/>
        <v>Stabil</v>
      </c>
      <c r="L2840" s="84">
        <f t="shared" si="4"/>
        <v>0</v>
      </c>
      <c r="M2840" s="88" t="str">
        <f t="shared" si="5"/>
        <v>Perubahan Normal</v>
      </c>
    </row>
    <row r="2841" ht="18.75" customHeight="1">
      <c r="A2841" s="80" t="s">
        <v>300</v>
      </c>
      <c r="B2841" s="81" t="str">
        <f t="shared" si="1"/>
        <v>Sintang</v>
      </c>
      <c r="C2841" s="81" t="str">
        <f t="array" ref="C2841">XLOOKUP(B2841,Reference!$A$2:$A$152,Reference!$B$2:$B$152)</f>
        <v>Kalimantan Barat</v>
      </c>
      <c r="D2841" s="82" t="s">
        <v>3280</v>
      </c>
      <c r="E2841" s="83">
        <v>45323.0</v>
      </c>
      <c r="F2841" s="84" t="str">
        <f t="array" ref="F2841">XLOOKUP(G2841,Reference!$F:$F,Reference!$D:$D,"null")</f>
        <v>Rekreasi dan Kendaraan</v>
      </c>
      <c r="G2841" s="85" t="s">
        <v>102</v>
      </c>
      <c r="H2841" s="86">
        <v>103.21</v>
      </c>
      <c r="I2841" s="86">
        <v>102.78</v>
      </c>
      <c r="J2841" s="87">
        <f t="shared" si="2"/>
        <v>0.4183693326</v>
      </c>
      <c r="K2841" s="84" t="str">
        <f t="shared" si="3"/>
        <v>Inflasi Normal</v>
      </c>
      <c r="L2841" s="84">
        <f t="shared" si="4"/>
        <v>0.43</v>
      </c>
      <c r="M2841" s="88" t="str">
        <f t="shared" si="5"/>
        <v>Perubahan Normal</v>
      </c>
    </row>
    <row r="2842" ht="18.75" customHeight="1">
      <c r="A2842" s="80" t="s">
        <v>762</v>
      </c>
      <c r="B2842" s="81" t="str">
        <f t="shared" si="1"/>
        <v>Kota Pangkal Pinang</v>
      </c>
      <c r="C2842" s="81" t="str">
        <f t="array" ref="C2842">XLOOKUP(B2842,Reference!$A$2:$A$152,Reference!$B$2:$B$152)</f>
        <v>Kepulauan Bangka Belitung</v>
      </c>
      <c r="D2842" s="82" t="s">
        <v>3281</v>
      </c>
      <c r="E2842" s="83">
        <v>45352.0</v>
      </c>
      <c r="F2842" s="84" t="str">
        <f t="array" ref="F2842">XLOOKUP(G2842,Reference!$F:$F,Reference!$D:$D,"null")</f>
        <v>Rekreasi dan Kendaraan</v>
      </c>
      <c r="G2842" s="85" t="s">
        <v>102</v>
      </c>
      <c r="H2842" s="86">
        <v>103.24</v>
      </c>
      <c r="I2842" s="86">
        <v>103.24</v>
      </c>
      <c r="J2842" s="87">
        <f t="shared" si="2"/>
        <v>0</v>
      </c>
      <c r="K2842" s="84" t="str">
        <f t="shared" si="3"/>
        <v>Stabil</v>
      </c>
      <c r="L2842" s="84">
        <f t="shared" si="4"/>
        <v>0</v>
      </c>
      <c r="M2842" s="88" t="str">
        <f t="shared" si="5"/>
        <v>Perubahan Normal</v>
      </c>
    </row>
    <row r="2843" ht="18.75" customHeight="1">
      <c r="A2843" s="80" t="s">
        <v>529</v>
      </c>
      <c r="B2843" s="81" t="str">
        <f t="shared" si="1"/>
        <v>Kota Yogyakarta</v>
      </c>
      <c r="C2843" s="81" t="str">
        <f t="array" ref="C2843">XLOOKUP(B2843,Reference!$A$2:$A$152,Reference!$B$2:$B$152)</f>
        <v>D.I. Yogyakarta</v>
      </c>
      <c r="D2843" s="82" t="s">
        <v>3282</v>
      </c>
      <c r="E2843" s="83">
        <v>45352.0</v>
      </c>
      <c r="F2843" s="84" t="str">
        <f t="array" ref="F2843">XLOOKUP(G2843,Reference!$F:$F,Reference!$D:$D,"null")</f>
        <v>Makanan dan Pakaian </v>
      </c>
      <c r="G2843" s="85" t="s">
        <v>56</v>
      </c>
      <c r="H2843" s="86">
        <v>107.11</v>
      </c>
      <c r="I2843" s="86">
        <v>107.1</v>
      </c>
      <c r="J2843" s="87">
        <f t="shared" si="2"/>
        <v>0.009337068161</v>
      </c>
      <c r="K2843" s="84" t="str">
        <f t="shared" si="3"/>
        <v>Inflasi Normal</v>
      </c>
      <c r="L2843" s="84">
        <f t="shared" si="4"/>
        <v>0.01</v>
      </c>
      <c r="M2843" s="88" t="str">
        <f t="shared" si="5"/>
        <v>Perubahan Normal</v>
      </c>
    </row>
    <row r="2844" ht="18.75" customHeight="1">
      <c r="A2844" s="80" t="s">
        <v>450</v>
      </c>
      <c r="B2844" s="81" t="str">
        <f t="shared" si="1"/>
        <v>Waingapu</v>
      </c>
      <c r="C2844" s="81" t="str">
        <f t="array" ref="C2844">XLOOKUP(B2844,Reference!$A$2:$A$152,Reference!$B$2:$B$152)</f>
        <v>Nusa Tenggara Timur (NTT)</v>
      </c>
      <c r="D2844" s="82" t="s">
        <v>3283</v>
      </c>
      <c r="E2844" s="83">
        <v>45352.0</v>
      </c>
      <c r="F2844" s="84" t="str">
        <f t="array" ref="F2844">XLOOKUP(G2844,Reference!$F:$F,Reference!$D:$D,"null")</f>
        <v>Rekreasi dan Kendaraan</v>
      </c>
      <c r="G2844" s="85" t="s">
        <v>105</v>
      </c>
      <c r="H2844" s="86">
        <v>105.62</v>
      </c>
      <c r="I2844" s="86">
        <v>105.63</v>
      </c>
      <c r="J2844" s="87">
        <f t="shared" si="2"/>
        <v>-0.009467007479</v>
      </c>
      <c r="K2844" s="84" t="str">
        <f t="shared" si="3"/>
        <v>Deflasi</v>
      </c>
      <c r="L2844" s="84">
        <f t="shared" si="4"/>
        <v>-0.01</v>
      </c>
      <c r="M2844" s="88" t="str">
        <f t="shared" si="5"/>
        <v>Perubahan Normal</v>
      </c>
    </row>
    <row r="2845" ht="18.75" customHeight="1">
      <c r="A2845" s="80" t="s">
        <v>727</v>
      </c>
      <c r="B2845" s="81" t="str">
        <f t="shared" si="1"/>
        <v>Kab Badung</v>
      </c>
      <c r="C2845" s="81" t="str">
        <f t="array" ref="C2845">XLOOKUP(B2845,Reference!$A$2:$A$152,Reference!$B$2:$B$152)</f>
        <v>Bali</v>
      </c>
      <c r="D2845" s="82" t="s">
        <v>3284</v>
      </c>
      <c r="E2845" s="83">
        <v>45323.0</v>
      </c>
      <c r="F2845" s="84" t="str">
        <f t="array" ref="F2845">XLOOKUP(G2845,Reference!$F:$F,Reference!$D:$D,"null")</f>
        <v>Pendidikan dan Kesehatan</v>
      </c>
      <c r="G2845" s="85" t="s">
        <v>98</v>
      </c>
      <c r="H2845" s="86">
        <v>100.6</v>
      </c>
      <c r="I2845" s="86">
        <v>100.47</v>
      </c>
      <c r="J2845" s="87">
        <f t="shared" si="2"/>
        <v>0.1293918583</v>
      </c>
      <c r="K2845" s="84" t="str">
        <f t="shared" si="3"/>
        <v>Inflasi Normal</v>
      </c>
      <c r="L2845" s="84">
        <f t="shared" si="4"/>
        <v>0.13</v>
      </c>
      <c r="M2845" s="88" t="str">
        <f t="shared" si="5"/>
        <v>Perubahan Normal</v>
      </c>
    </row>
    <row r="2846" ht="18.75" customHeight="1">
      <c r="A2846" s="80" t="s">
        <v>478</v>
      </c>
      <c r="B2846" s="81" t="str">
        <f t="shared" si="1"/>
        <v>Kab Maluku Tengah</v>
      </c>
      <c r="C2846" s="81" t="str">
        <f t="array" ref="C2846">XLOOKUP(B2846,Reference!$A$2:$A$152,Reference!$B$2:$B$152)</f>
        <v>Maluku</v>
      </c>
      <c r="D2846" s="82" t="s">
        <v>3285</v>
      </c>
      <c r="E2846" s="83">
        <v>45323.0</v>
      </c>
      <c r="F2846" s="84" t="str">
        <f t="array" ref="F2846">XLOOKUP(G2846,Reference!$F:$F,Reference!$D:$D,"null")</f>
        <v>Pendidikan dan Kesehatan</v>
      </c>
      <c r="G2846" s="85" t="s">
        <v>95</v>
      </c>
      <c r="H2846" s="86">
        <v>100.0</v>
      </c>
      <c r="I2846" s="86">
        <v>100.0</v>
      </c>
      <c r="J2846" s="87">
        <f t="shared" si="2"/>
        <v>0</v>
      </c>
      <c r="K2846" s="84" t="str">
        <f t="shared" si="3"/>
        <v>Stabil</v>
      </c>
      <c r="L2846" s="84">
        <f t="shared" si="4"/>
        <v>0</v>
      </c>
      <c r="M2846" s="88" t="str">
        <f t="shared" si="5"/>
        <v>Perubahan Normal</v>
      </c>
    </row>
    <row r="2847" ht="18.75" customHeight="1">
      <c r="A2847" s="80" t="s">
        <v>656</v>
      </c>
      <c r="B2847" s="81" t="str">
        <f t="shared" si="1"/>
        <v>Kota Palopo</v>
      </c>
      <c r="C2847" s="81" t="str">
        <f t="array" ref="C2847">XLOOKUP(B2847,Reference!$A$2:$A$152,Reference!$B$2:$B$152)</f>
        <v>Sulawesi Selatan</v>
      </c>
      <c r="D2847" s="82" t="s">
        <v>3286</v>
      </c>
      <c r="E2847" s="83">
        <v>45323.0</v>
      </c>
      <c r="F2847" s="84" t="str">
        <f t="array" ref="F2847">XLOOKUP(G2847,Reference!$F:$F,Reference!$D:$D,"null")</f>
        <v>Makanan dan Pakaian </v>
      </c>
      <c r="G2847" s="85" t="s">
        <v>48</v>
      </c>
      <c r="H2847" s="86">
        <v>110.0</v>
      </c>
      <c r="I2847" s="86">
        <v>109.17</v>
      </c>
      <c r="J2847" s="87">
        <f t="shared" si="2"/>
        <v>0.7602821288</v>
      </c>
      <c r="K2847" s="84" t="str">
        <f t="shared" si="3"/>
        <v>Inflasi Tinggi</v>
      </c>
      <c r="L2847" s="84">
        <f t="shared" si="4"/>
        <v>0.83</v>
      </c>
      <c r="M2847" s="88" t="str">
        <f t="shared" si="5"/>
        <v>Akselerasi Persentase</v>
      </c>
    </row>
    <row r="2848" ht="18.75" customHeight="1">
      <c r="A2848" s="80" t="s">
        <v>806</v>
      </c>
      <c r="B2848" s="81" t="str">
        <f t="shared" si="1"/>
        <v>Kab Subang</v>
      </c>
      <c r="C2848" s="81" t="str">
        <f t="array" ref="C2848">XLOOKUP(B2848,Reference!$A$2:$A$152,Reference!$B$2:$B$152)</f>
        <v>Jawa Barat</v>
      </c>
      <c r="D2848" s="82" t="s">
        <v>3287</v>
      </c>
      <c r="E2848" s="83">
        <v>45352.0</v>
      </c>
      <c r="F2848" s="84" t="str">
        <f t="array" ref="F2848">XLOOKUP(G2848,Reference!$F:$F,Reference!$D:$D,"null")</f>
        <v>Makanan dan Pakaian </v>
      </c>
      <c r="G2848" s="85" t="s">
        <v>64</v>
      </c>
      <c r="H2848" s="86">
        <v>106.0</v>
      </c>
      <c r="I2848" s="86">
        <v>106.96</v>
      </c>
      <c r="J2848" s="87">
        <f t="shared" si="2"/>
        <v>-0.8975317876</v>
      </c>
      <c r="K2848" s="84" t="str">
        <f t="shared" si="3"/>
        <v>Deflasi</v>
      </c>
      <c r="L2848" s="84">
        <f t="shared" si="4"/>
        <v>-0.96</v>
      </c>
      <c r="M2848" s="88" t="str">
        <f t="shared" si="5"/>
        <v>Perubahan Normal</v>
      </c>
    </row>
    <row r="2849" ht="18.75" customHeight="1">
      <c r="A2849" s="80" t="s">
        <v>304</v>
      </c>
      <c r="B2849" s="81" t="str">
        <f t="shared" si="1"/>
        <v>Kota Kediri</v>
      </c>
      <c r="C2849" s="81" t="str">
        <f t="array" ref="C2849">XLOOKUP(B2849,Reference!$A$2:$A$152,Reference!$B$2:$B$152)</f>
        <v>Jawa Timur</v>
      </c>
      <c r="D2849" s="82" t="s">
        <v>3288</v>
      </c>
      <c r="E2849" s="83">
        <v>45352.0</v>
      </c>
      <c r="F2849" s="84" t="str">
        <f t="array" ref="F2849">XLOOKUP(G2849,Reference!$F:$F,Reference!$D:$D,"null")</f>
        <v>Rekreasi dan Kendaraan</v>
      </c>
      <c r="G2849" s="85" t="s">
        <v>105</v>
      </c>
      <c r="H2849" s="86">
        <v>100.54</v>
      </c>
      <c r="I2849" s="86">
        <v>100.54</v>
      </c>
      <c r="J2849" s="87">
        <f t="shared" si="2"/>
        <v>0</v>
      </c>
      <c r="K2849" s="84" t="str">
        <f t="shared" si="3"/>
        <v>Stabil</v>
      </c>
      <c r="L2849" s="84">
        <f t="shared" si="4"/>
        <v>0</v>
      </c>
      <c r="M2849" s="88" t="str">
        <f t="shared" si="5"/>
        <v>Perubahan Normal</v>
      </c>
    </row>
    <row r="2850" ht="18.75" customHeight="1">
      <c r="A2850" s="80" t="s">
        <v>320</v>
      </c>
      <c r="B2850" s="81" t="str">
        <f t="shared" si="1"/>
        <v>Kota Manado</v>
      </c>
      <c r="C2850" s="81" t="str">
        <f t="array" ref="C2850">XLOOKUP(B2850,Reference!$A$2:$A$152,Reference!$B$2:$B$152)</f>
        <v>Sulawesi Utara</v>
      </c>
      <c r="D2850" s="82" t="s">
        <v>3289</v>
      </c>
      <c r="E2850" s="83">
        <v>45352.0</v>
      </c>
      <c r="F2850" s="84" t="str">
        <f t="array" ref="F2850">XLOOKUP(G2850,Reference!$F:$F,Reference!$D:$D,"null")</f>
        <v>Rumah Tangga</v>
      </c>
      <c r="G2850" s="85" t="s">
        <v>89</v>
      </c>
      <c r="H2850" s="86">
        <v>104.66</v>
      </c>
      <c r="I2850" s="86">
        <v>104.66</v>
      </c>
      <c r="J2850" s="87">
        <f t="shared" si="2"/>
        <v>0</v>
      </c>
      <c r="K2850" s="84" t="str">
        <f t="shared" si="3"/>
        <v>Stabil</v>
      </c>
      <c r="L2850" s="84">
        <f t="shared" si="4"/>
        <v>0</v>
      </c>
      <c r="M2850" s="88" t="str">
        <f t="shared" si="5"/>
        <v>Perubahan Normal</v>
      </c>
    </row>
    <row r="2851" ht="18.75" customHeight="1">
      <c r="A2851" s="80" t="s">
        <v>571</v>
      </c>
      <c r="B2851" s="81" t="str">
        <f t="shared" si="1"/>
        <v>Kota Sorong</v>
      </c>
      <c r="C2851" s="81" t="str">
        <f t="array" ref="C2851">XLOOKUP(B2851,Reference!$A$2:$A$152,Reference!$B$2:$B$152)</f>
        <v>Papua Barat Daya</v>
      </c>
      <c r="D2851" s="82" t="s">
        <v>3290</v>
      </c>
      <c r="E2851" s="83">
        <v>45323.0</v>
      </c>
      <c r="F2851" s="84" t="str">
        <f t="array" ref="F2851">XLOOKUP(G2851,Reference!$F:$F,Reference!$D:$D,"null")</f>
        <v>Rumah Tangga</v>
      </c>
      <c r="G2851" s="85" t="s">
        <v>89</v>
      </c>
      <c r="H2851" s="86">
        <v>103.86</v>
      </c>
      <c r="I2851" s="86">
        <v>103.86</v>
      </c>
      <c r="J2851" s="87">
        <f t="shared" si="2"/>
        <v>0</v>
      </c>
      <c r="K2851" s="84" t="str">
        <f t="shared" si="3"/>
        <v>Stabil</v>
      </c>
      <c r="L2851" s="84">
        <f t="shared" si="4"/>
        <v>0</v>
      </c>
      <c r="M2851" s="88" t="str">
        <f t="shared" si="5"/>
        <v>Perubahan Normal</v>
      </c>
    </row>
    <row r="2852" ht="18.75" customHeight="1">
      <c r="A2852" s="80" t="s">
        <v>302</v>
      </c>
      <c r="B2852" s="81" t="str">
        <f t="shared" si="1"/>
        <v>Kota Lubuk Linggau</v>
      </c>
      <c r="C2852" s="81" t="str">
        <f t="array" ref="C2852">XLOOKUP(B2852,Reference!$A$2:$A$152,Reference!$B$2:$B$152)</f>
        <v>Sumatera Selatan</v>
      </c>
      <c r="D2852" s="82" t="s">
        <v>3291</v>
      </c>
      <c r="E2852" s="83">
        <v>45352.0</v>
      </c>
      <c r="F2852" s="84" t="str">
        <f t="array" ref="F2852">XLOOKUP(G2852,Reference!$F:$F,Reference!$D:$D,"null")</f>
        <v>Pendidikan dan Kesehatan</v>
      </c>
      <c r="G2852" s="85" t="s">
        <v>98</v>
      </c>
      <c r="H2852" s="86">
        <v>104.56</v>
      </c>
      <c r="I2852" s="86">
        <v>104.56</v>
      </c>
      <c r="J2852" s="87">
        <f t="shared" si="2"/>
        <v>0</v>
      </c>
      <c r="K2852" s="84" t="str">
        <f t="shared" si="3"/>
        <v>Stabil</v>
      </c>
      <c r="L2852" s="84">
        <f t="shared" si="4"/>
        <v>0</v>
      </c>
      <c r="M2852" s="88" t="str">
        <f t="shared" si="5"/>
        <v>Perubahan Normal</v>
      </c>
    </row>
    <row r="2853" ht="18.75" customHeight="1">
      <c r="A2853" s="80" t="s">
        <v>762</v>
      </c>
      <c r="B2853" s="81" t="str">
        <f t="shared" si="1"/>
        <v>Kota Pangkal Pinang</v>
      </c>
      <c r="C2853" s="81" t="str">
        <f t="array" ref="C2853">XLOOKUP(B2853,Reference!$A$2:$A$152,Reference!$B$2:$B$152)</f>
        <v>Kepulauan Bangka Belitung</v>
      </c>
      <c r="D2853" s="82" t="s">
        <v>3292</v>
      </c>
      <c r="E2853" s="83">
        <v>45323.0</v>
      </c>
      <c r="F2853" s="84" t="str">
        <f t="array" ref="F2853">XLOOKUP(G2853,Reference!$F:$F,Reference!$D:$D,"null")</f>
        <v>Makanan dan Pakaian </v>
      </c>
      <c r="G2853" s="85" t="s">
        <v>72</v>
      </c>
      <c r="H2853" s="86">
        <v>100.94</v>
      </c>
      <c r="I2853" s="86">
        <v>100.94</v>
      </c>
      <c r="J2853" s="87">
        <f t="shared" si="2"/>
        <v>0</v>
      </c>
      <c r="K2853" s="84" t="str">
        <f t="shared" si="3"/>
        <v>Stabil</v>
      </c>
      <c r="L2853" s="84">
        <f t="shared" si="4"/>
        <v>0</v>
      </c>
      <c r="M2853" s="88" t="str">
        <f t="shared" si="5"/>
        <v>Perubahan Normal</v>
      </c>
    </row>
    <row r="2854" ht="18.75" customHeight="1">
      <c r="A2854" s="80" t="s">
        <v>300</v>
      </c>
      <c r="B2854" s="81" t="str">
        <f t="shared" si="1"/>
        <v>Sintang</v>
      </c>
      <c r="C2854" s="81" t="str">
        <f t="array" ref="C2854">XLOOKUP(B2854,Reference!$A$2:$A$152,Reference!$B$2:$B$152)</f>
        <v>Kalimantan Barat</v>
      </c>
      <c r="D2854" s="82" t="s">
        <v>3293</v>
      </c>
      <c r="E2854" s="83">
        <v>45352.0</v>
      </c>
      <c r="F2854" s="84" t="str">
        <f t="array" ref="F2854">XLOOKUP(G2854,Reference!$F:$F,Reference!$D:$D,"null")</f>
        <v>Pendidikan dan Kesehatan</v>
      </c>
      <c r="G2854" s="85" t="s">
        <v>95</v>
      </c>
      <c r="H2854" s="86">
        <v>101.05</v>
      </c>
      <c r="I2854" s="86">
        <v>101.05</v>
      </c>
      <c r="J2854" s="87">
        <f t="shared" si="2"/>
        <v>0</v>
      </c>
      <c r="K2854" s="84" t="str">
        <f t="shared" si="3"/>
        <v>Stabil</v>
      </c>
      <c r="L2854" s="84">
        <f t="shared" si="4"/>
        <v>0</v>
      </c>
      <c r="M2854" s="88" t="str">
        <f t="shared" si="5"/>
        <v>Perubahan Normal</v>
      </c>
    </row>
    <row r="2855" ht="18.75" customHeight="1">
      <c r="A2855" s="80" t="s">
        <v>699</v>
      </c>
      <c r="B2855" s="81" t="str">
        <f t="shared" si="1"/>
        <v>Mamuju</v>
      </c>
      <c r="C2855" s="81" t="str">
        <f t="array" ref="C2855">XLOOKUP(B2855,Reference!$A$2:$A$152,Reference!$B$2:$B$152)</f>
        <v>Sulawesi Barat</v>
      </c>
      <c r="D2855" s="82" t="s">
        <v>3294</v>
      </c>
      <c r="E2855" s="83">
        <v>45323.0</v>
      </c>
      <c r="F2855" s="84" t="str">
        <f t="array" ref="F2855">XLOOKUP(G2855,Reference!$F:$F,Reference!$D:$D,"null")</f>
        <v>Pendidikan dan Kesehatan</v>
      </c>
      <c r="G2855" s="85" t="s">
        <v>95</v>
      </c>
      <c r="H2855" s="86">
        <v>101.98</v>
      </c>
      <c r="I2855" s="86">
        <v>101.98</v>
      </c>
      <c r="J2855" s="87">
        <f t="shared" si="2"/>
        <v>0</v>
      </c>
      <c r="K2855" s="84" t="str">
        <f t="shared" si="3"/>
        <v>Stabil</v>
      </c>
      <c r="L2855" s="84">
        <f t="shared" si="4"/>
        <v>0</v>
      </c>
      <c r="M2855" s="88" t="str">
        <f t="shared" si="5"/>
        <v>Perubahan Normal</v>
      </c>
    </row>
    <row r="2856" ht="18.75" customHeight="1">
      <c r="A2856" s="80" t="s">
        <v>524</v>
      </c>
      <c r="B2856" s="81" t="str">
        <f t="shared" si="1"/>
        <v>Kudus</v>
      </c>
      <c r="C2856" s="81" t="str">
        <f t="array" ref="C2856">XLOOKUP(B2856,Reference!$A$2:$A$152,Reference!$B$2:$B$152)</f>
        <v>Jawa Tengah</v>
      </c>
      <c r="D2856" s="82" t="s">
        <v>3295</v>
      </c>
      <c r="E2856" s="83">
        <v>45323.0</v>
      </c>
      <c r="F2856" s="84" t="str">
        <f t="array" ref="F2856">XLOOKUP(G2856,Reference!$F:$F,Reference!$D:$D,"null")</f>
        <v>Makanan dan Pakaian </v>
      </c>
      <c r="G2856" s="85" t="s">
        <v>72</v>
      </c>
      <c r="H2856" s="86">
        <v>101.74</v>
      </c>
      <c r="I2856" s="86">
        <v>101.74</v>
      </c>
      <c r="J2856" s="87">
        <f t="shared" si="2"/>
        <v>0</v>
      </c>
      <c r="K2856" s="84" t="str">
        <f t="shared" si="3"/>
        <v>Stabil</v>
      </c>
      <c r="L2856" s="84">
        <f t="shared" si="4"/>
        <v>0</v>
      </c>
      <c r="M2856" s="88" t="str">
        <f t="shared" si="5"/>
        <v>Perubahan Normal</v>
      </c>
    </row>
    <row r="2857" ht="18.75" customHeight="1">
      <c r="A2857" s="80" t="s">
        <v>548</v>
      </c>
      <c r="B2857" s="81" t="str">
        <f t="shared" si="1"/>
        <v>Kota Metro</v>
      </c>
      <c r="C2857" s="81" t="str">
        <f t="array" ref="C2857">XLOOKUP(B2857,Reference!$A$2:$A$152,Reference!$B$2:$B$152)</f>
        <v>Lampung</v>
      </c>
      <c r="D2857" s="82" t="s">
        <v>3296</v>
      </c>
      <c r="E2857" s="83">
        <v>45323.0</v>
      </c>
      <c r="F2857" s="84" t="str">
        <f t="array" ref="F2857">XLOOKUP(G2857,Reference!$F:$F,Reference!$D:$D,"null")</f>
        <v>Rekreasi dan Kendaraan</v>
      </c>
      <c r="G2857" s="85" t="s">
        <v>102</v>
      </c>
      <c r="H2857" s="86">
        <v>101.56</v>
      </c>
      <c r="I2857" s="86">
        <v>101.24</v>
      </c>
      <c r="J2857" s="87">
        <f t="shared" si="2"/>
        <v>0.3160806006</v>
      </c>
      <c r="K2857" s="84" t="str">
        <f t="shared" si="3"/>
        <v>Inflasi Normal</v>
      </c>
      <c r="L2857" s="84">
        <f t="shared" si="4"/>
        <v>0.32</v>
      </c>
      <c r="M2857" s="88" t="str">
        <f t="shared" si="5"/>
        <v>Perubahan Normal</v>
      </c>
    </row>
    <row r="2858" ht="18.75" customHeight="1">
      <c r="A2858" s="80" t="s">
        <v>727</v>
      </c>
      <c r="B2858" s="81" t="str">
        <f t="shared" si="1"/>
        <v>Kab Badung</v>
      </c>
      <c r="C2858" s="81" t="str">
        <f t="array" ref="C2858">XLOOKUP(B2858,Reference!$A$2:$A$152,Reference!$B$2:$B$152)</f>
        <v>Bali</v>
      </c>
      <c r="D2858" s="82" t="s">
        <v>3297</v>
      </c>
      <c r="E2858" s="83">
        <v>45352.0</v>
      </c>
      <c r="F2858" s="84" t="str">
        <f t="array" ref="F2858">XLOOKUP(G2858,Reference!$F:$F,Reference!$D:$D,"null")</f>
        <v>Pendidikan dan Kesehatan</v>
      </c>
      <c r="G2858" s="85" t="s">
        <v>95</v>
      </c>
      <c r="H2858" s="86">
        <v>100.8</v>
      </c>
      <c r="I2858" s="86">
        <v>100.8</v>
      </c>
      <c r="J2858" s="87">
        <f t="shared" si="2"/>
        <v>0</v>
      </c>
      <c r="K2858" s="84" t="str">
        <f t="shared" si="3"/>
        <v>Stabil</v>
      </c>
      <c r="L2858" s="84">
        <f t="shared" si="4"/>
        <v>0</v>
      </c>
      <c r="M2858" s="88" t="str">
        <f t="shared" si="5"/>
        <v>Perubahan Normal</v>
      </c>
    </row>
    <row r="2859" ht="18.75" customHeight="1">
      <c r="A2859" s="80" t="s">
        <v>408</v>
      </c>
      <c r="B2859" s="81" t="str">
        <f t="shared" si="1"/>
        <v>Manokwari</v>
      </c>
      <c r="C2859" s="81" t="str">
        <f t="array" ref="C2859">XLOOKUP(B2859,Reference!$A$2:$A$152,Reference!$B$2:$B$152)</f>
        <v>Papua Barat Daya</v>
      </c>
      <c r="D2859" s="82" t="s">
        <v>3298</v>
      </c>
      <c r="E2859" s="83">
        <v>45323.0</v>
      </c>
      <c r="F2859" s="84" t="str">
        <f t="array" ref="F2859">XLOOKUP(G2859,Reference!$F:$F,Reference!$D:$D,"null")</f>
        <v>Rumah Tangga</v>
      </c>
      <c r="G2859" s="85" t="s">
        <v>80</v>
      </c>
      <c r="H2859" s="86">
        <v>101.11</v>
      </c>
      <c r="I2859" s="86">
        <v>101.11</v>
      </c>
      <c r="J2859" s="87">
        <f t="shared" si="2"/>
        <v>0</v>
      </c>
      <c r="K2859" s="84" t="str">
        <f t="shared" si="3"/>
        <v>Stabil</v>
      </c>
      <c r="L2859" s="84">
        <f t="shared" si="4"/>
        <v>0</v>
      </c>
      <c r="M2859" s="88" t="str">
        <f t="shared" si="5"/>
        <v>Perubahan Normal</v>
      </c>
    </row>
    <row r="2860" ht="18.75" customHeight="1">
      <c r="A2860" s="80" t="s">
        <v>314</v>
      </c>
      <c r="B2860" s="81" t="str">
        <f t="shared" si="1"/>
        <v>Kota Jayapura</v>
      </c>
      <c r="C2860" s="81" t="str">
        <f t="array" ref="C2860">XLOOKUP(B2860,Reference!$A$2:$A$152,Reference!$B$2:$B$152)</f>
        <v>Papua</v>
      </c>
      <c r="D2860" s="82" t="s">
        <v>3299</v>
      </c>
      <c r="E2860" s="83">
        <v>45352.0</v>
      </c>
      <c r="F2860" s="84" t="str">
        <f t="array" ref="F2860">XLOOKUP(G2860,Reference!$F:$F,Reference!$D:$D,"null")</f>
        <v>Pendidikan dan Kesehatan</v>
      </c>
      <c r="G2860" s="85" t="s">
        <v>95</v>
      </c>
      <c r="H2860" s="86">
        <v>114.38</v>
      </c>
      <c r="I2860" s="86">
        <v>114.38</v>
      </c>
      <c r="J2860" s="87">
        <f t="shared" si="2"/>
        <v>0</v>
      </c>
      <c r="K2860" s="84" t="str">
        <f t="shared" si="3"/>
        <v>Stabil</v>
      </c>
      <c r="L2860" s="84">
        <f t="shared" si="4"/>
        <v>0</v>
      </c>
      <c r="M2860" s="88" t="str">
        <f t="shared" si="5"/>
        <v>Perubahan Normal</v>
      </c>
    </row>
    <row r="2861" ht="18.75" customHeight="1">
      <c r="A2861" s="80" t="s">
        <v>406</v>
      </c>
      <c r="B2861" s="81" t="str">
        <f t="shared" si="1"/>
        <v>Kota Tasikmalaya</v>
      </c>
      <c r="C2861" s="81" t="str">
        <f t="array" ref="C2861">XLOOKUP(B2861,Reference!$A$2:$A$152,Reference!$B$2:$B$152)</f>
        <v>Jawa Barat</v>
      </c>
      <c r="D2861" s="82" t="s">
        <v>3300</v>
      </c>
      <c r="E2861" s="83">
        <v>45352.0</v>
      </c>
      <c r="F2861" s="84" t="str">
        <f t="array" ref="F2861">XLOOKUP(G2861,Reference!$F:$F,Reference!$D:$D,"null")</f>
        <v>Rekreasi dan Kendaraan</v>
      </c>
      <c r="G2861" s="85" t="s">
        <v>105</v>
      </c>
      <c r="H2861" s="86">
        <v>103.05</v>
      </c>
      <c r="I2861" s="86">
        <v>102.75</v>
      </c>
      <c r="J2861" s="87">
        <f t="shared" si="2"/>
        <v>0.2919708029</v>
      </c>
      <c r="K2861" s="84" t="str">
        <f t="shared" si="3"/>
        <v>Inflasi Normal</v>
      </c>
      <c r="L2861" s="84">
        <f t="shared" si="4"/>
        <v>0.3</v>
      </c>
      <c r="M2861" s="88" t="str">
        <f t="shared" si="5"/>
        <v>Perubahan Normal</v>
      </c>
    </row>
    <row r="2862" ht="18.75" customHeight="1">
      <c r="A2862" s="80" t="s">
        <v>672</v>
      </c>
      <c r="B2862" s="81" t="str">
        <f t="shared" si="1"/>
        <v>Kab Ogan Komering Ilir</v>
      </c>
      <c r="C2862" s="81" t="str">
        <f t="array" ref="C2862">XLOOKUP(B2862,Reference!$A$2:$A$152,Reference!$B$2:$B$152)</f>
        <v>Sumatera Selatan</v>
      </c>
      <c r="D2862" s="82" t="s">
        <v>3301</v>
      </c>
      <c r="E2862" s="83">
        <v>45352.0</v>
      </c>
      <c r="F2862" s="84" t="str">
        <f t="array" ref="F2862">XLOOKUP(G2862,Reference!$F:$F,Reference!$D:$D,"null")</f>
        <v>Rumah Tangga</v>
      </c>
      <c r="G2862" s="85" t="s">
        <v>89</v>
      </c>
      <c r="H2862" s="86">
        <v>104.7</v>
      </c>
      <c r="I2862" s="86">
        <v>104.7</v>
      </c>
      <c r="J2862" s="87">
        <f t="shared" si="2"/>
        <v>0</v>
      </c>
      <c r="K2862" s="84" t="str">
        <f t="shared" si="3"/>
        <v>Stabil</v>
      </c>
      <c r="L2862" s="84">
        <f t="shared" si="4"/>
        <v>0</v>
      </c>
      <c r="M2862" s="88" t="str">
        <f t="shared" si="5"/>
        <v>Perubahan Normal</v>
      </c>
    </row>
    <row r="2863" ht="18.75" customHeight="1">
      <c r="A2863" s="80" t="s">
        <v>925</v>
      </c>
      <c r="B2863" s="81" t="str">
        <f t="shared" si="1"/>
        <v>Kota Jakarta</v>
      </c>
      <c r="C2863" s="81" t="str">
        <f t="array" ref="C2863">XLOOKUP(B2863,Reference!$A$2:$A$152,Reference!$B$2:$B$152)</f>
        <v>DKI Jakarta</v>
      </c>
      <c r="D2863" s="82" t="s">
        <v>3302</v>
      </c>
      <c r="E2863" s="83">
        <v>45352.0</v>
      </c>
      <c r="F2863" s="84" t="str">
        <f t="array" ref="F2863">XLOOKUP(G2863,Reference!$F:$F,Reference!$D:$D,"null")</f>
        <v>Makanan dan Pakaian </v>
      </c>
      <c r="G2863" s="85" t="s">
        <v>56</v>
      </c>
      <c r="H2863" s="86">
        <v>103.58</v>
      </c>
      <c r="I2863" s="86">
        <v>103.43</v>
      </c>
      <c r="J2863" s="87">
        <f t="shared" si="2"/>
        <v>0.1450256212</v>
      </c>
      <c r="K2863" s="84" t="str">
        <f t="shared" si="3"/>
        <v>Inflasi Normal</v>
      </c>
      <c r="L2863" s="84">
        <f t="shared" si="4"/>
        <v>0.15</v>
      </c>
      <c r="M2863" s="88" t="str">
        <f t="shared" si="5"/>
        <v>Perubahan Normal</v>
      </c>
    </row>
    <row r="2864" ht="18.75" customHeight="1">
      <c r="A2864" s="80" t="s">
        <v>715</v>
      </c>
      <c r="B2864" s="81" t="str">
        <f t="shared" si="1"/>
        <v>Kab Bojonegoro</v>
      </c>
      <c r="C2864" s="81" t="str">
        <f t="array" ref="C2864">XLOOKUP(B2864,Reference!$A$2:$A$152,Reference!$B$2:$B$152)</f>
        <v>Jawa Timur</v>
      </c>
      <c r="D2864" s="82" t="s">
        <v>3303</v>
      </c>
      <c r="E2864" s="83">
        <v>45323.0</v>
      </c>
      <c r="F2864" s="84" t="str">
        <f t="array" ref="F2864">XLOOKUP(G2864,Reference!$F:$F,Reference!$D:$D,"null")</f>
        <v>Makanan dan Pakaian </v>
      </c>
      <c r="G2864" s="85" t="s">
        <v>64</v>
      </c>
      <c r="H2864" s="86">
        <v>104.47</v>
      </c>
      <c r="I2864" s="86">
        <v>104.33</v>
      </c>
      <c r="J2864" s="87">
        <f t="shared" si="2"/>
        <v>0.1341895907</v>
      </c>
      <c r="K2864" s="84" t="str">
        <f t="shared" si="3"/>
        <v>Inflasi Normal</v>
      </c>
      <c r="L2864" s="84">
        <f t="shared" si="4"/>
        <v>0.14</v>
      </c>
      <c r="M2864" s="88" t="str">
        <f t="shared" si="5"/>
        <v>Perubahan Normal</v>
      </c>
    </row>
    <row r="2865" ht="18.75" customHeight="1">
      <c r="A2865" s="80" t="s">
        <v>389</v>
      </c>
      <c r="B2865" s="81" t="str">
        <f t="shared" si="1"/>
        <v>Tembilahan</v>
      </c>
      <c r="C2865" s="81" t="str">
        <f t="array" ref="C2865">XLOOKUP(B2865,Reference!$A$2:$A$152,Reference!$B$2:$B$152)</f>
        <v>Riau</v>
      </c>
      <c r="D2865" s="82" t="s">
        <v>3304</v>
      </c>
      <c r="E2865" s="83">
        <v>45323.0</v>
      </c>
      <c r="F2865" s="84" t="str">
        <f t="array" ref="F2865">XLOOKUP(G2865,Reference!$F:$F,Reference!$D:$D,"null")</f>
        <v>Pendidikan dan Kesehatan</v>
      </c>
      <c r="G2865" s="85" t="s">
        <v>98</v>
      </c>
      <c r="H2865" s="86">
        <v>100.76</v>
      </c>
      <c r="I2865" s="86">
        <v>101.5</v>
      </c>
      <c r="J2865" s="87">
        <f t="shared" si="2"/>
        <v>-0.7290640394</v>
      </c>
      <c r="K2865" s="84" t="str">
        <f t="shared" si="3"/>
        <v>Deflasi</v>
      </c>
      <c r="L2865" s="84">
        <f t="shared" si="4"/>
        <v>-0.74</v>
      </c>
      <c r="M2865" s="88" t="str">
        <f t="shared" si="5"/>
        <v>Perubahan Normal</v>
      </c>
    </row>
    <row r="2866" ht="18.75" customHeight="1">
      <c r="A2866" s="80" t="s">
        <v>320</v>
      </c>
      <c r="B2866" s="81" t="str">
        <f t="shared" si="1"/>
        <v>Kota Manado</v>
      </c>
      <c r="C2866" s="81" t="str">
        <f t="array" ref="C2866">XLOOKUP(B2866,Reference!$A$2:$A$152,Reference!$B$2:$B$152)</f>
        <v>Sulawesi Utara</v>
      </c>
      <c r="D2866" s="82" t="s">
        <v>3305</v>
      </c>
      <c r="E2866" s="83">
        <v>45352.0</v>
      </c>
      <c r="F2866" s="84" t="str">
        <f t="array" ref="F2866">XLOOKUP(G2866,Reference!$F:$F,Reference!$D:$D,"null")</f>
        <v>Makanan dan Pakaian </v>
      </c>
      <c r="G2866" s="85" t="s">
        <v>48</v>
      </c>
      <c r="H2866" s="86">
        <v>116.34</v>
      </c>
      <c r="I2866" s="86">
        <v>111.71</v>
      </c>
      <c r="J2866" s="87">
        <f t="shared" si="2"/>
        <v>4.144660281</v>
      </c>
      <c r="K2866" s="84" t="str">
        <f t="shared" si="3"/>
        <v>Inflasi Tinggi</v>
      </c>
      <c r="L2866" s="84">
        <f t="shared" si="4"/>
        <v>4.63</v>
      </c>
      <c r="M2866" s="88" t="str">
        <f t="shared" si="5"/>
        <v>Akselerasi Kuat</v>
      </c>
    </row>
    <row r="2867" ht="18.75" customHeight="1">
      <c r="A2867" s="80" t="s">
        <v>349</v>
      </c>
      <c r="B2867" s="81" t="str">
        <f t="shared" si="1"/>
        <v>Kota Banjarmasin</v>
      </c>
      <c r="C2867" s="81" t="str">
        <f t="array" ref="C2867">XLOOKUP(B2867,Reference!$A$2:$A$152,Reference!$B$2:$B$152)</f>
        <v>Kalimantan Selatan</v>
      </c>
      <c r="D2867" s="82" t="s">
        <v>3306</v>
      </c>
      <c r="E2867" s="83">
        <v>45352.0</v>
      </c>
      <c r="F2867" s="84" t="str">
        <f t="array" ref="F2867">XLOOKUP(G2867,Reference!$F:$F,Reference!$D:$D,"null")</f>
        <v>Pendidikan dan Kesehatan</v>
      </c>
      <c r="G2867" s="85" t="s">
        <v>95</v>
      </c>
      <c r="H2867" s="86">
        <v>104.61</v>
      </c>
      <c r="I2867" s="86">
        <v>104.61</v>
      </c>
      <c r="J2867" s="87">
        <f t="shared" si="2"/>
        <v>0</v>
      </c>
      <c r="K2867" s="84" t="str">
        <f t="shared" si="3"/>
        <v>Stabil</v>
      </c>
      <c r="L2867" s="84">
        <f t="shared" si="4"/>
        <v>0</v>
      </c>
      <c r="M2867" s="88" t="str">
        <f t="shared" si="5"/>
        <v>Perubahan Normal</v>
      </c>
    </row>
    <row r="2868" ht="18.75" customHeight="1">
      <c r="A2868" s="80" t="s">
        <v>990</v>
      </c>
      <c r="B2868" s="81" t="str">
        <f t="shared" si="1"/>
        <v>Kab Pandeglang</v>
      </c>
      <c r="C2868" s="81" t="str">
        <f t="array" ref="C2868">XLOOKUP(B2868,Reference!$A$2:$A$152,Reference!$B$2:$B$152)</f>
        <v>Banten</v>
      </c>
      <c r="D2868" s="82" t="s">
        <v>3307</v>
      </c>
      <c r="E2868" s="83">
        <v>45352.0</v>
      </c>
      <c r="F2868" s="84" t="str">
        <f t="array" ref="F2868">XLOOKUP(G2868,Reference!$F:$F,Reference!$D:$D,"null")</f>
        <v>Pendidikan dan Kesehatan</v>
      </c>
      <c r="G2868" s="85" t="s">
        <v>98</v>
      </c>
      <c r="H2868" s="86">
        <v>105.66</v>
      </c>
      <c r="I2868" s="86">
        <v>105.11</v>
      </c>
      <c r="J2868" s="87">
        <f t="shared" si="2"/>
        <v>0.5232613453</v>
      </c>
      <c r="K2868" s="84" t="str">
        <f t="shared" si="3"/>
        <v>Inflasi Tinggi</v>
      </c>
      <c r="L2868" s="84">
        <f t="shared" si="4"/>
        <v>0.55</v>
      </c>
      <c r="M2868" s="88" t="str">
        <f t="shared" si="5"/>
        <v>Akselerasi Persentase</v>
      </c>
    </row>
    <row r="2869" ht="18.75" customHeight="1">
      <c r="A2869" s="80" t="s">
        <v>314</v>
      </c>
      <c r="B2869" s="81" t="str">
        <f t="shared" si="1"/>
        <v>Kota Jayapura</v>
      </c>
      <c r="C2869" s="81" t="str">
        <f t="array" ref="C2869">XLOOKUP(B2869,Reference!$A$2:$A$152,Reference!$B$2:$B$152)</f>
        <v>Papua</v>
      </c>
      <c r="D2869" s="82" t="s">
        <v>3308</v>
      </c>
      <c r="E2869" s="83">
        <v>45323.0</v>
      </c>
      <c r="F2869" s="84" t="str">
        <f t="array" ref="F2869">XLOOKUP(G2869,Reference!$F:$F,Reference!$D:$D,"null")</f>
        <v>Rekreasi dan Kendaraan</v>
      </c>
      <c r="G2869" s="85" t="s">
        <v>102</v>
      </c>
      <c r="H2869" s="86">
        <v>102.66</v>
      </c>
      <c r="I2869" s="86">
        <v>102.66</v>
      </c>
      <c r="J2869" s="87">
        <f t="shared" si="2"/>
        <v>0</v>
      </c>
      <c r="K2869" s="84" t="str">
        <f t="shared" si="3"/>
        <v>Stabil</v>
      </c>
      <c r="L2869" s="84">
        <f t="shared" si="4"/>
        <v>0</v>
      </c>
      <c r="M2869" s="88" t="str">
        <f t="shared" si="5"/>
        <v>Perubahan Normal</v>
      </c>
    </row>
    <row r="2870" ht="18.75" customHeight="1">
      <c r="A2870" s="80" t="s">
        <v>548</v>
      </c>
      <c r="B2870" s="81" t="str">
        <f t="shared" si="1"/>
        <v>Kota Metro</v>
      </c>
      <c r="C2870" s="81" t="str">
        <f t="array" ref="C2870">XLOOKUP(B2870,Reference!$A$2:$A$152,Reference!$B$2:$B$152)</f>
        <v>Lampung</v>
      </c>
      <c r="D2870" s="82" t="s">
        <v>3309</v>
      </c>
      <c r="E2870" s="83">
        <v>45352.0</v>
      </c>
      <c r="F2870" s="84" t="str">
        <f t="array" ref="F2870">XLOOKUP(G2870,Reference!$F:$F,Reference!$D:$D,"null")</f>
        <v>Makanan dan Pakaian </v>
      </c>
      <c r="G2870" s="85" t="s">
        <v>64</v>
      </c>
      <c r="H2870" s="86">
        <v>103.6</v>
      </c>
      <c r="I2870" s="86">
        <v>103.27</v>
      </c>
      <c r="J2870" s="87">
        <f t="shared" si="2"/>
        <v>0.3195506924</v>
      </c>
      <c r="K2870" s="84" t="str">
        <f t="shared" si="3"/>
        <v>Inflasi Normal</v>
      </c>
      <c r="L2870" s="84">
        <f t="shared" si="4"/>
        <v>0.33</v>
      </c>
      <c r="M2870" s="88" t="str">
        <f t="shared" si="5"/>
        <v>Perubahan Normal</v>
      </c>
    </row>
    <row r="2871" ht="18.75" customHeight="1">
      <c r="A2871" s="80" t="s">
        <v>329</v>
      </c>
      <c r="B2871" s="81" t="str">
        <f t="shared" si="1"/>
        <v>Kab Penajam Paser Utara</v>
      </c>
      <c r="C2871" s="81" t="str">
        <f t="array" ref="C2871">XLOOKUP(B2871,Reference!$A$2:$A$152,Reference!$B$2:$B$152)</f>
        <v>Kalimantan Timur</v>
      </c>
      <c r="D2871" s="82" t="s">
        <v>3310</v>
      </c>
      <c r="E2871" s="83">
        <v>45352.0</v>
      </c>
      <c r="F2871" s="84" t="str">
        <f t="array" ref="F2871">XLOOKUP(G2871,Reference!$F:$F,Reference!$D:$D,"null")</f>
        <v>Makanan dan Pakaian </v>
      </c>
      <c r="G2871" s="85" t="s">
        <v>72</v>
      </c>
      <c r="H2871" s="86">
        <v>102.82</v>
      </c>
      <c r="I2871" s="86">
        <v>102.82</v>
      </c>
      <c r="J2871" s="87">
        <f t="shared" si="2"/>
        <v>0</v>
      </c>
      <c r="K2871" s="84" t="str">
        <f t="shared" si="3"/>
        <v>Stabil</v>
      </c>
      <c r="L2871" s="84">
        <f t="shared" si="4"/>
        <v>0</v>
      </c>
      <c r="M2871" s="88" t="str">
        <f t="shared" si="5"/>
        <v>Perubahan Normal</v>
      </c>
    </row>
    <row r="2872" ht="18.75" customHeight="1">
      <c r="A2872" s="80" t="s">
        <v>462</v>
      </c>
      <c r="B2872" s="81" t="str">
        <f t="shared" si="1"/>
        <v>Kota Probolinggo</v>
      </c>
      <c r="C2872" s="81" t="str">
        <f t="array" ref="C2872">XLOOKUP(B2872,Reference!$A$2:$A$152,Reference!$B$2:$B$152)</f>
        <v>Jawa Timur</v>
      </c>
      <c r="D2872" s="82" t="s">
        <v>3311</v>
      </c>
      <c r="E2872" s="83">
        <v>45352.0</v>
      </c>
      <c r="F2872" s="84" t="str">
        <f t="array" ref="F2872">XLOOKUP(G2872,Reference!$F:$F,Reference!$D:$D,"null")</f>
        <v>Rekreasi dan Kendaraan</v>
      </c>
      <c r="G2872" s="85" t="s">
        <v>102</v>
      </c>
      <c r="H2872" s="86">
        <v>103.0</v>
      </c>
      <c r="I2872" s="86">
        <v>103.0</v>
      </c>
      <c r="J2872" s="87">
        <f t="shared" si="2"/>
        <v>0</v>
      </c>
      <c r="K2872" s="84" t="str">
        <f t="shared" si="3"/>
        <v>Stabil</v>
      </c>
      <c r="L2872" s="84">
        <f t="shared" si="4"/>
        <v>0</v>
      </c>
      <c r="M2872" s="88" t="str">
        <f t="shared" si="5"/>
        <v>Perubahan Normal</v>
      </c>
    </row>
    <row r="2873" ht="18.75" customHeight="1">
      <c r="A2873" s="80" t="s">
        <v>598</v>
      </c>
      <c r="B2873" s="81" t="str">
        <f t="shared" si="1"/>
        <v>Kota Surakarta</v>
      </c>
      <c r="C2873" s="81" t="str">
        <f t="array" ref="C2873">XLOOKUP(B2873,Reference!$A$2:$A$152,Reference!$B$2:$B$152)</f>
        <v>Jawa Tengah</v>
      </c>
      <c r="D2873" s="82" t="s">
        <v>3312</v>
      </c>
      <c r="E2873" s="83">
        <v>45323.0</v>
      </c>
      <c r="F2873" s="84" t="str">
        <f t="array" ref="F2873">XLOOKUP(G2873,Reference!$F:$F,Reference!$D:$D,"null")</f>
        <v>Pendidikan dan Kesehatan</v>
      </c>
      <c r="G2873" s="85" t="s">
        <v>95</v>
      </c>
      <c r="H2873" s="86">
        <v>103.07</v>
      </c>
      <c r="I2873" s="86">
        <v>103.07</v>
      </c>
      <c r="J2873" s="87">
        <f t="shared" si="2"/>
        <v>0</v>
      </c>
      <c r="K2873" s="84" t="str">
        <f t="shared" si="3"/>
        <v>Stabil</v>
      </c>
      <c r="L2873" s="84">
        <f t="shared" si="4"/>
        <v>0</v>
      </c>
      <c r="M2873" s="88" t="str">
        <f t="shared" si="5"/>
        <v>Perubahan Normal</v>
      </c>
    </row>
    <row r="2874" ht="18.75" customHeight="1">
      <c r="A2874" s="80" t="s">
        <v>573</v>
      </c>
      <c r="B2874" s="81" t="str">
        <f t="shared" si="1"/>
        <v>Kota Palangkaraya</v>
      </c>
      <c r="C2874" s="81" t="str">
        <f t="array" ref="C2874">XLOOKUP(B2874,Reference!$A$2:$A$152,Reference!$B$2:$B$152)</f>
        <v>Kalimantan Tengah</v>
      </c>
      <c r="D2874" s="82" t="s">
        <v>3313</v>
      </c>
      <c r="E2874" s="83">
        <v>45323.0</v>
      </c>
      <c r="F2874" s="84" t="str">
        <f t="array" ref="F2874">XLOOKUP(G2874,Reference!$F:$F,Reference!$D:$D,"null")</f>
        <v>Rumah Tangga</v>
      </c>
      <c r="G2874" s="85" t="s">
        <v>84</v>
      </c>
      <c r="H2874" s="86">
        <v>99.08</v>
      </c>
      <c r="I2874" s="86">
        <v>99.36</v>
      </c>
      <c r="J2874" s="87">
        <f t="shared" si="2"/>
        <v>-0.2818035427</v>
      </c>
      <c r="K2874" s="84" t="str">
        <f t="shared" si="3"/>
        <v>Deflasi</v>
      </c>
      <c r="L2874" s="84">
        <f t="shared" si="4"/>
        <v>-0.28</v>
      </c>
      <c r="M2874" s="88" t="str">
        <f t="shared" si="5"/>
        <v>Perubahan Normal</v>
      </c>
    </row>
    <row r="2875" ht="18.75" customHeight="1">
      <c r="A2875" s="80" t="s">
        <v>699</v>
      </c>
      <c r="B2875" s="81" t="str">
        <f t="shared" si="1"/>
        <v>Mamuju</v>
      </c>
      <c r="C2875" s="81" t="str">
        <f t="array" ref="C2875">XLOOKUP(B2875,Reference!$A$2:$A$152,Reference!$B$2:$B$152)</f>
        <v>Sulawesi Barat</v>
      </c>
      <c r="D2875" s="82" t="s">
        <v>3314</v>
      </c>
      <c r="E2875" s="83">
        <v>45352.0</v>
      </c>
      <c r="F2875" s="84" t="str">
        <f t="array" ref="F2875">XLOOKUP(G2875,Reference!$F:$F,Reference!$D:$D,"null")</f>
        <v>Pendidikan dan Kesehatan</v>
      </c>
      <c r="G2875" s="85" t="s">
        <v>95</v>
      </c>
      <c r="H2875" s="86">
        <v>101.98</v>
      </c>
      <c r="I2875" s="86">
        <v>101.98</v>
      </c>
      <c r="J2875" s="87">
        <f t="shared" si="2"/>
        <v>0</v>
      </c>
      <c r="K2875" s="84" t="str">
        <f t="shared" si="3"/>
        <v>Stabil</v>
      </c>
      <c r="L2875" s="84">
        <f t="shared" si="4"/>
        <v>0</v>
      </c>
      <c r="M2875" s="88" t="str">
        <f t="shared" si="5"/>
        <v>Perubahan Normal</v>
      </c>
    </row>
    <row r="2876" ht="18.75" customHeight="1">
      <c r="A2876" s="80" t="s">
        <v>535</v>
      </c>
      <c r="B2876" s="81" t="str">
        <f t="shared" si="1"/>
        <v>Kota Tarakan</v>
      </c>
      <c r="C2876" s="81" t="str">
        <f t="array" ref="C2876">XLOOKUP(B2876,Reference!$A$2:$A$152,Reference!$B$2:$B$152)</f>
        <v>Kalimantan Utara</v>
      </c>
      <c r="D2876" s="82" t="s">
        <v>3315</v>
      </c>
      <c r="E2876" s="83">
        <v>45323.0</v>
      </c>
      <c r="F2876" s="84" t="str">
        <f t="array" ref="F2876">XLOOKUP(G2876,Reference!$F:$F,Reference!$D:$D,"null")</f>
        <v>Makanan dan Pakaian </v>
      </c>
      <c r="G2876" s="89" t="s">
        <v>72</v>
      </c>
      <c r="H2876" s="90">
        <v>100.02</v>
      </c>
      <c r="I2876" s="90">
        <v>100.02</v>
      </c>
      <c r="J2876" s="87">
        <f t="shared" si="2"/>
        <v>0</v>
      </c>
      <c r="K2876" s="84" t="str">
        <f t="shared" si="3"/>
        <v>Stabil</v>
      </c>
      <c r="L2876" s="91">
        <f t="shared" si="4"/>
        <v>0</v>
      </c>
      <c r="M2876" s="88" t="str">
        <f t="shared" si="5"/>
        <v>Perubahan Normal</v>
      </c>
    </row>
    <row r="2877" ht="18.75" customHeight="1">
      <c r="A2877" s="80" t="s">
        <v>389</v>
      </c>
      <c r="B2877" s="81" t="str">
        <f t="shared" si="1"/>
        <v>Tembilahan</v>
      </c>
      <c r="C2877" s="81" t="str">
        <f t="array" ref="C2877">XLOOKUP(B2877,Reference!$A$2:$A$152,Reference!$B$2:$B$152)</f>
        <v>Riau</v>
      </c>
      <c r="D2877" s="82" t="s">
        <v>3316</v>
      </c>
      <c r="E2877" s="83">
        <v>45323.0</v>
      </c>
      <c r="F2877" s="84" t="str">
        <f t="array" ref="F2877">XLOOKUP(G2877,Reference!$F:$F,Reference!$D:$D,"null")</f>
        <v>Rekreasi dan Kendaraan</v>
      </c>
      <c r="G2877" s="85" t="s">
        <v>102</v>
      </c>
      <c r="H2877" s="86">
        <v>101.74</v>
      </c>
      <c r="I2877" s="86">
        <v>101.62</v>
      </c>
      <c r="J2877" s="87">
        <f t="shared" si="2"/>
        <v>0.1180869907</v>
      </c>
      <c r="K2877" s="84" t="str">
        <f t="shared" si="3"/>
        <v>Inflasi Normal</v>
      </c>
      <c r="L2877" s="84">
        <f t="shared" si="4"/>
        <v>0.12</v>
      </c>
      <c r="M2877" s="88" t="str">
        <f t="shared" si="5"/>
        <v>Perubahan Normal</v>
      </c>
    </row>
    <row r="2878" ht="18.75" customHeight="1">
      <c r="A2878" s="80" t="s">
        <v>471</v>
      </c>
      <c r="B2878" s="81" t="str">
        <f t="shared" si="1"/>
        <v>Kab Gunungkidul</v>
      </c>
      <c r="C2878" s="81" t="str">
        <f t="array" ref="C2878">XLOOKUP(B2878,Reference!$A$2:$A$152,Reference!$B$2:$B$152)</f>
        <v>D.I. Yogyakarta</v>
      </c>
      <c r="D2878" s="82" t="s">
        <v>3317</v>
      </c>
      <c r="E2878" s="83">
        <v>45352.0</v>
      </c>
      <c r="F2878" s="84" t="str">
        <f t="array" ref="F2878">XLOOKUP(G2878,Reference!$F:$F,Reference!$D:$D,"null")</f>
        <v>Rekreasi dan Kendaraan</v>
      </c>
      <c r="G2878" s="85" t="s">
        <v>105</v>
      </c>
      <c r="H2878" s="86">
        <v>102.08</v>
      </c>
      <c r="I2878" s="86">
        <v>101.38</v>
      </c>
      <c r="J2878" s="87">
        <f t="shared" si="2"/>
        <v>0.6904714934</v>
      </c>
      <c r="K2878" s="84" t="str">
        <f t="shared" si="3"/>
        <v>Inflasi Tinggi</v>
      </c>
      <c r="L2878" s="84">
        <f t="shared" si="4"/>
        <v>0.7</v>
      </c>
      <c r="M2878" s="88" t="str">
        <f t="shared" si="5"/>
        <v>Akselerasi Persentase</v>
      </c>
    </row>
    <row r="2879" ht="18.75" customHeight="1">
      <c r="A2879" s="80" t="s">
        <v>378</v>
      </c>
      <c r="B2879" s="81" t="str">
        <f t="shared" si="1"/>
        <v>Kab Berau</v>
      </c>
      <c r="C2879" s="81" t="str">
        <f t="array" ref="C2879">XLOOKUP(B2879,Reference!$A$2:$A$152,Reference!$B$2:$B$152)</f>
        <v>Kalimantan Timur</v>
      </c>
      <c r="D2879" s="82" t="s">
        <v>3318</v>
      </c>
      <c r="E2879" s="83">
        <v>45352.0</v>
      </c>
      <c r="F2879" s="84" t="str">
        <f t="array" ref="F2879">XLOOKUP(G2879,Reference!$F:$F,Reference!$D:$D,"null")</f>
        <v>Rumah Tangga</v>
      </c>
      <c r="G2879" s="85" t="s">
        <v>89</v>
      </c>
      <c r="H2879" s="86">
        <v>103.71</v>
      </c>
      <c r="I2879" s="86">
        <v>103.72</v>
      </c>
      <c r="J2879" s="87">
        <f t="shared" si="2"/>
        <v>-0.009641342075</v>
      </c>
      <c r="K2879" s="84" t="str">
        <f t="shared" si="3"/>
        <v>Deflasi</v>
      </c>
      <c r="L2879" s="84">
        <f t="shared" si="4"/>
        <v>-0.01</v>
      </c>
      <c r="M2879" s="88" t="str">
        <f t="shared" si="5"/>
        <v>Perubahan Normal</v>
      </c>
    </row>
    <row r="2880" ht="18.75" customHeight="1">
      <c r="A2880" s="80" t="s">
        <v>333</v>
      </c>
      <c r="B2880" s="81" t="str">
        <f t="shared" si="1"/>
        <v>Kab Pasaman Barat</v>
      </c>
      <c r="C2880" s="81" t="str">
        <f t="array" ref="C2880">XLOOKUP(B2880,Reference!$A$2:$A$152,Reference!$B$2:$B$152)</f>
        <v>Sumatera Barat</v>
      </c>
      <c r="D2880" s="82" t="s">
        <v>3319</v>
      </c>
      <c r="E2880" s="83">
        <v>45352.0</v>
      </c>
      <c r="F2880" s="84" t="str">
        <f t="array" ref="F2880">XLOOKUP(G2880,Reference!$F:$F,Reference!$D:$D,"null")</f>
        <v>Makanan dan Pakaian </v>
      </c>
      <c r="G2880" s="85" t="s">
        <v>56</v>
      </c>
      <c r="H2880" s="86">
        <v>101.6</v>
      </c>
      <c r="I2880" s="86">
        <v>101.6</v>
      </c>
      <c r="J2880" s="87">
        <f t="shared" si="2"/>
        <v>0</v>
      </c>
      <c r="K2880" s="84" t="str">
        <f t="shared" si="3"/>
        <v>Stabil</v>
      </c>
      <c r="L2880" s="84">
        <f t="shared" si="4"/>
        <v>0</v>
      </c>
      <c r="M2880" s="88" t="str">
        <f t="shared" si="5"/>
        <v>Perubahan Normal</v>
      </c>
    </row>
    <row r="2881" ht="18.75" customHeight="1">
      <c r="A2881" s="80" t="s">
        <v>517</v>
      </c>
      <c r="B2881" s="81" t="str">
        <f t="shared" si="1"/>
        <v>Kota Kupang</v>
      </c>
      <c r="C2881" s="81" t="str">
        <f t="array" ref="C2881">XLOOKUP(B2881,Reference!$A$2:$A$152,Reference!$B$2:$B$152)</f>
        <v>Nusa Tenggara Timur (NTT)</v>
      </c>
      <c r="D2881" s="82" t="s">
        <v>3320</v>
      </c>
      <c r="E2881" s="83">
        <v>45352.0</v>
      </c>
      <c r="F2881" s="84" t="str">
        <f t="array" ref="F2881">XLOOKUP(G2881,Reference!$F:$F,Reference!$D:$D,"null")</f>
        <v>Makanan dan Pakaian </v>
      </c>
      <c r="G2881" s="85" t="s">
        <v>56</v>
      </c>
      <c r="H2881" s="86">
        <v>103.45</v>
      </c>
      <c r="I2881" s="86">
        <v>103.25</v>
      </c>
      <c r="J2881" s="87">
        <f t="shared" si="2"/>
        <v>0.1937046005</v>
      </c>
      <c r="K2881" s="84" t="str">
        <f t="shared" si="3"/>
        <v>Inflasi Normal</v>
      </c>
      <c r="L2881" s="84">
        <f t="shared" si="4"/>
        <v>0.2</v>
      </c>
      <c r="M2881" s="88" t="str">
        <f t="shared" si="5"/>
        <v>Perubahan Normal</v>
      </c>
    </row>
    <row r="2882" ht="18.75" customHeight="1">
      <c r="A2882" s="80" t="s">
        <v>497</v>
      </c>
      <c r="B2882" s="81" t="str">
        <f t="shared" si="1"/>
        <v>Tanjung Pandan</v>
      </c>
      <c r="C2882" s="81" t="str">
        <f t="array" ref="C2882">XLOOKUP(B2882,Reference!$A$2:$A$152,Reference!$B$2:$B$152)</f>
        <v>Kepulauan Bangka Belitung</v>
      </c>
      <c r="D2882" s="82" t="s">
        <v>3321</v>
      </c>
      <c r="E2882" s="83">
        <v>45352.0</v>
      </c>
      <c r="F2882" s="84" t="str">
        <f t="array" ref="F2882">XLOOKUP(G2882,Reference!$F:$F,Reference!$D:$D,"null")</f>
        <v>Rumah Tangga</v>
      </c>
      <c r="G2882" s="85" t="s">
        <v>80</v>
      </c>
      <c r="H2882" s="86">
        <v>100.14</v>
      </c>
      <c r="I2882" s="86">
        <v>100.14</v>
      </c>
      <c r="J2882" s="87">
        <f t="shared" si="2"/>
        <v>0</v>
      </c>
      <c r="K2882" s="84" t="str">
        <f t="shared" si="3"/>
        <v>Stabil</v>
      </c>
      <c r="L2882" s="84">
        <f t="shared" si="4"/>
        <v>0</v>
      </c>
      <c r="M2882" s="88" t="str">
        <f t="shared" si="5"/>
        <v>Perubahan Normal</v>
      </c>
    </row>
    <row r="2883" ht="18.75" customHeight="1">
      <c r="A2883" s="80" t="s">
        <v>324</v>
      </c>
      <c r="B2883" s="81" t="str">
        <f t="shared" si="1"/>
        <v>Kab Nunukan</v>
      </c>
      <c r="C2883" s="81" t="str">
        <f t="array" ref="C2883">XLOOKUP(B2883,Reference!$A$2:$A$152,Reference!$B$2:$B$152)</f>
        <v>Kalimantan Utara</v>
      </c>
      <c r="D2883" s="82" t="s">
        <v>3322</v>
      </c>
      <c r="E2883" s="83">
        <v>45352.0</v>
      </c>
      <c r="F2883" s="84" t="str">
        <f t="array" ref="F2883">XLOOKUP(G2883,Reference!$F:$F,Reference!$D:$D,"null")</f>
        <v>Makanan dan Pakaian </v>
      </c>
      <c r="G2883" s="85" t="s">
        <v>48</v>
      </c>
      <c r="H2883" s="86">
        <v>109.93</v>
      </c>
      <c r="I2883" s="86">
        <v>107.06</v>
      </c>
      <c r="J2883" s="87">
        <f t="shared" si="2"/>
        <v>2.680739772</v>
      </c>
      <c r="K2883" s="84" t="str">
        <f t="shared" si="3"/>
        <v>Inflasi Tinggi</v>
      </c>
      <c r="L2883" s="84">
        <f t="shared" si="4"/>
        <v>2.87</v>
      </c>
      <c r="M2883" s="88" t="str">
        <f t="shared" si="5"/>
        <v>Akselerasi Kuat</v>
      </c>
    </row>
    <row r="2884" ht="18.75" customHeight="1">
      <c r="A2884" s="80" t="s">
        <v>731</v>
      </c>
      <c r="B2884" s="81" t="str">
        <f t="shared" si="1"/>
        <v>Kab Hulu Sungai Tengah</v>
      </c>
      <c r="C2884" s="81" t="str">
        <f t="array" ref="C2884">XLOOKUP(B2884,Reference!$A$2:$A$152,Reference!$B$2:$B$152)</f>
        <v>Kalimantan Selatan</v>
      </c>
      <c r="D2884" s="82" t="s">
        <v>3323</v>
      </c>
      <c r="E2884" s="83">
        <v>45352.0</v>
      </c>
      <c r="F2884" s="84" t="str">
        <f t="array" ref="F2884">XLOOKUP(G2884,Reference!$F:$F,Reference!$D:$D,"null")</f>
        <v>Pendidikan dan Kesehatan</v>
      </c>
      <c r="G2884" s="85" t="s">
        <v>98</v>
      </c>
      <c r="H2884" s="86">
        <v>102.68</v>
      </c>
      <c r="I2884" s="86">
        <v>102.68</v>
      </c>
      <c r="J2884" s="87">
        <f t="shared" si="2"/>
        <v>0</v>
      </c>
      <c r="K2884" s="84" t="str">
        <f t="shared" si="3"/>
        <v>Stabil</v>
      </c>
      <c r="L2884" s="84">
        <f t="shared" si="4"/>
        <v>0</v>
      </c>
      <c r="M2884" s="88" t="str">
        <f t="shared" si="5"/>
        <v>Perubahan Normal</v>
      </c>
    </row>
    <row r="2885" ht="18.75" customHeight="1">
      <c r="A2885" s="80" t="s">
        <v>642</v>
      </c>
      <c r="B2885" s="81" t="str">
        <f t="shared" si="1"/>
        <v>Kota Bandar Lampung</v>
      </c>
      <c r="C2885" s="81" t="str">
        <f t="array" ref="C2885">XLOOKUP(B2885,Reference!$A$2:$A$152,Reference!$B$2:$B$152)</f>
        <v>Lampung</v>
      </c>
      <c r="D2885" s="82" t="s">
        <v>3324</v>
      </c>
      <c r="E2885" s="83">
        <v>45352.0</v>
      </c>
      <c r="F2885" s="84" t="str">
        <f t="array" ref="F2885">XLOOKUP(G2885,Reference!$F:$F,Reference!$D:$D,"null")</f>
        <v>Pendidikan dan Kesehatan</v>
      </c>
      <c r="G2885" s="85" t="s">
        <v>98</v>
      </c>
      <c r="H2885" s="86">
        <v>101.37</v>
      </c>
      <c r="I2885" s="86">
        <v>102.49</v>
      </c>
      <c r="J2885" s="87">
        <f t="shared" si="2"/>
        <v>-1.09278954</v>
      </c>
      <c r="K2885" s="84" t="str">
        <f t="shared" si="3"/>
        <v>Deflasi</v>
      </c>
      <c r="L2885" s="84">
        <f t="shared" si="4"/>
        <v>-1.12</v>
      </c>
      <c r="M2885" s="88" t="str">
        <f t="shared" si="5"/>
        <v>Perubahan Normal</v>
      </c>
    </row>
    <row r="2886" ht="18.75" customHeight="1">
      <c r="A2886" s="80" t="s">
        <v>310</v>
      </c>
      <c r="B2886" s="81" t="str">
        <f t="shared" si="1"/>
        <v>Kab Kampar</v>
      </c>
      <c r="C2886" s="81" t="str">
        <f t="array" ref="C2886">XLOOKUP(B2886,Reference!$A$2:$A$152,Reference!$B$2:$B$152)</f>
        <v>Riau</v>
      </c>
      <c r="D2886" s="82" t="s">
        <v>3325</v>
      </c>
      <c r="E2886" s="83">
        <v>45352.0</v>
      </c>
      <c r="F2886" s="84" t="str">
        <f t="array" ref="F2886">XLOOKUP(G2886,Reference!$F:$F,Reference!$D:$D,"null")</f>
        <v>Rumah Tangga</v>
      </c>
      <c r="G2886" s="85" t="s">
        <v>84</v>
      </c>
      <c r="H2886" s="86">
        <v>100.74</v>
      </c>
      <c r="I2886" s="86">
        <v>100.96</v>
      </c>
      <c r="J2886" s="87">
        <f t="shared" si="2"/>
        <v>-0.2179080824</v>
      </c>
      <c r="K2886" s="84" t="str">
        <f t="shared" si="3"/>
        <v>Deflasi</v>
      </c>
      <c r="L2886" s="84">
        <f t="shared" si="4"/>
        <v>-0.22</v>
      </c>
      <c r="M2886" s="88" t="str">
        <f t="shared" si="5"/>
        <v>Perubahan Normal</v>
      </c>
    </row>
    <row r="2887" ht="18.75" customHeight="1">
      <c r="A2887" s="80" t="s">
        <v>618</v>
      </c>
      <c r="B2887" s="81" t="str">
        <f t="shared" si="1"/>
        <v>Kota Tangerang</v>
      </c>
      <c r="C2887" s="81" t="str">
        <f t="array" ref="C2887">XLOOKUP(B2887,Reference!$A$2:$A$152,Reference!$B$2:$B$152)</f>
        <v>Banten</v>
      </c>
      <c r="D2887" s="82" t="s">
        <v>3326</v>
      </c>
      <c r="E2887" s="83">
        <v>45352.0</v>
      </c>
      <c r="F2887" s="84" t="str">
        <f t="array" ref="F2887">XLOOKUP(G2887,Reference!$F:$F,Reference!$D:$D,"null")</f>
        <v>Makanan dan Pakaian </v>
      </c>
      <c r="G2887" s="85" t="s">
        <v>64</v>
      </c>
      <c r="H2887" s="86">
        <v>104.37</v>
      </c>
      <c r="I2887" s="86">
        <v>103.25</v>
      </c>
      <c r="J2887" s="87">
        <f t="shared" si="2"/>
        <v>1.084745763</v>
      </c>
      <c r="K2887" s="84" t="str">
        <f t="shared" si="3"/>
        <v>Inflasi Tinggi</v>
      </c>
      <c r="L2887" s="84">
        <f t="shared" si="4"/>
        <v>1.12</v>
      </c>
      <c r="M2887" s="88" t="str">
        <f t="shared" si="5"/>
        <v>Akselerasi Persentase</v>
      </c>
    </row>
    <row r="2888" ht="18.75" customHeight="1">
      <c r="A2888" s="80" t="s">
        <v>419</v>
      </c>
      <c r="B2888" s="81" t="str">
        <f t="shared" si="1"/>
        <v>Kota Singkawang</v>
      </c>
      <c r="C2888" s="81" t="str">
        <f t="array" ref="C2888">XLOOKUP(B2888,Reference!$A$2:$A$152,Reference!$B$2:$B$152)</f>
        <v>Kalimantan Barat</v>
      </c>
      <c r="D2888" s="82" t="s">
        <v>3327</v>
      </c>
      <c r="E2888" s="83">
        <v>45352.0</v>
      </c>
      <c r="F2888" s="84" t="str">
        <f t="array" ref="F2888">XLOOKUP(G2888,Reference!$F:$F,Reference!$D:$D,"null")</f>
        <v>Makanan dan Pakaian </v>
      </c>
      <c r="G2888" s="85" t="s">
        <v>56</v>
      </c>
      <c r="H2888" s="86">
        <v>106.15</v>
      </c>
      <c r="I2888" s="86">
        <v>105.67</v>
      </c>
      <c r="J2888" s="87">
        <f t="shared" si="2"/>
        <v>0.4542443456</v>
      </c>
      <c r="K2888" s="84" t="str">
        <f t="shared" si="3"/>
        <v>Inflasi Normal</v>
      </c>
      <c r="L2888" s="84">
        <f t="shared" si="4"/>
        <v>0.48</v>
      </c>
      <c r="M2888" s="88" t="str">
        <f t="shared" si="5"/>
        <v>Perubahan Normal</v>
      </c>
    </row>
    <row r="2889" ht="18.75" customHeight="1">
      <c r="A2889" s="80" t="s">
        <v>395</v>
      </c>
      <c r="B2889" s="81" t="str">
        <f t="shared" si="1"/>
        <v>Kota Bukittinggi</v>
      </c>
      <c r="C2889" s="81" t="str">
        <f t="array" ref="C2889">XLOOKUP(B2889,Reference!$A$2:$A$152,Reference!$B$2:$B$152)</f>
        <v>Sumatera Barat</v>
      </c>
      <c r="D2889" s="82" t="s">
        <v>3328</v>
      </c>
      <c r="E2889" s="83">
        <v>45352.0</v>
      </c>
      <c r="F2889" s="84" t="str">
        <f t="array" ref="F2889">XLOOKUP(G2889,Reference!$F:$F,Reference!$D:$D,"null")</f>
        <v>Makanan dan Pakaian </v>
      </c>
      <c r="G2889" s="85" t="s">
        <v>56</v>
      </c>
      <c r="H2889" s="86">
        <v>101.75</v>
      </c>
      <c r="I2889" s="86">
        <v>101.68</v>
      </c>
      <c r="J2889" s="87">
        <f t="shared" si="2"/>
        <v>0.06884343037</v>
      </c>
      <c r="K2889" s="84" t="str">
        <f t="shared" si="3"/>
        <v>Inflasi Normal</v>
      </c>
      <c r="L2889" s="84">
        <f t="shared" si="4"/>
        <v>0.07</v>
      </c>
      <c r="M2889" s="88" t="str">
        <f t="shared" si="5"/>
        <v>Perubahan Normal</v>
      </c>
    </row>
    <row r="2890" ht="18.75" customHeight="1">
      <c r="A2890" s="80" t="s">
        <v>337</v>
      </c>
      <c r="B2890" s="81" t="str">
        <f t="shared" si="1"/>
        <v>Merauke</v>
      </c>
      <c r="C2890" s="81" t="str">
        <f t="array" ref="C2890">XLOOKUP(B2890,Reference!$A$2:$A$152,Reference!$B$2:$B$152)</f>
        <v>Papua</v>
      </c>
      <c r="D2890" s="82" t="s">
        <v>3329</v>
      </c>
      <c r="E2890" s="83">
        <v>45323.0</v>
      </c>
      <c r="F2890" s="84" t="str">
        <f t="array" ref="F2890">XLOOKUP(G2890,Reference!$F:$F,Reference!$D:$D,"null")</f>
        <v>Pendidikan dan Kesehatan</v>
      </c>
      <c r="G2890" s="85" t="s">
        <v>95</v>
      </c>
      <c r="H2890" s="86">
        <v>103.76</v>
      </c>
      <c r="I2890" s="86">
        <v>103.76</v>
      </c>
      <c r="J2890" s="87">
        <f t="shared" si="2"/>
        <v>0</v>
      </c>
      <c r="K2890" s="84" t="str">
        <f t="shared" si="3"/>
        <v>Stabil</v>
      </c>
      <c r="L2890" s="84">
        <f t="shared" si="4"/>
        <v>0</v>
      </c>
      <c r="M2890" s="88" t="str">
        <f t="shared" si="5"/>
        <v>Perubahan Normal</v>
      </c>
    </row>
    <row r="2891" ht="18.75" customHeight="1">
      <c r="A2891" s="80" t="s">
        <v>814</v>
      </c>
      <c r="B2891" s="81" t="str">
        <f t="shared" si="1"/>
        <v>Kota Samarinda</v>
      </c>
      <c r="C2891" s="81" t="str">
        <f t="array" ref="C2891">XLOOKUP(B2891,Reference!$A$2:$A$152,Reference!$B$2:$B$152)</f>
        <v>Kalimantan Timur</v>
      </c>
      <c r="D2891" s="82" t="s">
        <v>3330</v>
      </c>
      <c r="E2891" s="83">
        <v>45352.0</v>
      </c>
      <c r="F2891" s="84" t="str">
        <f t="array" ref="F2891">XLOOKUP(G2891,Reference!$F:$F,Reference!$D:$D,"null")</f>
        <v>Rekreasi dan Kendaraan</v>
      </c>
      <c r="G2891" s="85" t="s">
        <v>105</v>
      </c>
      <c r="H2891" s="86">
        <v>106.94</v>
      </c>
      <c r="I2891" s="86">
        <v>106.87</v>
      </c>
      <c r="J2891" s="87">
        <f t="shared" si="2"/>
        <v>0.06550014036</v>
      </c>
      <c r="K2891" s="84" t="str">
        <f t="shared" si="3"/>
        <v>Inflasi Normal</v>
      </c>
      <c r="L2891" s="84">
        <f t="shared" si="4"/>
        <v>0.07</v>
      </c>
      <c r="M2891" s="88" t="str">
        <f t="shared" si="5"/>
        <v>Perubahan Normal</v>
      </c>
    </row>
    <row r="2892" ht="18.75" customHeight="1">
      <c r="A2892" s="80" t="s">
        <v>433</v>
      </c>
      <c r="B2892" s="81" t="str">
        <f t="shared" si="1"/>
        <v>Kab Tulungagung</v>
      </c>
      <c r="C2892" s="81" t="str">
        <f t="array" ref="C2892">XLOOKUP(B2892,Reference!$A$2:$A$152,Reference!$B$2:$B$152)</f>
        <v>Jawa Timur</v>
      </c>
      <c r="D2892" s="82" t="s">
        <v>3331</v>
      </c>
      <c r="E2892" s="83">
        <v>45352.0</v>
      </c>
      <c r="F2892" s="84" t="str">
        <f t="array" ref="F2892">XLOOKUP(G2892,Reference!$F:$F,Reference!$D:$D,"null")</f>
        <v>Makanan dan Pakaian </v>
      </c>
      <c r="G2892" s="85" t="s">
        <v>72</v>
      </c>
      <c r="H2892" s="86">
        <v>105.96</v>
      </c>
      <c r="I2892" s="86">
        <v>105.35</v>
      </c>
      <c r="J2892" s="87">
        <f t="shared" si="2"/>
        <v>0.5790223066</v>
      </c>
      <c r="K2892" s="84" t="str">
        <f t="shared" si="3"/>
        <v>Inflasi Tinggi</v>
      </c>
      <c r="L2892" s="84">
        <f t="shared" si="4"/>
        <v>0.61</v>
      </c>
      <c r="M2892" s="88" t="str">
        <f t="shared" si="5"/>
        <v>Akselerasi Persentase</v>
      </c>
    </row>
    <row r="2893" ht="18.75" customHeight="1">
      <c r="A2893" s="80" t="s">
        <v>401</v>
      </c>
      <c r="B2893" s="81" t="str">
        <f t="shared" si="1"/>
        <v>Kota Tual</v>
      </c>
      <c r="C2893" s="81" t="str">
        <f t="array" ref="C2893">XLOOKUP(B2893,Reference!$A$2:$A$152,Reference!$B$2:$B$152)</f>
        <v>Maluku</v>
      </c>
      <c r="D2893" s="82" t="s">
        <v>3332</v>
      </c>
      <c r="E2893" s="83">
        <v>45352.0</v>
      </c>
      <c r="F2893" s="84" t="str">
        <f t="array" ref="F2893">XLOOKUP(G2893,Reference!$F:$F,Reference!$D:$D,"null")</f>
        <v>Makanan dan Pakaian </v>
      </c>
      <c r="G2893" s="85" t="s">
        <v>56</v>
      </c>
      <c r="H2893" s="86">
        <v>107.26</v>
      </c>
      <c r="I2893" s="86">
        <v>107.37</v>
      </c>
      <c r="J2893" s="87">
        <f t="shared" si="2"/>
        <v>-0.1024494738</v>
      </c>
      <c r="K2893" s="84" t="str">
        <f t="shared" si="3"/>
        <v>Deflasi</v>
      </c>
      <c r="L2893" s="84">
        <f t="shared" si="4"/>
        <v>-0.11</v>
      </c>
      <c r="M2893" s="88" t="str">
        <f t="shared" si="5"/>
        <v>Perubahan Normal</v>
      </c>
    </row>
    <row r="2894" ht="18.75" customHeight="1">
      <c r="A2894" s="80" t="s">
        <v>468</v>
      </c>
      <c r="B2894" s="81" t="str">
        <f t="shared" si="1"/>
        <v>Timika</v>
      </c>
      <c r="C2894" s="81" t="str">
        <f t="array" ref="C2894">XLOOKUP(B2894,Reference!$A$2:$A$152,Reference!$B$2:$B$152)</f>
        <v>Papua</v>
      </c>
      <c r="D2894" s="82" t="s">
        <v>3333</v>
      </c>
      <c r="E2894" s="83">
        <v>45323.0</v>
      </c>
      <c r="F2894" s="84" t="str">
        <f t="array" ref="F2894">XLOOKUP(G2894,Reference!$F:$F,Reference!$D:$D,"null")</f>
        <v>Pendidikan dan Kesehatan</v>
      </c>
      <c r="G2894" s="85" t="s">
        <v>95</v>
      </c>
      <c r="H2894" s="86">
        <v>101.34</v>
      </c>
      <c r="I2894" s="86">
        <v>101.34</v>
      </c>
      <c r="J2894" s="87">
        <f t="shared" si="2"/>
        <v>0</v>
      </c>
      <c r="K2894" s="84" t="str">
        <f t="shared" si="3"/>
        <v>Stabil</v>
      </c>
      <c r="L2894" s="84">
        <f t="shared" si="4"/>
        <v>0</v>
      </c>
      <c r="M2894" s="88" t="str">
        <f t="shared" si="5"/>
        <v>Perubahan Normal</v>
      </c>
    </row>
    <row r="2895" ht="18.75" customHeight="1">
      <c r="A2895" s="80" t="s">
        <v>349</v>
      </c>
      <c r="B2895" s="81" t="str">
        <f t="shared" si="1"/>
        <v>Kota Banjarmasin</v>
      </c>
      <c r="C2895" s="81" t="str">
        <f t="array" ref="C2895">XLOOKUP(B2895,Reference!$A$2:$A$152,Reference!$B$2:$B$152)</f>
        <v>Kalimantan Selatan</v>
      </c>
      <c r="D2895" s="82" t="s">
        <v>3334</v>
      </c>
      <c r="E2895" s="83">
        <v>45323.0</v>
      </c>
      <c r="F2895" s="84" t="str">
        <f t="array" ref="F2895">XLOOKUP(G2895,Reference!$F:$F,Reference!$D:$D,"null")</f>
        <v>Pendidikan dan Kesehatan</v>
      </c>
      <c r="G2895" s="85" t="s">
        <v>95</v>
      </c>
      <c r="H2895" s="86">
        <v>104.61</v>
      </c>
      <c r="I2895" s="86">
        <v>104.61</v>
      </c>
      <c r="J2895" s="87">
        <f t="shared" si="2"/>
        <v>0</v>
      </c>
      <c r="K2895" s="84" t="str">
        <f t="shared" si="3"/>
        <v>Stabil</v>
      </c>
      <c r="L2895" s="84">
        <f t="shared" si="4"/>
        <v>0</v>
      </c>
      <c r="M2895" s="88" t="str">
        <f t="shared" si="5"/>
        <v>Perubahan Normal</v>
      </c>
    </row>
    <row r="2896" ht="18.75" customHeight="1">
      <c r="A2896" s="80" t="s">
        <v>429</v>
      </c>
      <c r="B2896" s="81" t="str">
        <f t="shared" si="1"/>
        <v>Kab Nabire</v>
      </c>
      <c r="C2896" s="81" t="str">
        <f t="array" ref="C2896">XLOOKUP(B2896,Reference!$A$2:$A$152,Reference!$B$2:$B$152)</f>
        <v>Papua</v>
      </c>
      <c r="D2896" s="82" t="s">
        <v>3335</v>
      </c>
      <c r="E2896" s="83">
        <v>45352.0</v>
      </c>
      <c r="F2896" s="84" t="str">
        <f t="array" ref="F2896">XLOOKUP(G2896,Reference!$F:$F,Reference!$D:$D,"null")</f>
        <v>Rekreasi dan Kendaraan</v>
      </c>
      <c r="G2896" s="85" t="s">
        <v>102</v>
      </c>
      <c r="H2896" s="86">
        <v>108.89</v>
      </c>
      <c r="I2896" s="86">
        <v>108.94</v>
      </c>
      <c r="J2896" s="87">
        <f t="shared" si="2"/>
        <v>-0.04589682394</v>
      </c>
      <c r="K2896" s="84" t="str">
        <f t="shared" si="3"/>
        <v>Deflasi</v>
      </c>
      <c r="L2896" s="84">
        <f t="shared" si="4"/>
        <v>-0.05</v>
      </c>
      <c r="M2896" s="88" t="str">
        <f t="shared" si="5"/>
        <v>Perubahan Normal</v>
      </c>
    </row>
    <row r="2897" ht="18.75" customHeight="1">
      <c r="A2897" s="80" t="s">
        <v>387</v>
      </c>
      <c r="B2897" s="81" t="str">
        <f t="shared" si="1"/>
        <v>Kota Semarang</v>
      </c>
      <c r="C2897" s="81" t="str">
        <f t="array" ref="C2897">XLOOKUP(B2897,Reference!$A$2:$A$152,Reference!$B$2:$B$152)</f>
        <v>Jawa Tengah</v>
      </c>
      <c r="D2897" s="82" t="s">
        <v>3336</v>
      </c>
      <c r="E2897" s="83">
        <v>45352.0</v>
      </c>
      <c r="F2897" s="84" t="str">
        <f t="array" ref="F2897">XLOOKUP(G2897,Reference!$F:$F,Reference!$D:$D,"null")</f>
        <v>Rumah Tangga</v>
      </c>
      <c r="G2897" s="85" t="s">
        <v>84</v>
      </c>
      <c r="H2897" s="86">
        <v>100.09</v>
      </c>
      <c r="I2897" s="86">
        <v>100.03</v>
      </c>
      <c r="J2897" s="87">
        <f t="shared" si="2"/>
        <v>0.0599820054</v>
      </c>
      <c r="K2897" s="84" t="str">
        <f t="shared" si="3"/>
        <v>Inflasi Normal</v>
      </c>
      <c r="L2897" s="84">
        <f t="shared" si="4"/>
        <v>0.06</v>
      </c>
      <c r="M2897" s="88" t="str">
        <f t="shared" si="5"/>
        <v>Perubahan Normal</v>
      </c>
    </row>
    <row r="2898" ht="18.75" customHeight="1">
      <c r="A2898" s="80" t="s">
        <v>302</v>
      </c>
      <c r="B2898" s="81" t="str">
        <f t="shared" si="1"/>
        <v>Kota Lubuk Linggau</v>
      </c>
      <c r="C2898" s="81" t="str">
        <f t="array" ref="C2898">XLOOKUP(B2898,Reference!$A$2:$A$152,Reference!$B$2:$B$152)</f>
        <v>Sumatera Selatan</v>
      </c>
      <c r="D2898" s="82" t="s">
        <v>3337</v>
      </c>
      <c r="E2898" s="83">
        <v>45323.0</v>
      </c>
      <c r="F2898" s="84" t="str">
        <f t="array" ref="F2898">XLOOKUP(G2898,Reference!$F:$F,Reference!$D:$D,"null")</f>
        <v>Rumah Tangga</v>
      </c>
      <c r="G2898" s="85" t="s">
        <v>84</v>
      </c>
      <c r="H2898" s="86">
        <v>101.27</v>
      </c>
      <c r="I2898" s="86">
        <v>101.27</v>
      </c>
      <c r="J2898" s="87">
        <f t="shared" si="2"/>
        <v>0</v>
      </c>
      <c r="K2898" s="84" t="str">
        <f t="shared" si="3"/>
        <v>Stabil</v>
      </c>
      <c r="L2898" s="84">
        <f t="shared" si="4"/>
        <v>0</v>
      </c>
      <c r="M2898" s="88" t="str">
        <f t="shared" si="5"/>
        <v>Perubahan Normal</v>
      </c>
    </row>
    <row r="2899" ht="18.75" customHeight="1">
      <c r="A2899" s="80" t="s">
        <v>492</v>
      </c>
      <c r="B2899" s="81" t="str">
        <f t="shared" si="1"/>
        <v>Kota Cilegon</v>
      </c>
      <c r="C2899" s="81" t="str">
        <f t="array" ref="C2899">XLOOKUP(B2899,Reference!$A$2:$A$152,Reference!$B$2:$B$152)</f>
        <v>Banten</v>
      </c>
      <c r="D2899" s="82" t="s">
        <v>3338</v>
      </c>
      <c r="E2899" s="83">
        <v>45323.0</v>
      </c>
      <c r="F2899" s="84" t="str">
        <f t="array" ref="F2899">XLOOKUP(G2899,Reference!$F:$F,Reference!$D:$D,"null")</f>
        <v>Makanan dan Pakaian </v>
      </c>
      <c r="G2899" s="85" t="s">
        <v>48</v>
      </c>
      <c r="H2899" s="86">
        <v>109.23</v>
      </c>
      <c r="I2899" s="86">
        <v>107.11</v>
      </c>
      <c r="J2899" s="87">
        <f t="shared" si="2"/>
        <v>1.979273644</v>
      </c>
      <c r="K2899" s="84" t="str">
        <f t="shared" si="3"/>
        <v>Inflasi Tinggi</v>
      </c>
      <c r="L2899" s="84">
        <f t="shared" si="4"/>
        <v>2.12</v>
      </c>
      <c r="M2899" s="88" t="str">
        <f t="shared" si="5"/>
        <v>Akselerasi Kuat</v>
      </c>
    </row>
    <row r="2900" ht="18.75" customHeight="1">
      <c r="A2900" s="80" t="s">
        <v>631</v>
      </c>
      <c r="B2900" s="81" t="str">
        <f t="shared" si="1"/>
        <v>Kab Toli Toli</v>
      </c>
      <c r="C2900" s="81" t="str">
        <f t="array" ref="C2900">XLOOKUP(B2900,Reference!$A$2:$A$152,Reference!$B$2:$B$152)</f>
        <v>Sulawesi Tengah</v>
      </c>
      <c r="D2900" s="82" t="s">
        <v>3339</v>
      </c>
      <c r="E2900" s="83">
        <v>45323.0</v>
      </c>
      <c r="F2900" s="84" t="str">
        <f t="array" ref="F2900">XLOOKUP(G2900,Reference!$F:$F,Reference!$D:$D,"null")</f>
        <v>Rekreasi dan Kendaraan</v>
      </c>
      <c r="G2900" s="85" t="s">
        <v>102</v>
      </c>
      <c r="H2900" s="86">
        <v>95.77</v>
      </c>
      <c r="I2900" s="86">
        <v>95.77</v>
      </c>
      <c r="J2900" s="87">
        <f t="shared" si="2"/>
        <v>0</v>
      </c>
      <c r="K2900" s="84" t="str">
        <f t="shared" si="3"/>
        <v>Stabil</v>
      </c>
      <c r="L2900" s="84">
        <f t="shared" si="4"/>
        <v>0</v>
      </c>
      <c r="M2900" s="88" t="str">
        <f t="shared" si="5"/>
        <v>Perubahan Normal</v>
      </c>
    </row>
    <row r="2901" ht="18.75" customHeight="1">
      <c r="A2901" s="80" t="s">
        <v>529</v>
      </c>
      <c r="B2901" s="81" t="str">
        <f t="shared" si="1"/>
        <v>Kota Yogyakarta</v>
      </c>
      <c r="C2901" s="81" t="str">
        <f t="array" ref="C2901">XLOOKUP(B2901,Reference!$A$2:$A$152,Reference!$B$2:$B$152)</f>
        <v>D.I. Yogyakarta</v>
      </c>
      <c r="D2901" s="82" t="s">
        <v>3340</v>
      </c>
      <c r="E2901" s="83">
        <v>45323.0</v>
      </c>
      <c r="F2901" s="84" t="str">
        <f t="array" ref="F2901">XLOOKUP(G2901,Reference!$F:$F,Reference!$D:$D,"null")</f>
        <v>Pendidikan dan Kesehatan</v>
      </c>
      <c r="G2901" s="89" t="s">
        <v>98</v>
      </c>
      <c r="H2901" s="90">
        <v>106.62</v>
      </c>
      <c r="I2901" s="90">
        <v>106.47</v>
      </c>
      <c r="J2901" s="87">
        <f t="shared" si="2"/>
        <v>0.1408847563</v>
      </c>
      <c r="K2901" s="84" t="str">
        <f t="shared" si="3"/>
        <v>Inflasi Normal</v>
      </c>
      <c r="L2901" s="91">
        <f t="shared" si="4"/>
        <v>0.15</v>
      </c>
      <c r="M2901" s="88" t="str">
        <f t="shared" si="5"/>
        <v>Perubahan Normal</v>
      </c>
    </row>
    <row r="2902" ht="18.75" customHeight="1">
      <c r="A2902" s="80" t="s">
        <v>340</v>
      </c>
      <c r="B2902" s="81" t="str">
        <f t="shared" si="1"/>
        <v>Kab Rembang</v>
      </c>
      <c r="C2902" s="81" t="str">
        <f t="array" ref="C2902">XLOOKUP(B2902,Reference!$A$2:$A$152,Reference!$B$2:$B$152)</f>
        <v>Jawa Tengah</v>
      </c>
      <c r="D2902" s="82" t="s">
        <v>3341</v>
      </c>
      <c r="E2902" s="83">
        <v>45352.0</v>
      </c>
      <c r="F2902" s="84" t="str">
        <f t="array" ref="F2902">XLOOKUP(G2902,Reference!$F:$F,Reference!$D:$D,"null")</f>
        <v>Makanan dan Pakaian </v>
      </c>
      <c r="G2902" s="85" t="s">
        <v>56</v>
      </c>
      <c r="H2902" s="86">
        <v>113.16</v>
      </c>
      <c r="I2902" s="86">
        <v>114.3</v>
      </c>
      <c r="J2902" s="87">
        <f t="shared" si="2"/>
        <v>-0.9973753281</v>
      </c>
      <c r="K2902" s="84" t="str">
        <f t="shared" si="3"/>
        <v>Deflasi</v>
      </c>
      <c r="L2902" s="84">
        <f t="shared" si="4"/>
        <v>-1.14</v>
      </c>
      <c r="M2902" s="88" t="str">
        <f t="shared" si="5"/>
        <v>Perubahan Normal</v>
      </c>
    </row>
    <row r="2903" ht="18.75" customHeight="1">
      <c r="A2903" s="80" t="s">
        <v>618</v>
      </c>
      <c r="B2903" s="81" t="str">
        <f t="shared" si="1"/>
        <v>Kota Tangerang</v>
      </c>
      <c r="C2903" s="81" t="str">
        <f t="array" ref="C2903">XLOOKUP(B2903,Reference!$A$2:$A$152,Reference!$B$2:$B$152)</f>
        <v>Banten</v>
      </c>
      <c r="D2903" s="82" t="s">
        <v>3342</v>
      </c>
      <c r="E2903" s="83">
        <v>45352.0</v>
      </c>
      <c r="F2903" s="84" t="str">
        <f t="array" ref="F2903">XLOOKUP(G2903,Reference!$F:$F,Reference!$D:$D,"null")</f>
        <v>Rekreasi dan Kendaraan</v>
      </c>
      <c r="G2903" s="85" t="s">
        <v>102</v>
      </c>
      <c r="H2903" s="86">
        <v>101.8</v>
      </c>
      <c r="I2903" s="86">
        <v>101.48</v>
      </c>
      <c r="J2903" s="87">
        <f t="shared" si="2"/>
        <v>0.3153330706</v>
      </c>
      <c r="K2903" s="84" t="str">
        <f t="shared" si="3"/>
        <v>Inflasi Normal</v>
      </c>
      <c r="L2903" s="84">
        <f t="shared" si="4"/>
        <v>0.32</v>
      </c>
      <c r="M2903" s="88" t="str">
        <f t="shared" si="5"/>
        <v>Perubahan Normal</v>
      </c>
    </row>
    <row r="2904" ht="18.75" customHeight="1">
      <c r="A2904" s="80" t="s">
        <v>421</v>
      </c>
      <c r="B2904" s="81" t="str">
        <f t="shared" si="1"/>
        <v>Kab Halmahera Tengah</v>
      </c>
      <c r="C2904" s="81" t="str">
        <f t="array" ref="C2904">XLOOKUP(B2904,Reference!$A$2:$A$152,Reference!$B$2:$B$152)</f>
        <v>Maluku Utara</v>
      </c>
      <c r="D2904" s="82" t="s">
        <v>3343</v>
      </c>
      <c r="E2904" s="83">
        <v>45352.0</v>
      </c>
      <c r="F2904" s="84" t="str">
        <f t="array" ref="F2904">XLOOKUP(G2904,Reference!$F:$F,Reference!$D:$D,"null")</f>
        <v>Rumah Tangga</v>
      </c>
      <c r="G2904" s="85" t="s">
        <v>80</v>
      </c>
      <c r="H2904" s="86">
        <v>100.65</v>
      </c>
      <c r="I2904" s="86">
        <v>100.65</v>
      </c>
      <c r="J2904" s="87">
        <f t="shared" si="2"/>
        <v>0</v>
      </c>
      <c r="K2904" s="84" t="str">
        <f t="shared" si="3"/>
        <v>Stabil</v>
      </c>
      <c r="L2904" s="84">
        <f t="shared" si="4"/>
        <v>0</v>
      </c>
      <c r="M2904" s="88" t="str">
        <f t="shared" si="5"/>
        <v>Perubahan Normal</v>
      </c>
    </row>
    <row r="2905" ht="18.75" customHeight="1">
      <c r="A2905" s="80" t="s">
        <v>318</v>
      </c>
      <c r="B2905" s="81" t="str">
        <f t="shared" si="1"/>
        <v>Tanjung</v>
      </c>
      <c r="C2905" s="81" t="str">
        <f t="array" ref="C2905">XLOOKUP(B2905,Reference!$A$2:$A$152,Reference!$B$2:$B$152)</f>
        <v>Kalimantan Selatan</v>
      </c>
      <c r="D2905" s="82" t="s">
        <v>3344</v>
      </c>
      <c r="E2905" s="83">
        <v>45352.0</v>
      </c>
      <c r="F2905" s="84" t="str">
        <f t="array" ref="F2905">XLOOKUP(G2905,Reference!$F:$F,Reference!$D:$D,"null")</f>
        <v>Pendidikan dan Kesehatan</v>
      </c>
      <c r="G2905" s="85" t="s">
        <v>95</v>
      </c>
      <c r="H2905" s="86">
        <v>99.92</v>
      </c>
      <c r="I2905" s="86">
        <v>99.92</v>
      </c>
      <c r="J2905" s="87">
        <f t="shared" si="2"/>
        <v>0</v>
      </c>
      <c r="K2905" s="84" t="str">
        <f t="shared" si="3"/>
        <v>Stabil</v>
      </c>
      <c r="L2905" s="84">
        <f t="shared" si="4"/>
        <v>0</v>
      </c>
      <c r="M2905" s="88" t="str">
        <f t="shared" si="5"/>
        <v>Perubahan Normal</v>
      </c>
    </row>
    <row r="2906" ht="18.75" customHeight="1">
      <c r="A2906" s="80" t="s">
        <v>485</v>
      </c>
      <c r="B2906" s="81" t="str">
        <f t="shared" si="1"/>
        <v>Banyuwangi</v>
      </c>
      <c r="C2906" s="81" t="str">
        <f t="array" ref="C2906">XLOOKUP(B2906,Reference!$A$2:$A$152,Reference!$B$2:$B$152)</f>
        <v>Jawa Timur</v>
      </c>
      <c r="D2906" s="82" t="s">
        <v>3345</v>
      </c>
      <c r="E2906" s="83">
        <v>45323.0</v>
      </c>
      <c r="F2906" s="84" t="str">
        <f t="array" ref="F2906">XLOOKUP(G2906,Reference!$F:$F,Reference!$D:$D,"null")</f>
        <v>Pendidikan dan Kesehatan</v>
      </c>
      <c r="G2906" s="85" t="s">
        <v>95</v>
      </c>
      <c r="H2906" s="86">
        <v>104.36</v>
      </c>
      <c r="I2906" s="86">
        <v>104.36</v>
      </c>
      <c r="J2906" s="87">
        <f t="shared" si="2"/>
        <v>0</v>
      </c>
      <c r="K2906" s="84" t="str">
        <f t="shared" si="3"/>
        <v>Stabil</v>
      </c>
      <c r="L2906" s="84">
        <f t="shared" si="4"/>
        <v>0</v>
      </c>
      <c r="M2906" s="88" t="str">
        <f t="shared" si="5"/>
        <v>Perubahan Normal</v>
      </c>
    </row>
    <row r="2907" ht="18.75" customHeight="1">
      <c r="A2907" s="80" t="s">
        <v>485</v>
      </c>
      <c r="B2907" s="81" t="str">
        <f t="shared" si="1"/>
        <v>Banyuwangi</v>
      </c>
      <c r="C2907" s="81" t="str">
        <f t="array" ref="C2907">XLOOKUP(B2907,Reference!$A$2:$A$152,Reference!$B$2:$B$152)</f>
        <v>Jawa Timur</v>
      </c>
      <c r="D2907" s="82" t="s">
        <v>3346</v>
      </c>
      <c r="E2907" s="83">
        <v>45323.0</v>
      </c>
      <c r="F2907" s="84" t="str">
        <f t="array" ref="F2907">XLOOKUP(G2907,Reference!$F:$F,Reference!$D:$D,"null")</f>
        <v>Rumah Tangga</v>
      </c>
      <c r="G2907" s="85" t="s">
        <v>80</v>
      </c>
      <c r="H2907" s="86">
        <v>101.18</v>
      </c>
      <c r="I2907" s="86">
        <v>101.18</v>
      </c>
      <c r="J2907" s="87">
        <f t="shared" si="2"/>
        <v>0</v>
      </c>
      <c r="K2907" s="84" t="str">
        <f t="shared" si="3"/>
        <v>Stabil</v>
      </c>
      <c r="L2907" s="84">
        <f t="shared" si="4"/>
        <v>0</v>
      </c>
      <c r="M2907" s="88" t="str">
        <f t="shared" si="5"/>
        <v>Perubahan Normal</v>
      </c>
    </row>
    <row r="2908" ht="18.75" customHeight="1">
      <c r="A2908" s="80" t="s">
        <v>358</v>
      </c>
      <c r="B2908" s="81" t="str">
        <f t="shared" si="1"/>
        <v>Kab Minahasa Utara</v>
      </c>
      <c r="C2908" s="81" t="str">
        <f t="array" ref="C2908">XLOOKUP(B2908,Reference!$A$2:$A$152,Reference!$B$2:$B$152)</f>
        <v>Sulawesi Utara</v>
      </c>
      <c r="D2908" s="82" t="s">
        <v>3347</v>
      </c>
      <c r="E2908" s="83">
        <v>45352.0</v>
      </c>
      <c r="F2908" s="84" t="str">
        <f t="array" ref="F2908">XLOOKUP(G2908,Reference!$F:$F,Reference!$D:$D,"null")</f>
        <v>Pendidikan dan Kesehatan</v>
      </c>
      <c r="G2908" s="85" t="s">
        <v>95</v>
      </c>
      <c r="H2908" s="86">
        <v>100.26</v>
      </c>
      <c r="I2908" s="86">
        <v>100.26</v>
      </c>
      <c r="J2908" s="87">
        <f t="shared" si="2"/>
        <v>0</v>
      </c>
      <c r="K2908" s="84" t="str">
        <f t="shared" si="3"/>
        <v>Stabil</v>
      </c>
      <c r="L2908" s="84">
        <f t="shared" si="4"/>
        <v>0</v>
      </c>
      <c r="M2908" s="88" t="str">
        <f t="shared" si="5"/>
        <v>Perubahan Normal</v>
      </c>
    </row>
    <row r="2909" ht="18.75" customHeight="1">
      <c r="A2909" s="80" t="s">
        <v>905</v>
      </c>
      <c r="B2909" s="81" t="str">
        <f t="shared" si="1"/>
        <v>Kota Ambon</v>
      </c>
      <c r="C2909" s="81" t="str">
        <f t="array" ref="C2909">XLOOKUP(B2909,Reference!$A$2:$A$152,Reference!$B$2:$B$152)</f>
        <v>Maluku</v>
      </c>
      <c r="D2909" s="82" t="s">
        <v>3348</v>
      </c>
      <c r="E2909" s="83">
        <v>45323.0</v>
      </c>
      <c r="F2909" s="84" t="str">
        <f t="array" ref="F2909">XLOOKUP(G2909,Reference!$F:$F,Reference!$D:$D,"null")</f>
        <v>Pendidikan dan Kesehatan</v>
      </c>
      <c r="G2909" s="85" t="s">
        <v>98</v>
      </c>
      <c r="H2909" s="86">
        <v>103.79</v>
      </c>
      <c r="I2909" s="86">
        <v>104.07</v>
      </c>
      <c r="J2909" s="87">
        <f t="shared" si="2"/>
        <v>-0.2690496781</v>
      </c>
      <c r="K2909" s="84" t="str">
        <f t="shared" si="3"/>
        <v>Deflasi</v>
      </c>
      <c r="L2909" s="84">
        <f t="shared" si="4"/>
        <v>-0.28</v>
      </c>
      <c r="M2909" s="88" t="str">
        <f t="shared" si="5"/>
        <v>Perubahan Normal</v>
      </c>
    </row>
    <row r="2910" ht="18.75" customHeight="1">
      <c r="A2910" s="80" t="s">
        <v>326</v>
      </c>
      <c r="B2910" s="81" t="str">
        <f t="shared" si="1"/>
        <v>Luwuk</v>
      </c>
      <c r="C2910" s="81" t="str">
        <f t="array" ref="C2910">XLOOKUP(B2910,Reference!$A$2:$A$152,Reference!$B$2:$B$152)</f>
        <v>Sulawesi Tengah</v>
      </c>
      <c r="D2910" s="82" t="s">
        <v>3349</v>
      </c>
      <c r="E2910" s="83">
        <v>45323.0</v>
      </c>
      <c r="F2910" s="84" t="str">
        <f t="array" ref="F2910">XLOOKUP(G2910,Reference!$F:$F,Reference!$D:$D,"null")</f>
        <v>Makanan dan Pakaian </v>
      </c>
      <c r="G2910" s="85" t="s">
        <v>56</v>
      </c>
      <c r="H2910" s="86">
        <v>102.89</v>
      </c>
      <c r="I2910" s="86">
        <v>102.19</v>
      </c>
      <c r="J2910" s="87">
        <f t="shared" si="2"/>
        <v>0.6849985321</v>
      </c>
      <c r="K2910" s="84" t="str">
        <f t="shared" si="3"/>
        <v>Inflasi Tinggi</v>
      </c>
      <c r="L2910" s="84">
        <f t="shared" si="4"/>
        <v>0.7</v>
      </c>
      <c r="M2910" s="88" t="str">
        <f t="shared" si="5"/>
        <v>Akselerasi Persentase</v>
      </c>
    </row>
    <row r="2911" ht="18.75" customHeight="1">
      <c r="A2911" s="80" t="s">
        <v>316</v>
      </c>
      <c r="B2911" s="81" t="str">
        <f t="shared" ref="B2911:B3304" si="6">proper(A2911)</f>
        <v>Singaraja</v>
      </c>
      <c r="C2911" s="81" t="str">
        <f t="array" ref="C2911">XLOOKUP(B2911,Reference!$A$2:$A$152,Reference!$B$2:$B$152)</f>
        <v>Bali</v>
      </c>
      <c r="D2911" s="82" t="s">
        <v>3350</v>
      </c>
      <c r="E2911" s="83">
        <v>45352.0</v>
      </c>
      <c r="F2911" s="84" t="str">
        <f t="array" ref="F2911">XLOOKUP(G2911,Reference!$F:$F,Reference!$D:$D,"null")</f>
        <v>Makanan dan Pakaian </v>
      </c>
      <c r="G2911" s="85" t="s">
        <v>48</v>
      </c>
      <c r="H2911" s="86">
        <v>114.95</v>
      </c>
      <c r="I2911" s="86">
        <v>111.49</v>
      </c>
      <c r="J2911" s="87">
        <f t="shared" si="2"/>
        <v>3.103417347</v>
      </c>
      <c r="K2911" s="84" t="str">
        <f t="shared" si="3"/>
        <v>Inflasi Tinggi</v>
      </c>
      <c r="L2911" s="84">
        <f t="shared" si="4"/>
        <v>3.46</v>
      </c>
      <c r="M2911" s="88" t="str">
        <f t="shared" si="5"/>
        <v>Akselerasi Kuat</v>
      </c>
    </row>
    <row r="2912" ht="18.75" customHeight="1">
      <c r="A2912" s="80" t="s">
        <v>740</v>
      </c>
      <c r="B2912" s="81" t="str">
        <f t="shared" si="6"/>
        <v>Kota Gunungsitoli</v>
      </c>
      <c r="C2912" s="81" t="str">
        <f t="array" ref="C2912">XLOOKUP(B2912,Reference!$A$2:$A$152,Reference!$B$2:$B$152)</f>
        <v>Sumatera Utara</v>
      </c>
      <c r="D2912" s="82" t="s">
        <v>3351</v>
      </c>
      <c r="E2912" s="83">
        <v>45323.0</v>
      </c>
      <c r="F2912" s="84" t="str">
        <f t="array" ref="F2912">XLOOKUP(G2912,Reference!$F:$F,Reference!$D:$D,"null")</f>
        <v>Makanan dan Pakaian </v>
      </c>
      <c r="G2912" s="85" t="s">
        <v>64</v>
      </c>
      <c r="H2912" s="86">
        <v>98.77</v>
      </c>
      <c r="I2912" s="86">
        <v>98.77</v>
      </c>
      <c r="J2912" s="87">
        <f t="shared" si="2"/>
        <v>0</v>
      </c>
      <c r="K2912" s="84" t="str">
        <f t="shared" si="3"/>
        <v>Stabil</v>
      </c>
      <c r="L2912" s="84">
        <f t="shared" si="4"/>
        <v>0</v>
      </c>
      <c r="M2912" s="88" t="str">
        <f t="shared" si="5"/>
        <v>Perubahan Normal</v>
      </c>
    </row>
    <row r="2913" ht="18.75" customHeight="1">
      <c r="A2913" s="80" t="s">
        <v>488</v>
      </c>
      <c r="B2913" s="81" t="str">
        <f t="shared" si="6"/>
        <v>Kab Muko Muko</v>
      </c>
      <c r="C2913" s="81" t="str">
        <f t="array" ref="C2913">XLOOKUP(B2913,Reference!$A$2:$A$152,Reference!$B$2:$B$152)</f>
        <v>Bengkulu</v>
      </c>
      <c r="D2913" s="82" t="s">
        <v>3352</v>
      </c>
      <c r="E2913" s="83">
        <v>45352.0</v>
      </c>
      <c r="F2913" s="84" t="str">
        <f t="array" ref="F2913">XLOOKUP(G2913,Reference!$F:$F,Reference!$D:$D,"null")</f>
        <v>Makanan dan Pakaian </v>
      </c>
      <c r="G2913" s="89" t="s">
        <v>64</v>
      </c>
      <c r="H2913" s="90">
        <v>106.37</v>
      </c>
      <c r="I2913" s="90">
        <v>106.37</v>
      </c>
      <c r="J2913" s="87">
        <f t="shared" si="2"/>
        <v>0</v>
      </c>
      <c r="K2913" s="84" t="str">
        <f t="shared" si="3"/>
        <v>Stabil</v>
      </c>
      <c r="L2913" s="91">
        <f t="shared" si="4"/>
        <v>0</v>
      </c>
      <c r="M2913" s="88" t="str">
        <f t="shared" si="5"/>
        <v>Perubahan Normal</v>
      </c>
    </row>
    <row r="2914" ht="18.75" customHeight="1">
      <c r="A2914" s="80" t="s">
        <v>456</v>
      </c>
      <c r="B2914" s="81" t="str">
        <f t="shared" si="6"/>
        <v>Kab Aceh Tamiang</v>
      </c>
      <c r="C2914" s="81" t="str">
        <f t="array" ref="C2914">XLOOKUP(B2914,Reference!$A$2:$A$152,Reference!$B$2:$B$152)</f>
        <v>Aceh</v>
      </c>
      <c r="D2914" s="82" t="s">
        <v>3353</v>
      </c>
      <c r="E2914" s="83">
        <v>45352.0</v>
      </c>
      <c r="F2914" s="84" t="str">
        <f t="array" ref="F2914">XLOOKUP(G2914,Reference!$F:$F,Reference!$D:$D,"null")</f>
        <v>Rekreasi dan Kendaraan</v>
      </c>
      <c r="G2914" s="85" t="s">
        <v>102</v>
      </c>
      <c r="H2914" s="86">
        <v>109.89</v>
      </c>
      <c r="I2914" s="86">
        <v>109.89</v>
      </c>
      <c r="J2914" s="87">
        <f t="shared" si="2"/>
        <v>0</v>
      </c>
      <c r="K2914" s="84" t="str">
        <f t="shared" si="3"/>
        <v>Stabil</v>
      </c>
      <c r="L2914" s="84">
        <f t="shared" si="4"/>
        <v>0</v>
      </c>
      <c r="M2914" s="88" t="str">
        <f t="shared" si="5"/>
        <v>Perubahan Normal</v>
      </c>
    </row>
    <row r="2915" ht="18.75" customHeight="1">
      <c r="A2915" s="80" t="s">
        <v>382</v>
      </c>
      <c r="B2915" s="81" t="str">
        <f t="shared" si="6"/>
        <v>Kab Ngada</v>
      </c>
      <c r="C2915" s="81" t="str">
        <f t="array" ref="C2915">XLOOKUP(B2915,Reference!$A$2:$A$152,Reference!$B$2:$B$152)</f>
        <v>Nusa Tenggara Timur (NTT)</v>
      </c>
      <c r="D2915" s="82" t="s">
        <v>3354</v>
      </c>
      <c r="E2915" s="83">
        <v>45352.0</v>
      </c>
      <c r="F2915" s="84" t="str">
        <f t="array" ref="F2915">XLOOKUP(G2915,Reference!$F:$F,Reference!$D:$D,"null")</f>
        <v>Pendidikan dan Kesehatan</v>
      </c>
      <c r="G2915" s="85" t="s">
        <v>95</v>
      </c>
      <c r="H2915" s="86">
        <v>100.52</v>
      </c>
      <c r="I2915" s="86">
        <v>100.52</v>
      </c>
      <c r="J2915" s="87">
        <f t="shared" si="2"/>
        <v>0</v>
      </c>
      <c r="K2915" s="84" t="str">
        <f t="shared" si="3"/>
        <v>Stabil</v>
      </c>
      <c r="L2915" s="84">
        <f t="shared" si="4"/>
        <v>0</v>
      </c>
      <c r="M2915" s="88" t="str">
        <f t="shared" si="5"/>
        <v>Perubahan Normal</v>
      </c>
    </row>
    <row r="2916" ht="18.75" customHeight="1">
      <c r="A2916" s="80" t="s">
        <v>526</v>
      </c>
      <c r="B2916" s="81" t="str">
        <f t="shared" si="6"/>
        <v>Maumere</v>
      </c>
      <c r="C2916" s="81" t="str">
        <f t="array" ref="C2916">XLOOKUP(B2916,Reference!$A$2:$A$152,Reference!$B$2:$B$152)</f>
        <v>Nusa Tenggara Timur (NTT)</v>
      </c>
      <c r="D2916" s="82" t="s">
        <v>3355</v>
      </c>
      <c r="E2916" s="83">
        <v>45323.0</v>
      </c>
      <c r="F2916" s="84" t="str">
        <f t="array" ref="F2916">XLOOKUP(G2916,Reference!$F:$F,Reference!$D:$D,"null")</f>
        <v>Rumah Tangga</v>
      </c>
      <c r="G2916" s="85" t="s">
        <v>89</v>
      </c>
      <c r="H2916" s="86">
        <v>101.24</v>
      </c>
      <c r="I2916" s="86">
        <v>101.24</v>
      </c>
      <c r="J2916" s="87">
        <f t="shared" si="2"/>
        <v>0</v>
      </c>
      <c r="K2916" s="84" t="str">
        <f t="shared" si="3"/>
        <v>Stabil</v>
      </c>
      <c r="L2916" s="84">
        <f t="shared" si="4"/>
        <v>0</v>
      </c>
      <c r="M2916" s="88" t="str">
        <f t="shared" si="5"/>
        <v>Perubahan Normal</v>
      </c>
    </row>
    <row r="2917" ht="18.75" customHeight="1">
      <c r="A2917" s="80" t="s">
        <v>406</v>
      </c>
      <c r="B2917" s="81" t="str">
        <f t="shared" si="6"/>
        <v>Kota Tasikmalaya</v>
      </c>
      <c r="C2917" s="81" t="str">
        <f t="array" ref="C2917">XLOOKUP(B2917,Reference!$A$2:$A$152,Reference!$B$2:$B$152)</f>
        <v>Jawa Barat</v>
      </c>
      <c r="D2917" s="82" t="s">
        <v>3356</v>
      </c>
      <c r="E2917" s="83">
        <v>45352.0</v>
      </c>
      <c r="F2917" s="84" t="str">
        <f t="array" ref="F2917">XLOOKUP(G2917,Reference!$F:$F,Reference!$D:$D,"null")</f>
        <v>Makanan dan Pakaian </v>
      </c>
      <c r="G2917" s="85" t="s">
        <v>48</v>
      </c>
      <c r="H2917" s="86">
        <v>113.6</v>
      </c>
      <c r="I2917" s="86">
        <v>111.16</v>
      </c>
      <c r="J2917" s="87">
        <f t="shared" si="2"/>
        <v>2.195034185</v>
      </c>
      <c r="K2917" s="84" t="str">
        <f t="shared" si="3"/>
        <v>Inflasi Tinggi</v>
      </c>
      <c r="L2917" s="84">
        <f t="shared" si="4"/>
        <v>2.44</v>
      </c>
      <c r="M2917" s="88" t="str">
        <f t="shared" si="5"/>
        <v>Akselerasi Kuat</v>
      </c>
    </row>
    <row r="2918" ht="18.75" customHeight="1">
      <c r="A2918" s="80" t="s">
        <v>380</v>
      </c>
      <c r="B2918" s="81" t="str">
        <f t="shared" si="6"/>
        <v>Kota Bengkulu</v>
      </c>
      <c r="C2918" s="81" t="str">
        <f t="array" ref="C2918">XLOOKUP(B2918,Reference!$A$2:$A$152,Reference!$B$2:$B$152)</f>
        <v>Bengkulu</v>
      </c>
      <c r="D2918" s="82" t="s">
        <v>3357</v>
      </c>
      <c r="E2918" s="83">
        <v>45323.0</v>
      </c>
      <c r="F2918" s="84" t="str">
        <f t="array" ref="F2918">XLOOKUP(G2918,Reference!$F:$F,Reference!$D:$D,"null")</f>
        <v>Makanan dan Pakaian </v>
      </c>
      <c r="G2918" s="85" t="s">
        <v>72</v>
      </c>
      <c r="H2918" s="86">
        <v>100.04</v>
      </c>
      <c r="I2918" s="86">
        <v>100.81</v>
      </c>
      <c r="J2918" s="87">
        <f t="shared" si="2"/>
        <v>-0.7638131138</v>
      </c>
      <c r="K2918" s="84" t="str">
        <f t="shared" si="3"/>
        <v>Deflasi</v>
      </c>
      <c r="L2918" s="84">
        <f t="shared" si="4"/>
        <v>-0.77</v>
      </c>
      <c r="M2918" s="88" t="str">
        <f t="shared" si="5"/>
        <v>Perubahan Normal</v>
      </c>
    </row>
    <row r="2919" ht="18.75" customHeight="1">
      <c r="A2919" s="80" t="s">
        <v>548</v>
      </c>
      <c r="B2919" s="81" t="str">
        <f t="shared" si="6"/>
        <v>Kota Metro</v>
      </c>
      <c r="C2919" s="81" t="str">
        <f t="array" ref="C2919">XLOOKUP(B2919,Reference!$A$2:$A$152,Reference!$B$2:$B$152)</f>
        <v>Lampung</v>
      </c>
      <c r="D2919" s="82" t="s">
        <v>3358</v>
      </c>
      <c r="E2919" s="83">
        <v>45323.0</v>
      </c>
      <c r="F2919" s="84" t="str">
        <f t="array" ref="F2919">XLOOKUP(G2919,Reference!$F:$F,Reference!$D:$D,"null")</f>
        <v>Rekreasi dan Kendaraan</v>
      </c>
      <c r="G2919" s="85" t="s">
        <v>105</v>
      </c>
      <c r="H2919" s="86">
        <v>106.04</v>
      </c>
      <c r="I2919" s="86">
        <v>105.95</v>
      </c>
      <c r="J2919" s="87">
        <f t="shared" si="2"/>
        <v>0.08494572912</v>
      </c>
      <c r="K2919" s="84" t="str">
        <f t="shared" si="3"/>
        <v>Inflasi Normal</v>
      </c>
      <c r="L2919" s="84">
        <f t="shared" si="4"/>
        <v>0.09</v>
      </c>
      <c r="M2919" s="88" t="str">
        <f t="shared" si="5"/>
        <v>Perubahan Normal</v>
      </c>
    </row>
    <row r="2920" ht="18.75" customHeight="1">
      <c r="A2920" s="80" t="s">
        <v>905</v>
      </c>
      <c r="B2920" s="81" t="str">
        <f t="shared" si="6"/>
        <v>Kota Ambon</v>
      </c>
      <c r="C2920" s="81" t="str">
        <f t="array" ref="C2920">XLOOKUP(B2920,Reference!$A$2:$A$152,Reference!$B$2:$B$152)</f>
        <v>Maluku</v>
      </c>
      <c r="D2920" s="82" t="s">
        <v>3359</v>
      </c>
      <c r="E2920" s="83">
        <v>45323.0</v>
      </c>
      <c r="F2920" s="84" t="str">
        <f t="array" ref="F2920">XLOOKUP(G2920,Reference!$F:$F,Reference!$D:$D,"null")</f>
        <v>Makanan dan Pakaian </v>
      </c>
      <c r="G2920" s="85" t="s">
        <v>64</v>
      </c>
      <c r="H2920" s="86">
        <v>103.27</v>
      </c>
      <c r="I2920" s="86">
        <v>103.26</v>
      </c>
      <c r="J2920" s="87">
        <f t="shared" si="2"/>
        <v>0.009684292078</v>
      </c>
      <c r="K2920" s="84" t="str">
        <f t="shared" si="3"/>
        <v>Inflasi Normal</v>
      </c>
      <c r="L2920" s="84">
        <f t="shared" si="4"/>
        <v>0.01</v>
      </c>
      <c r="M2920" s="88" t="str">
        <f t="shared" si="5"/>
        <v>Perubahan Normal</v>
      </c>
    </row>
    <row r="2921" ht="18.75" customHeight="1">
      <c r="A2921" s="80" t="s">
        <v>374</v>
      </c>
      <c r="B2921" s="81" t="str">
        <f t="shared" si="6"/>
        <v>Kab Majalengka</v>
      </c>
      <c r="C2921" s="81" t="str">
        <f t="array" ref="C2921">XLOOKUP(B2921,Reference!$A$2:$A$152,Reference!$B$2:$B$152)</f>
        <v>Jawa Barat</v>
      </c>
      <c r="D2921" s="82" t="s">
        <v>3360</v>
      </c>
      <c r="E2921" s="83">
        <v>45323.0</v>
      </c>
      <c r="F2921" s="84" t="str">
        <f t="array" ref="F2921">XLOOKUP(G2921,Reference!$F:$F,Reference!$D:$D,"null")</f>
        <v>Pendidikan dan Kesehatan</v>
      </c>
      <c r="G2921" s="85" t="s">
        <v>95</v>
      </c>
      <c r="H2921" s="86">
        <v>100.81</v>
      </c>
      <c r="I2921" s="86">
        <v>100.81</v>
      </c>
      <c r="J2921" s="87">
        <f t="shared" si="2"/>
        <v>0</v>
      </c>
      <c r="K2921" s="84" t="str">
        <f t="shared" si="3"/>
        <v>Stabil</v>
      </c>
      <c r="L2921" s="84">
        <f t="shared" si="4"/>
        <v>0</v>
      </c>
      <c r="M2921" s="88" t="str">
        <f t="shared" si="5"/>
        <v>Perubahan Normal</v>
      </c>
    </row>
    <row r="2922" ht="18.75" customHeight="1">
      <c r="A2922" s="80" t="s">
        <v>333</v>
      </c>
      <c r="B2922" s="81" t="str">
        <f t="shared" si="6"/>
        <v>Kab Pasaman Barat</v>
      </c>
      <c r="C2922" s="81" t="str">
        <f t="array" ref="C2922">XLOOKUP(B2922,Reference!$A$2:$A$152,Reference!$B$2:$B$152)</f>
        <v>Sumatera Barat</v>
      </c>
      <c r="D2922" s="82" t="s">
        <v>3361</v>
      </c>
      <c r="E2922" s="83">
        <v>45323.0</v>
      </c>
      <c r="F2922" s="84" t="str">
        <f t="array" ref="F2922">XLOOKUP(G2922,Reference!$F:$F,Reference!$D:$D,"null")</f>
        <v>Rekreasi dan Kendaraan</v>
      </c>
      <c r="G2922" s="85" t="s">
        <v>105</v>
      </c>
      <c r="H2922" s="86">
        <v>101.43</v>
      </c>
      <c r="I2922" s="86">
        <v>101.43</v>
      </c>
      <c r="J2922" s="87">
        <f t="shared" si="2"/>
        <v>0</v>
      </c>
      <c r="K2922" s="84" t="str">
        <f t="shared" si="3"/>
        <v>Stabil</v>
      </c>
      <c r="L2922" s="84">
        <f t="shared" si="4"/>
        <v>0</v>
      </c>
      <c r="M2922" s="88" t="str">
        <f t="shared" si="5"/>
        <v>Perubahan Normal</v>
      </c>
    </row>
    <row r="2923" ht="18.75" customHeight="1">
      <c r="A2923" s="80" t="s">
        <v>310</v>
      </c>
      <c r="B2923" s="81" t="str">
        <f t="shared" si="6"/>
        <v>Kab Kampar</v>
      </c>
      <c r="C2923" s="81" t="str">
        <f t="array" ref="C2923">XLOOKUP(B2923,Reference!$A$2:$A$152,Reference!$B$2:$B$152)</f>
        <v>Riau</v>
      </c>
      <c r="D2923" s="82" t="s">
        <v>3362</v>
      </c>
      <c r="E2923" s="83">
        <v>45352.0</v>
      </c>
      <c r="F2923" s="84" t="str">
        <f t="array" ref="F2923">XLOOKUP(G2923,Reference!$F:$F,Reference!$D:$D,"null")</f>
        <v>Makanan dan Pakaian </v>
      </c>
      <c r="G2923" s="85" t="s">
        <v>56</v>
      </c>
      <c r="H2923" s="86">
        <v>98.07</v>
      </c>
      <c r="I2923" s="86">
        <v>99.23</v>
      </c>
      <c r="J2923" s="87">
        <f t="shared" si="2"/>
        <v>-1.16900131</v>
      </c>
      <c r="K2923" s="84" t="str">
        <f t="shared" si="3"/>
        <v>Deflasi</v>
      </c>
      <c r="L2923" s="84">
        <f t="shared" si="4"/>
        <v>-1.16</v>
      </c>
      <c r="M2923" s="88" t="str">
        <f t="shared" si="5"/>
        <v>Perubahan Normal</v>
      </c>
    </row>
    <row r="2924" ht="18.75" customHeight="1">
      <c r="A2924" s="80" t="s">
        <v>471</v>
      </c>
      <c r="B2924" s="81" t="str">
        <f t="shared" si="6"/>
        <v>Kab Gunungkidul</v>
      </c>
      <c r="C2924" s="81" t="str">
        <f t="array" ref="C2924">XLOOKUP(B2924,Reference!$A$2:$A$152,Reference!$B$2:$B$152)</f>
        <v>D.I. Yogyakarta</v>
      </c>
      <c r="D2924" s="82" t="s">
        <v>3363</v>
      </c>
      <c r="E2924" s="83">
        <v>45352.0</v>
      </c>
      <c r="F2924" s="84" t="str">
        <f t="array" ref="F2924">XLOOKUP(G2924,Reference!$F:$F,Reference!$D:$D,"null")</f>
        <v>Makanan dan Pakaian </v>
      </c>
      <c r="G2924" s="85" t="s">
        <v>48</v>
      </c>
      <c r="H2924" s="86">
        <v>113.58</v>
      </c>
      <c r="I2924" s="86">
        <v>112.36</v>
      </c>
      <c r="J2924" s="87">
        <f t="shared" si="2"/>
        <v>1.085795657</v>
      </c>
      <c r="K2924" s="84" t="str">
        <f t="shared" si="3"/>
        <v>Inflasi Tinggi</v>
      </c>
      <c r="L2924" s="84">
        <f t="shared" si="4"/>
        <v>1.22</v>
      </c>
      <c r="M2924" s="88" t="str">
        <f t="shared" si="5"/>
        <v>Akselerasi Persentase</v>
      </c>
    </row>
    <row r="2925" ht="18.75" customHeight="1">
      <c r="A2925" s="80" t="s">
        <v>417</v>
      </c>
      <c r="B2925" s="81" t="str">
        <f t="shared" si="6"/>
        <v>Kotabaru</v>
      </c>
      <c r="C2925" s="81" t="str">
        <f t="array" ref="C2925">XLOOKUP(B2925,Reference!$A$2:$A$152,Reference!$B$2:$B$152)</f>
        <v>Kalimantan Selatan</v>
      </c>
      <c r="D2925" s="82" t="s">
        <v>3364</v>
      </c>
      <c r="E2925" s="83">
        <v>45352.0</v>
      </c>
      <c r="F2925" s="84" t="str">
        <f t="array" ref="F2925">XLOOKUP(G2925,Reference!$F:$F,Reference!$D:$D,"null")</f>
        <v>Makanan dan Pakaian </v>
      </c>
      <c r="G2925" s="85" t="s">
        <v>72</v>
      </c>
      <c r="H2925" s="86">
        <v>103.02</v>
      </c>
      <c r="I2925" s="86">
        <v>103.02</v>
      </c>
      <c r="J2925" s="87">
        <f t="shared" si="2"/>
        <v>0</v>
      </c>
      <c r="K2925" s="84" t="str">
        <f t="shared" si="3"/>
        <v>Stabil</v>
      </c>
      <c r="L2925" s="84">
        <f t="shared" si="4"/>
        <v>0</v>
      </c>
      <c r="M2925" s="88" t="str">
        <f t="shared" si="5"/>
        <v>Perubahan Normal</v>
      </c>
    </row>
    <row r="2926" ht="18.75" customHeight="1">
      <c r="A2926" s="80" t="s">
        <v>410</v>
      </c>
      <c r="B2926" s="81" t="str">
        <f t="shared" si="6"/>
        <v>Meulaboh</v>
      </c>
      <c r="C2926" s="81" t="str">
        <f t="array" ref="C2926">XLOOKUP(B2926,Reference!$A$2:$A$152,Reference!$B$2:$B$152)</f>
        <v>Aceh</v>
      </c>
      <c r="D2926" s="82" t="s">
        <v>3365</v>
      </c>
      <c r="E2926" s="83">
        <v>45352.0</v>
      </c>
      <c r="F2926" s="84" t="str">
        <f t="array" ref="F2926">XLOOKUP(G2926,Reference!$F:$F,Reference!$D:$D,"null")</f>
        <v>Rumah Tangga</v>
      </c>
      <c r="G2926" s="85" t="s">
        <v>89</v>
      </c>
      <c r="H2926" s="86">
        <v>109.68</v>
      </c>
      <c r="I2926" s="86">
        <v>109.68</v>
      </c>
      <c r="J2926" s="87">
        <f t="shared" si="2"/>
        <v>0</v>
      </c>
      <c r="K2926" s="84" t="str">
        <f t="shared" si="3"/>
        <v>Stabil</v>
      </c>
      <c r="L2926" s="84">
        <f t="shared" si="4"/>
        <v>0</v>
      </c>
      <c r="M2926" s="88" t="str">
        <f t="shared" si="5"/>
        <v>Perubahan Normal</v>
      </c>
    </row>
    <row r="2927" ht="18.75" customHeight="1">
      <c r="A2927" s="80" t="s">
        <v>300</v>
      </c>
      <c r="B2927" s="81" t="str">
        <f t="shared" si="6"/>
        <v>Sintang</v>
      </c>
      <c r="C2927" s="81" t="str">
        <f t="array" ref="C2927">XLOOKUP(B2927,Reference!$A$2:$A$152,Reference!$B$2:$B$152)</f>
        <v>Kalimantan Barat</v>
      </c>
      <c r="D2927" s="82" t="s">
        <v>3366</v>
      </c>
      <c r="E2927" s="83">
        <v>45323.0</v>
      </c>
      <c r="F2927" s="84" t="str">
        <f t="array" ref="F2927">XLOOKUP(G2927,Reference!$F:$F,Reference!$D:$D,"null")</f>
        <v>Makanan dan Pakaian </v>
      </c>
      <c r="G2927" s="85" t="s">
        <v>56</v>
      </c>
      <c r="H2927" s="86">
        <v>106.8</v>
      </c>
      <c r="I2927" s="86">
        <v>106.54</v>
      </c>
      <c r="J2927" s="87">
        <f t="shared" si="2"/>
        <v>0.2440397973</v>
      </c>
      <c r="K2927" s="84" t="str">
        <f t="shared" si="3"/>
        <v>Inflasi Normal</v>
      </c>
      <c r="L2927" s="84">
        <f t="shared" si="4"/>
        <v>0.26</v>
      </c>
      <c r="M2927" s="88" t="str">
        <f t="shared" si="5"/>
        <v>Perubahan Normal</v>
      </c>
    </row>
    <row r="2928" ht="18.75" customHeight="1">
      <c r="A2928" s="80" t="s">
        <v>658</v>
      </c>
      <c r="B2928" s="81" t="str">
        <f t="shared" si="6"/>
        <v>Kota Mataram</v>
      </c>
      <c r="C2928" s="81" t="str">
        <f t="array" ref="C2928">XLOOKUP(B2928,Reference!$A$2:$A$152,Reference!$B$2:$B$152)</f>
        <v>Nusa Tenggara Barat (NTB)</v>
      </c>
      <c r="D2928" s="82" t="s">
        <v>3367</v>
      </c>
      <c r="E2928" s="83">
        <v>45323.0</v>
      </c>
      <c r="F2928" s="84" t="str">
        <f t="array" ref="F2928">XLOOKUP(G2928,Reference!$F:$F,Reference!$D:$D,"null")</f>
        <v>Rekreasi dan Kendaraan</v>
      </c>
      <c r="G2928" s="85" t="s">
        <v>105</v>
      </c>
      <c r="H2928" s="86">
        <v>105.72</v>
      </c>
      <c r="I2928" s="86">
        <v>105.13</v>
      </c>
      <c r="J2928" s="87">
        <f t="shared" si="2"/>
        <v>0.5612099306</v>
      </c>
      <c r="K2928" s="84" t="str">
        <f t="shared" si="3"/>
        <v>Inflasi Tinggi</v>
      </c>
      <c r="L2928" s="84">
        <f t="shared" si="4"/>
        <v>0.59</v>
      </c>
      <c r="M2928" s="88" t="str">
        <f t="shared" si="5"/>
        <v>Akselerasi Persentase</v>
      </c>
    </row>
    <row r="2929" ht="18.75" customHeight="1">
      <c r="A2929" s="80" t="s">
        <v>529</v>
      </c>
      <c r="B2929" s="81" t="str">
        <f t="shared" si="6"/>
        <v>Kota Yogyakarta</v>
      </c>
      <c r="C2929" s="81" t="str">
        <f t="array" ref="C2929">XLOOKUP(B2929,Reference!$A$2:$A$152,Reference!$B$2:$B$152)</f>
        <v>D.I. Yogyakarta</v>
      </c>
      <c r="D2929" s="82" t="s">
        <v>3368</v>
      </c>
      <c r="E2929" s="83">
        <v>45323.0</v>
      </c>
      <c r="F2929" s="84" t="str">
        <f t="array" ref="F2929">XLOOKUP(G2929,Reference!$F:$F,Reference!$D:$D,"null")</f>
        <v>Rumah Tangga</v>
      </c>
      <c r="G2929" s="85" t="s">
        <v>89</v>
      </c>
      <c r="H2929" s="86">
        <v>102.08</v>
      </c>
      <c r="I2929" s="86">
        <v>101.92</v>
      </c>
      <c r="J2929" s="87">
        <f t="shared" si="2"/>
        <v>0.1569858713</v>
      </c>
      <c r="K2929" s="84" t="str">
        <f t="shared" si="3"/>
        <v>Inflasi Normal</v>
      </c>
      <c r="L2929" s="84">
        <f t="shared" si="4"/>
        <v>0.16</v>
      </c>
      <c r="M2929" s="88" t="str">
        <f t="shared" si="5"/>
        <v>Perubahan Normal</v>
      </c>
    </row>
    <row r="2930" ht="18.75" customHeight="1">
      <c r="A2930" s="80" t="s">
        <v>298</v>
      </c>
      <c r="B2930" s="81" t="str">
        <f t="shared" si="6"/>
        <v>Kota Bekasi</v>
      </c>
      <c r="C2930" s="81" t="str">
        <f t="array" ref="C2930">XLOOKUP(B2930,Reference!$A$2:$A$152,Reference!$B$2:$B$152)</f>
        <v>Jawa Barat</v>
      </c>
      <c r="D2930" s="82" t="s">
        <v>3369</v>
      </c>
      <c r="E2930" s="83">
        <v>45323.0</v>
      </c>
      <c r="F2930" s="84" t="str">
        <f t="array" ref="F2930">XLOOKUP(G2930,Reference!$F:$F,Reference!$D:$D,"null")</f>
        <v>Makanan dan Pakaian </v>
      </c>
      <c r="G2930" s="85" t="s">
        <v>72</v>
      </c>
      <c r="H2930" s="86">
        <v>102.51</v>
      </c>
      <c r="I2930" s="86">
        <v>102.51</v>
      </c>
      <c r="J2930" s="87">
        <f t="shared" si="2"/>
        <v>0</v>
      </c>
      <c r="K2930" s="84" t="str">
        <f t="shared" si="3"/>
        <v>Stabil</v>
      </c>
      <c r="L2930" s="84">
        <f t="shared" si="4"/>
        <v>0</v>
      </c>
      <c r="M2930" s="88" t="str">
        <f t="shared" si="5"/>
        <v>Perubahan Normal</v>
      </c>
    </row>
    <row r="2931" ht="18.75" customHeight="1">
      <c r="A2931" s="80" t="s">
        <v>370</v>
      </c>
      <c r="B2931" s="81" t="str">
        <f t="shared" si="6"/>
        <v>Jember</v>
      </c>
      <c r="C2931" s="81" t="str">
        <f t="array" ref="C2931">XLOOKUP(B2931,Reference!$A$2:$A$152,Reference!$B$2:$B$152)</f>
        <v>Jawa Timur</v>
      </c>
      <c r="D2931" s="82" t="s">
        <v>3370</v>
      </c>
      <c r="E2931" s="83">
        <v>45323.0</v>
      </c>
      <c r="F2931" s="84" t="str">
        <f t="array" ref="F2931">XLOOKUP(G2931,Reference!$F:$F,Reference!$D:$D,"null")</f>
        <v>Rumah Tangga</v>
      </c>
      <c r="G2931" s="85" t="s">
        <v>89</v>
      </c>
      <c r="H2931" s="86">
        <v>103.41</v>
      </c>
      <c r="I2931" s="86">
        <v>103.45</v>
      </c>
      <c r="J2931" s="87">
        <f t="shared" si="2"/>
        <v>-0.03866602223</v>
      </c>
      <c r="K2931" s="84" t="str">
        <f t="shared" si="3"/>
        <v>Deflasi</v>
      </c>
      <c r="L2931" s="84">
        <f t="shared" si="4"/>
        <v>-0.04</v>
      </c>
      <c r="M2931" s="88" t="str">
        <f t="shared" si="5"/>
        <v>Perubahan Normal</v>
      </c>
    </row>
    <row r="2932" ht="18.75" customHeight="1">
      <c r="A2932" s="80" t="s">
        <v>606</v>
      </c>
      <c r="B2932" s="81" t="str">
        <f t="shared" si="6"/>
        <v>Kota Pare Pare</v>
      </c>
      <c r="C2932" s="81" t="str">
        <f t="array" ref="C2932">XLOOKUP(B2932,Reference!$A$2:$A$152,Reference!$B$2:$B$152)</f>
        <v>Sulawesi Selatan</v>
      </c>
      <c r="D2932" s="82" t="s">
        <v>3371</v>
      </c>
      <c r="E2932" s="83">
        <v>45352.0</v>
      </c>
      <c r="F2932" s="84" t="str">
        <f t="array" ref="F2932">XLOOKUP(G2932,Reference!$F:$F,Reference!$D:$D,"null")</f>
        <v>Rumah Tangga</v>
      </c>
      <c r="G2932" s="85" t="s">
        <v>84</v>
      </c>
      <c r="H2932" s="86">
        <v>100.73</v>
      </c>
      <c r="I2932" s="86">
        <v>100.72</v>
      </c>
      <c r="J2932" s="87">
        <f t="shared" si="2"/>
        <v>0.009928514694</v>
      </c>
      <c r="K2932" s="84" t="str">
        <f t="shared" si="3"/>
        <v>Inflasi Normal</v>
      </c>
      <c r="L2932" s="84">
        <f t="shared" si="4"/>
        <v>0.01</v>
      </c>
      <c r="M2932" s="88" t="str">
        <f t="shared" si="5"/>
        <v>Perubahan Normal</v>
      </c>
    </row>
    <row r="2933" ht="18.75" customHeight="1">
      <c r="A2933" s="80" t="s">
        <v>814</v>
      </c>
      <c r="B2933" s="81" t="str">
        <f t="shared" si="6"/>
        <v>Kota Samarinda</v>
      </c>
      <c r="C2933" s="81" t="str">
        <f t="array" ref="C2933">XLOOKUP(B2933,Reference!$A$2:$A$152,Reference!$B$2:$B$152)</f>
        <v>Kalimantan Timur</v>
      </c>
      <c r="D2933" s="82" t="s">
        <v>3372</v>
      </c>
      <c r="E2933" s="83">
        <v>45323.0</v>
      </c>
      <c r="F2933" s="84" t="str">
        <f t="array" ref="F2933">XLOOKUP(G2933,Reference!$F:$F,Reference!$D:$D,"null")</f>
        <v>Rumah Tangga</v>
      </c>
      <c r="G2933" s="85" t="s">
        <v>80</v>
      </c>
      <c r="H2933" s="86">
        <v>102.29</v>
      </c>
      <c r="I2933" s="86">
        <v>102.29</v>
      </c>
      <c r="J2933" s="87">
        <f t="shared" si="2"/>
        <v>0</v>
      </c>
      <c r="K2933" s="84" t="str">
        <f t="shared" si="3"/>
        <v>Stabil</v>
      </c>
      <c r="L2933" s="84">
        <f t="shared" si="4"/>
        <v>0</v>
      </c>
      <c r="M2933" s="88" t="str">
        <f t="shared" si="5"/>
        <v>Perubahan Normal</v>
      </c>
    </row>
    <row r="2934" ht="18.75" customHeight="1">
      <c r="A2934" s="80" t="s">
        <v>814</v>
      </c>
      <c r="B2934" s="81" t="str">
        <f t="shared" si="6"/>
        <v>Kota Samarinda</v>
      </c>
      <c r="C2934" s="81" t="str">
        <f t="array" ref="C2934">XLOOKUP(B2934,Reference!$A$2:$A$152,Reference!$B$2:$B$152)</f>
        <v>Kalimantan Timur</v>
      </c>
      <c r="D2934" s="82" t="s">
        <v>3373</v>
      </c>
      <c r="E2934" s="83">
        <v>45352.0</v>
      </c>
      <c r="F2934" s="84" t="str">
        <f t="array" ref="F2934">XLOOKUP(G2934,Reference!$F:$F,Reference!$D:$D,"null")</f>
        <v>Makanan dan Pakaian </v>
      </c>
      <c r="G2934" s="85" t="s">
        <v>64</v>
      </c>
      <c r="H2934" s="86">
        <v>104.29</v>
      </c>
      <c r="I2934" s="86">
        <v>103.57</v>
      </c>
      <c r="J2934" s="87">
        <f t="shared" si="2"/>
        <v>0.6951820025</v>
      </c>
      <c r="K2934" s="84" t="str">
        <f t="shared" si="3"/>
        <v>Inflasi Tinggi</v>
      </c>
      <c r="L2934" s="84">
        <f t="shared" si="4"/>
        <v>0.72</v>
      </c>
      <c r="M2934" s="88" t="str">
        <f t="shared" si="5"/>
        <v>Akselerasi Persentase</v>
      </c>
    </row>
    <row r="2935" ht="18.75" customHeight="1">
      <c r="A2935" s="80" t="s">
        <v>699</v>
      </c>
      <c r="B2935" s="81" t="str">
        <f t="shared" si="6"/>
        <v>Mamuju</v>
      </c>
      <c r="C2935" s="81" t="str">
        <f t="array" ref="C2935">XLOOKUP(B2935,Reference!$A$2:$A$152,Reference!$B$2:$B$152)</f>
        <v>Sulawesi Barat</v>
      </c>
      <c r="D2935" s="82" t="s">
        <v>3374</v>
      </c>
      <c r="E2935" s="83">
        <v>45323.0</v>
      </c>
      <c r="F2935" s="84" t="str">
        <f t="array" ref="F2935">XLOOKUP(G2935,Reference!$F:$F,Reference!$D:$D,"null")</f>
        <v>Makanan dan Pakaian </v>
      </c>
      <c r="G2935" s="85" t="s">
        <v>48</v>
      </c>
      <c r="H2935" s="86">
        <v>102.26</v>
      </c>
      <c r="I2935" s="86">
        <v>99.13</v>
      </c>
      <c r="J2935" s="87">
        <f t="shared" si="2"/>
        <v>3.157469989</v>
      </c>
      <c r="K2935" s="84" t="str">
        <f t="shared" si="3"/>
        <v>Inflasi Tinggi</v>
      </c>
      <c r="L2935" s="84">
        <f t="shared" si="4"/>
        <v>3.13</v>
      </c>
      <c r="M2935" s="88" t="str">
        <f t="shared" si="5"/>
        <v>Akselerasi Kuat</v>
      </c>
    </row>
    <row r="2936" ht="18.75" customHeight="1">
      <c r="A2936" s="80" t="s">
        <v>731</v>
      </c>
      <c r="B2936" s="81" t="str">
        <f t="shared" si="6"/>
        <v>Kab Hulu Sungai Tengah</v>
      </c>
      <c r="C2936" s="81" t="str">
        <f t="array" ref="C2936">XLOOKUP(B2936,Reference!$A$2:$A$152,Reference!$B$2:$B$152)</f>
        <v>Kalimantan Selatan</v>
      </c>
      <c r="D2936" s="82" t="s">
        <v>3375</v>
      </c>
      <c r="E2936" s="83">
        <v>45352.0</v>
      </c>
      <c r="F2936" s="84" t="str">
        <f t="array" ref="F2936">XLOOKUP(G2936,Reference!$F:$F,Reference!$D:$D,"null")</f>
        <v>Rumah Tangga</v>
      </c>
      <c r="G2936" s="85" t="s">
        <v>89</v>
      </c>
      <c r="H2936" s="86">
        <v>109.01</v>
      </c>
      <c r="I2936" s="86">
        <v>108.37</v>
      </c>
      <c r="J2936" s="87">
        <f t="shared" si="2"/>
        <v>0.5905693458</v>
      </c>
      <c r="K2936" s="84" t="str">
        <f t="shared" si="3"/>
        <v>Inflasi Tinggi</v>
      </c>
      <c r="L2936" s="84">
        <f t="shared" si="4"/>
        <v>0.64</v>
      </c>
      <c r="M2936" s="88" t="str">
        <f t="shared" si="5"/>
        <v>Akselerasi Persentase</v>
      </c>
    </row>
    <row r="2937" ht="18.75" customHeight="1">
      <c r="A2937" s="80" t="s">
        <v>654</v>
      </c>
      <c r="B2937" s="81" t="str">
        <f t="shared" si="6"/>
        <v>Kab Aceh Tengah</v>
      </c>
      <c r="C2937" s="81" t="str">
        <f t="array" ref="C2937">XLOOKUP(B2937,Reference!$A$2:$A$152,Reference!$B$2:$B$152)</f>
        <v>Aceh</v>
      </c>
      <c r="D2937" s="82" t="s">
        <v>3376</v>
      </c>
      <c r="E2937" s="83">
        <v>45352.0</v>
      </c>
      <c r="F2937" s="84" t="str">
        <f t="array" ref="F2937">XLOOKUP(G2937,Reference!$F:$F,Reference!$D:$D,"null")</f>
        <v>Rumah Tangga</v>
      </c>
      <c r="G2937" s="85" t="s">
        <v>89</v>
      </c>
      <c r="H2937" s="86">
        <v>108.51</v>
      </c>
      <c r="I2937" s="86">
        <v>107.98</v>
      </c>
      <c r="J2937" s="87">
        <f t="shared" si="2"/>
        <v>0.4908316355</v>
      </c>
      <c r="K2937" s="84" t="str">
        <f t="shared" si="3"/>
        <v>Inflasi Normal</v>
      </c>
      <c r="L2937" s="84">
        <f t="shared" si="4"/>
        <v>0.53</v>
      </c>
      <c r="M2937" s="88" t="str">
        <f t="shared" si="5"/>
        <v>Perubahan Normal</v>
      </c>
    </row>
    <row r="2938" ht="18.75" customHeight="1">
      <c r="A2938" s="80" t="s">
        <v>680</v>
      </c>
      <c r="B2938" s="81" t="str">
        <f t="shared" si="6"/>
        <v>Kota Pekanbaru</v>
      </c>
      <c r="C2938" s="81" t="str">
        <f t="array" ref="C2938">XLOOKUP(B2938,Reference!$A$2:$A$152,Reference!$B$2:$B$152)</f>
        <v>Riau</v>
      </c>
      <c r="D2938" s="82" t="s">
        <v>3377</v>
      </c>
      <c r="E2938" s="83">
        <v>45323.0</v>
      </c>
      <c r="F2938" s="84" t="str">
        <f t="array" ref="F2938">XLOOKUP(G2938,Reference!$F:$F,Reference!$D:$D,"null")</f>
        <v>Makanan dan Pakaian </v>
      </c>
      <c r="G2938" s="85" t="s">
        <v>48</v>
      </c>
      <c r="H2938" s="86">
        <v>107.46</v>
      </c>
      <c r="I2938" s="86">
        <v>105.96</v>
      </c>
      <c r="J2938" s="87">
        <f t="shared" si="2"/>
        <v>1.415628539</v>
      </c>
      <c r="K2938" s="84" t="str">
        <f t="shared" si="3"/>
        <v>Inflasi Tinggi</v>
      </c>
      <c r="L2938" s="84">
        <f t="shared" si="4"/>
        <v>1.5</v>
      </c>
      <c r="M2938" s="88" t="str">
        <f t="shared" si="5"/>
        <v>Akselerasi Persentase</v>
      </c>
    </row>
    <row r="2939" ht="18.75" customHeight="1">
      <c r="A2939" s="80" t="s">
        <v>495</v>
      </c>
      <c r="B2939" s="81" t="str">
        <f t="shared" si="6"/>
        <v>Kota Medan</v>
      </c>
      <c r="C2939" s="81" t="str">
        <f t="array" ref="C2939">XLOOKUP(B2939,Reference!$A$2:$A$152,Reference!$B$2:$B$152)</f>
        <v>Sumatera Utara</v>
      </c>
      <c r="D2939" s="82" t="s">
        <v>3378</v>
      </c>
      <c r="E2939" s="83">
        <v>45352.0</v>
      </c>
      <c r="F2939" s="84" t="str">
        <f t="array" ref="F2939">XLOOKUP(G2939,Reference!$F:$F,Reference!$D:$D,"null")</f>
        <v>Rekreasi dan Kendaraan</v>
      </c>
      <c r="G2939" s="85" t="s">
        <v>105</v>
      </c>
      <c r="H2939" s="86">
        <v>101.97</v>
      </c>
      <c r="I2939" s="86">
        <v>101.95</v>
      </c>
      <c r="J2939" s="87">
        <f t="shared" si="2"/>
        <v>0.01961745954</v>
      </c>
      <c r="K2939" s="84" t="str">
        <f t="shared" si="3"/>
        <v>Inflasi Normal</v>
      </c>
      <c r="L2939" s="84">
        <f t="shared" si="4"/>
        <v>0.02</v>
      </c>
      <c r="M2939" s="88" t="str">
        <f t="shared" si="5"/>
        <v>Perubahan Normal</v>
      </c>
    </row>
    <row r="2940" ht="18.75" customHeight="1">
      <c r="A2940" s="80" t="s">
        <v>389</v>
      </c>
      <c r="B2940" s="81" t="str">
        <f t="shared" si="6"/>
        <v>Tembilahan</v>
      </c>
      <c r="C2940" s="81" t="str">
        <f t="array" ref="C2940">XLOOKUP(B2940,Reference!$A$2:$A$152,Reference!$B$2:$B$152)</f>
        <v>Riau</v>
      </c>
      <c r="D2940" s="82" t="s">
        <v>3379</v>
      </c>
      <c r="E2940" s="83">
        <v>45352.0</v>
      </c>
      <c r="F2940" s="84" t="str">
        <f t="array" ref="F2940">XLOOKUP(G2940,Reference!$F:$F,Reference!$D:$D,"null")</f>
        <v>Rumah Tangga</v>
      </c>
      <c r="G2940" s="89" t="s">
        <v>89</v>
      </c>
      <c r="H2940" s="90">
        <v>100.0</v>
      </c>
      <c r="I2940" s="90">
        <v>100.0</v>
      </c>
      <c r="J2940" s="87">
        <f t="shared" si="2"/>
        <v>0</v>
      </c>
      <c r="K2940" s="84" t="str">
        <f t="shared" si="3"/>
        <v>Stabil</v>
      </c>
      <c r="L2940" s="91">
        <f t="shared" si="4"/>
        <v>0</v>
      </c>
      <c r="M2940" s="88" t="str">
        <f t="shared" si="5"/>
        <v>Perubahan Normal</v>
      </c>
    </row>
    <row r="2941" ht="18.75" customHeight="1">
      <c r="A2941" s="80" t="s">
        <v>421</v>
      </c>
      <c r="B2941" s="81" t="str">
        <f t="shared" si="6"/>
        <v>Kab Halmahera Tengah</v>
      </c>
      <c r="C2941" s="81" t="str">
        <f t="array" ref="C2941">XLOOKUP(B2941,Reference!$A$2:$A$152,Reference!$B$2:$B$152)</f>
        <v>Maluku Utara</v>
      </c>
      <c r="D2941" s="82" t="s">
        <v>3380</v>
      </c>
      <c r="E2941" s="83">
        <v>45323.0</v>
      </c>
      <c r="F2941" s="84" t="str">
        <f t="array" ref="F2941">XLOOKUP(G2941,Reference!$F:$F,Reference!$D:$D,"null")</f>
        <v>Makanan dan Pakaian </v>
      </c>
      <c r="G2941" s="85" t="s">
        <v>72</v>
      </c>
      <c r="H2941" s="86">
        <v>108.74</v>
      </c>
      <c r="I2941" s="86">
        <v>108.74</v>
      </c>
      <c r="J2941" s="87">
        <f t="shared" si="2"/>
        <v>0</v>
      </c>
      <c r="K2941" s="84" t="str">
        <f t="shared" si="3"/>
        <v>Stabil</v>
      </c>
      <c r="L2941" s="84">
        <f t="shared" si="4"/>
        <v>0</v>
      </c>
      <c r="M2941" s="88" t="str">
        <f t="shared" si="5"/>
        <v>Perubahan Normal</v>
      </c>
    </row>
    <row r="2942" ht="18.75" customHeight="1">
      <c r="A2942" s="80" t="s">
        <v>529</v>
      </c>
      <c r="B2942" s="81" t="str">
        <f t="shared" si="6"/>
        <v>Kota Yogyakarta</v>
      </c>
      <c r="C2942" s="81" t="str">
        <f t="array" ref="C2942">XLOOKUP(B2942,Reference!$A$2:$A$152,Reference!$B$2:$B$152)</f>
        <v>D.I. Yogyakarta</v>
      </c>
      <c r="D2942" s="82" t="s">
        <v>3381</v>
      </c>
      <c r="E2942" s="83">
        <v>45323.0</v>
      </c>
      <c r="F2942" s="84" t="str">
        <f t="array" ref="F2942">XLOOKUP(G2942,Reference!$F:$F,Reference!$D:$D,"null")</f>
        <v>Pendidikan dan Kesehatan</v>
      </c>
      <c r="G2942" s="85" t="s">
        <v>95</v>
      </c>
      <c r="H2942" s="86">
        <v>105.82</v>
      </c>
      <c r="I2942" s="86">
        <v>105.82</v>
      </c>
      <c r="J2942" s="87">
        <f t="shared" si="2"/>
        <v>0</v>
      </c>
      <c r="K2942" s="84" t="str">
        <f t="shared" si="3"/>
        <v>Stabil</v>
      </c>
      <c r="L2942" s="84">
        <f t="shared" si="4"/>
        <v>0</v>
      </c>
      <c r="M2942" s="88" t="str">
        <f t="shared" si="5"/>
        <v>Perubahan Normal</v>
      </c>
    </row>
    <row r="2943" ht="18.75" customHeight="1">
      <c r="A2943" s="80" t="s">
        <v>841</v>
      </c>
      <c r="B2943" s="81" t="str">
        <f t="shared" si="6"/>
        <v>Kab Morowali</v>
      </c>
      <c r="C2943" s="81" t="str">
        <f t="array" ref="C2943">XLOOKUP(B2943,Reference!$A$2:$A$152,Reference!$B$2:$B$152)</f>
        <v>Sulawesi Tengah</v>
      </c>
      <c r="D2943" s="82" t="s">
        <v>3382</v>
      </c>
      <c r="E2943" s="83">
        <v>45323.0</v>
      </c>
      <c r="F2943" s="84" t="str">
        <f t="array" ref="F2943">XLOOKUP(G2943,Reference!$F:$F,Reference!$D:$D,"null")</f>
        <v>Rumah Tangga</v>
      </c>
      <c r="G2943" s="85" t="s">
        <v>80</v>
      </c>
      <c r="H2943" s="86">
        <v>100.0</v>
      </c>
      <c r="I2943" s="86">
        <v>100.0</v>
      </c>
      <c r="J2943" s="87">
        <f t="shared" si="2"/>
        <v>0</v>
      </c>
      <c r="K2943" s="84" t="str">
        <f t="shared" si="3"/>
        <v>Stabil</v>
      </c>
      <c r="L2943" s="84">
        <f t="shared" si="4"/>
        <v>0</v>
      </c>
      <c r="M2943" s="88" t="str">
        <f t="shared" si="5"/>
        <v>Perubahan Normal</v>
      </c>
    </row>
    <row r="2944" ht="18.75" customHeight="1">
      <c r="A2944" s="80" t="s">
        <v>448</v>
      </c>
      <c r="B2944" s="81" t="str">
        <f t="shared" si="6"/>
        <v>Tanjung Selor</v>
      </c>
      <c r="C2944" s="81" t="str">
        <f t="array" ref="C2944">XLOOKUP(B2944,Reference!$A$2:$A$152,Reference!$B$2:$B$152)</f>
        <v>Kalimantan Utara</v>
      </c>
      <c r="D2944" s="82" t="s">
        <v>3383</v>
      </c>
      <c r="E2944" s="83">
        <v>45323.0</v>
      </c>
      <c r="F2944" s="84" t="str">
        <f t="array" ref="F2944">XLOOKUP(G2944,Reference!$F:$F,Reference!$D:$D,"null")</f>
        <v>Makanan dan Pakaian </v>
      </c>
      <c r="G2944" s="85" t="s">
        <v>48</v>
      </c>
      <c r="H2944" s="86">
        <v>107.83</v>
      </c>
      <c r="I2944" s="86">
        <v>106.36</v>
      </c>
      <c r="J2944" s="87">
        <f t="shared" si="2"/>
        <v>1.382098533</v>
      </c>
      <c r="K2944" s="84" t="str">
        <f t="shared" si="3"/>
        <v>Inflasi Tinggi</v>
      </c>
      <c r="L2944" s="84">
        <f t="shared" si="4"/>
        <v>1.47</v>
      </c>
      <c r="M2944" s="88" t="str">
        <f t="shared" si="5"/>
        <v>Akselerasi Persentase</v>
      </c>
    </row>
    <row r="2945" ht="18.75" customHeight="1">
      <c r="A2945" s="80" t="s">
        <v>445</v>
      </c>
      <c r="B2945" s="81" t="str">
        <f t="shared" si="6"/>
        <v>Kab Bangka Barat</v>
      </c>
      <c r="C2945" s="81" t="str">
        <f t="array" ref="C2945">XLOOKUP(B2945,Reference!$A$2:$A$152,Reference!$B$2:$B$152)</f>
        <v>Kepulauan Bangka Belitung</v>
      </c>
      <c r="D2945" s="82" t="s">
        <v>3384</v>
      </c>
      <c r="E2945" s="83">
        <v>45323.0</v>
      </c>
      <c r="F2945" s="84" t="str">
        <f t="array" ref="F2945">XLOOKUP(G2945,Reference!$F:$F,Reference!$D:$D,"null")</f>
        <v>Makanan dan Pakaian </v>
      </c>
      <c r="G2945" s="85" t="s">
        <v>64</v>
      </c>
      <c r="H2945" s="86">
        <v>99.41</v>
      </c>
      <c r="I2945" s="86">
        <v>99.41</v>
      </c>
      <c r="J2945" s="87">
        <f t="shared" si="2"/>
        <v>0</v>
      </c>
      <c r="K2945" s="84" t="str">
        <f t="shared" si="3"/>
        <v>Stabil</v>
      </c>
      <c r="L2945" s="84">
        <f t="shared" si="4"/>
        <v>0</v>
      </c>
      <c r="M2945" s="88" t="str">
        <f t="shared" si="5"/>
        <v>Perubahan Normal</v>
      </c>
    </row>
    <row r="2946" ht="18.75" customHeight="1">
      <c r="A2946" s="80" t="s">
        <v>656</v>
      </c>
      <c r="B2946" s="81" t="str">
        <f t="shared" si="6"/>
        <v>Kota Palopo</v>
      </c>
      <c r="C2946" s="81" t="str">
        <f t="array" ref="C2946">XLOOKUP(B2946,Reference!$A$2:$A$152,Reference!$B$2:$B$152)</f>
        <v>Sulawesi Selatan</v>
      </c>
      <c r="D2946" s="82" t="s">
        <v>3385</v>
      </c>
      <c r="E2946" s="83">
        <v>45323.0</v>
      </c>
      <c r="F2946" s="84" t="str">
        <f t="array" ref="F2946">XLOOKUP(G2946,Reference!$F:$F,Reference!$D:$D,"null")</f>
        <v>Rumah Tangga</v>
      </c>
      <c r="G2946" s="85" t="s">
        <v>89</v>
      </c>
      <c r="H2946" s="86">
        <v>102.22</v>
      </c>
      <c r="I2946" s="86">
        <v>101.22</v>
      </c>
      <c r="J2946" s="87">
        <f t="shared" si="2"/>
        <v>0.987947046</v>
      </c>
      <c r="K2946" s="84" t="str">
        <f t="shared" si="3"/>
        <v>Inflasi Tinggi</v>
      </c>
      <c r="L2946" s="84">
        <f t="shared" si="4"/>
        <v>1</v>
      </c>
      <c r="M2946" s="88" t="str">
        <f t="shared" si="5"/>
        <v>Akselerasi Persentase</v>
      </c>
    </row>
    <row r="2947" ht="18.75" customHeight="1">
      <c r="A2947" s="80" t="s">
        <v>656</v>
      </c>
      <c r="B2947" s="81" t="str">
        <f t="shared" si="6"/>
        <v>Kota Palopo</v>
      </c>
      <c r="C2947" s="81" t="str">
        <f t="array" ref="C2947">XLOOKUP(B2947,Reference!$A$2:$A$152,Reference!$B$2:$B$152)</f>
        <v>Sulawesi Selatan</v>
      </c>
      <c r="D2947" s="82" t="s">
        <v>3386</v>
      </c>
      <c r="E2947" s="83">
        <v>45323.0</v>
      </c>
      <c r="F2947" s="84" t="str">
        <f t="array" ref="F2947">XLOOKUP(G2947,Reference!$F:$F,Reference!$D:$D,"null")</f>
        <v>Makanan dan Pakaian </v>
      </c>
      <c r="G2947" s="85" t="s">
        <v>56</v>
      </c>
      <c r="H2947" s="86">
        <v>101.87</v>
      </c>
      <c r="I2947" s="86">
        <v>101.87</v>
      </c>
      <c r="J2947" s="87">
        <f t="shared" si="2"/>
        <v>0</v>
      </c>
      <c r="K2947" s="84" t="str">
        <f t="shared" si="3"/>
        <v>Stabil</v>
      </c>
      <c r="L2947" s="84">
        <f t="shared" si="4"/>
        <v>0</v>
      </c>
      <c r="M2947" s="88" t="str">
        <f t="shared" si="5"/>
        <v>Perubahan Normal</v>
      </c>
    </row>
    <row r="2948" ht="18.75" customHeight="1">
      <c r="A2948" s="80" t="s">
        <v>333</v>
      </c>
      <c r="B2948" s="81" t="str">
        <f t="shared" si="6"/>
        <v>Kab Pasaman Barat</v>
      </c>
      <c r="C2948" s="81" t="str">
        <f t="array" ref="C2948">XLOOKUP(B2948,Reference!$A$2:$A$152,Reference!$B$2:$B$152)</f>
        <v>Sumatera Barat</v>
      </c>
      <c r="D2948" s="82" t="s">
        <v>3387</v>
      </c>
      <c r="E2948" s="83">
        <v>45323.0</v>
      </c>
      <c r="F2948" s="84" t="str">
        <f t="array" ref="F2948">XLOOKUP(G2948,Reference!$F:$F,Reference!$D:$D,"null")</f>
        <v>Rumah Tangga</v>
      </c>
      <c r="G2948" s="85" t="s">
        <v>80</v>
      </c>
      <c r="H2948" s="86">
        <v>100.29</v>
      </c>
      <c r="I2948" s="86">
        <v>100.29</v>
      </c>
      <c r="J2948" s="87">
        <f t="shared" si="2"/>
        <v>0</v>
      </c>
      <c r="K2948" s="84" t="str">
        <f t="shared" si="3"/>
        <v>Stabil</v>
      </c>
      <c r="L2948" s="84">
        <f t="shared" si="4"/>
        <v>0</v>
      </c>
      <c r="M2948" s="88" t="str">
        <f t="shared" si="5"/>
        <v>Perubahan Normal</v>
      </c>
    </row>
    <row r="2949" ht="18.75" customHeight="1">
      <c r="A2949" s="80" t="s">
        <v>378</v>
      </c>
      <c r="B2949" s="81" t="str">
        <f t="shared" si="6"/>
        <v>Kab Berau</v>
      </c>
      <c r="C2949" s="81" t="str">
        <f t="array" ref="C2949">XLOOKUP(B2949,Reference!$A$2:$A$152,Reference!$B$2:$B$152)</f>
        <v>Kalimantan Timur</v>
      </c>
      <c r="D2949" s="82" t="s">
        <v>3388</v>
      </c>
      <c r="E2949" s="83">
        <v>45323.0</v>
      </c>
      <c r="F2949" s="84" t="str">
        <f t="array" ref="F2949">XLOOKUP(G2949,Reference!$F:$F,Reference!$D:$D,"null")</f>
        <v>Rumah Tangga</v>
      </c>
      <c r="G2949" s="85" t="s">
        <v>80</v>
      </c>
      <c r="H2949" s="86">
        <v>101.48</v>
      </c>
      <c r="I2949" s="86">
        <v>101.48</v>
      </c>
      <c r="J2949" s="87">
        <f t="shared" si="2"/>
        <v>0</v>
      </c>
      <c r="K2949" s="84" t="str">
        <f t="shared" si="3"/>
        <v>Stabil</v>
      </c>
      <c r="L2949" s="84">
        <f t="shared" si="4"/>
        <v>0</v>
      </c>
      <c r="M2949" s="88" t="str">
        <f t="shared" si="5"/>
        <v>Perubahan Normal</v>
      </c>
    </row>
    <row r="2950" ht="18.75" customHeight="1">
      <c r="A2950" s="80" t="s">
        <v>990</v>
      </c>
      <c r="B2950" s="81" t="str">
        <f t="shared" si="6"/>
        <v>Kab Pandeglang</v>
      </c>
      <c r="C2950" s="81" t="str">
        <f t="array" ref="C2950">XLOOKUP(B2950,Reference!$A$2:$A$152,Reference!$B$2:$B$152)</f>
        <v>Banten</v>
      </c>
      <c r="D2950" s="82" t="s">
        <v>3389</v>
      </c>
      <c r="E2950" s="83">
        <v>45323.0</v>
      </c>
      <c r="F2950" s="84" t="str">
        <f t="array" ref="F2950">XLOOKUP(G2950,Reference!$F:$F,Reference!$D:$D,"null")</f>
        <v>Makanan dan Pakaian </v>
      </c>
      <c r="G2950" s="85" t="s">
        <v>72</v>
      </c>
      <c r="H2950" s="86">
        <v>104.23</v>
      </c>
      <c r="I2950" s="86">
        <v>104.6</v>
      </c>
      <c r="J2950" s="87">
        <f t="shared" si="2"/>
        <v>-0.3537284895</v>
      </c>
      <c r="K2950" s="84" t="str">
        <f t="shared" si="3"/>
        <v>Deflasi</v>
      </c>
      <c r="L2950" s="84">
        <f t="shared" si="4"/>
        <v>-0.37</v>
      </c>
      <c r="M2950" s="88" t="str">
        <f t="shared" si="5"/>
        <v>Perubahan Normal</v>
      </c>
    </row>
    <row r="2951" ht="18.75" customHeight="1">
      <c r="A2951" s="80" t="s">
        <v>391</v>
      </c>
      <c r="B2951" s="81" t="str">
        <f t="shared" si="6"/>
        <v>Kota Batam</v>
      </c>
      <c r="C2951" s="81" t="str">
        <f t="array" ref="C2951">XLOOKUP(B2951,Reference!$A$2:$A$152,Reference!$B$2:$B$152)</f>
        <v>Kepulauan Riau</v>
      </c>
      <c r="D2951" s="82" t="s">
        <v>3390</v>
      </c>
      <c r="E2951" s="83">
        <v>45323.0</v>
      </c>
      <c r="F2951" s="84" t="str">
        <f t="array" ref="F2951">XLOOKUP(G2951,Reference!$F:$F,Reference!$D:$D,"null")</f>
        <v>Makanan dan Pakaian </v>
      </c>
      <c r="G2951" s="85" t="s">
        <v>56</v>
      </c>
      <c r="H2951" s="86">
        <v>107.14</v>
      </c>
      <c r="I2951" s="86">
        <v>106.77</v>
      </c>
      <c r="J2951" s="87">
        <f t="shared" si="2"/>
        <v>0.3465392901</v>
      </c>
      <c r="K2951" s="84" t="str">
        <f t="shared" si="3"/>
        <v>Inflasi Normal</v>
      </c>
      <c r="L2951" s="84">
        <f t="shared" si="4"/>
        <v>0.37</v>
      </c>
      <c r="M2951" s="88" t="str">
        <f t="shared" si="5"/>
        <v>Perubahan Normal</v>
      </c>
    </row>
    <row r="2952" ht="18.75" customHeight="1">
      <c r="A2952" s="80" t="s">
        <v>550</v>
      </c>
      <c r="B2952" s="81" t="str">
        <f t="shared" si="6"/>
        <v>Kota Sukabumi</v>
      </c>
      <c r="C2952" s="81" t="str">
        <f t="array" ref="C2952">XLOOKUP(B2952,Reference!$A$2:$A$152,Reference!$B$2:$B$152)</f>
        <v>Jawa Barat</v>
      </c>
      <c r="D2952" s="82" t="s">
        <v>3391</v>
      </c>
      <c r="E2952" s="83">
        <v>45323.0</v>
      </c>
      <c r="F2952" s="84" t="str">
        <f t="array" ref="F2952">XLOOKUP(G2952,Reference!$F:$F,Reference!$D:$D,"null")</f>
        <v>Rumah Tangga</v>
      </c>
      <c r="G2952" s="85" t="s">
        <v>80</v>
      </c>
      <c r="H2952" s="86">
        <v>102.14</v>
      </c>
      <c r="I2952" s="86">
        <v>102.14</v>
      </c>
      <c r="J2952" s="87">
        <f t="shared" si="2"/>
        <v>0</v>
      </c>
      <c r="K2952" s="84" t="str">
        <f t="shared" si="3"/>
        <v>Stabil</v>
      </c>
      <c r="L2952" s="84">
        <f t="shared" si="4"/>
        <v>0</v>
      </c>
      <c r="M2952" s="88" t="str">
        <f t="shared" si="5"/>
        <v>Perubahan Normal</v>
      </c>
    </row>
    <row r="2953" ht="18.75" customHeight="1">
      <c r="A2953" s="80" t="s">
        <v>331</v>
      </c>
      <c r="B2953" s="81" t="str">
        <f t="shared" si="6"/>
        <v>Kota Lhokseumawe</v>
      </c>
      <c r="C2953" s="81" t="str">
        <f t="array" ref="C2953">XLOOKUP(B2953,Reference!$A$2:$A$152,Reference!$B$2:$B$152)</f>
        <v>Aceh</v>
      </c>
      <c r="D2953" s="82" t="s">
        <v>3392</v>
      </c>
      <c r="E2953" s="83">
        <v>45352.0</v>
      </c>
      <c r="F2953" s="84" t="str">
        <f t="array" ref="F2953">XLOOKUP(G2953,Reference!$F:$F,Reference!$D:$D,"null")</f>
        <v>Pendidikan dan Kesehatan</v>
      </c>
      <c r="G2953" s="85" t="s">
        <v>95</v>
      </c>
      <c r="H2953" s="86">
        <v>101.39</v>
      </c>
      <c r="I2953" s="86">
        <v>101.39</v>
      </c>
      <c r="J2953" s="87">
        <f t="shared" si="2"/>
        <v>0</v>
      </c>
      <c r="K2953" s="84" t="str">
        <f t="shared" si="3"/>
        <v>Stabil</v>
      </c>
      <c r="L2953" s="84">
        <f t="shared" si="4"/>
        <v>0</v>
      </c>
      <c r="M2953" s="88" t="str">
        <f t="shared" si="5"/>
        <v>Perubahan Normal</v>
      </c>
    </row>
    <row r="2954" ht="18.75" customHeight="1">
      <c r="A2954" s="80" t="s">
        <v>925</v>
      </c>
      <c r="B2954" s="81" t="str">
        <f t="shared" si="6"/>
        <v>Kota Jakarta</v>
      </c>
      <c r="C2954" s="81" t="str">
        <f t="array" ref="C2954">XLOOKUP(B2954,Reference!$A$2:$A$152,Reference!$B$2:$B$152)</f>
        <v>DKI Jakarta</v>
      </c>
      <c r="D2954" s="82" t="s">
        <v>3393</v>
      </c>
      <c r="E2954" s="83">
        <v>45352.0</v>
      </c>
      <c r="F2954" s="84" t="str">
        <f t="array" ref="F2954">XLOOKUP(G2954,Reference!$F:$F,Reference!$D:$D,"null")</f>
        <v>Makanan dan Pakaian </v>
      </c>
      <c r="G2954" s="85" t="s">
        <v>64</v>
      </c>
      <c r="H2954" s="86">
        <v>97.74</v>
      </c>
      <c r="I2954" s="86">
        <v>97.56</v>
      </c>
      <c r="J2954" s="87">
        <f t="shared" si="2"/>
        <v>0.184501845</v>
      </c>
      <c r="K2954" s="84" t="str">
        <f t="shared" si="3"/>
        <v>Inflasi Normal</v>
      </c>
      <c r="L2954" s="84">
        <f t="shared" si="4"/>
        <v>0.18</v>
      </c>
      <c r="M2954" s="88" t="str">
        <f t="shared" si="5"/>
        <v>Perubahan Normal</v>
      </c>
    </row>
    <row r="2955" ht="18.75" customHeight="1">
      <c r="A2955" s="80" t="s">
        <v>326</v>
      </c>
      <c r="B2955" s="81" t="str">
        <f t="shared" si="6"/>
        <v>Luwuk</v>
      </c>
      <c r="C2955" s="81" t="str">
        <f t="array" ref="C2955">XLOOKUP(B2955,Reference!$A$2:$A$152,Reference!$B$2:$B$152)</f>
        <v>Sulawesi Tengah</v>
      </c>
      <c r="D2955" s="82" t="s">
        <v>3394</v>
      </c>
      <c r="E2955" s="83">
        <v>45323.0</v>
      </c>
      <c r="F2955" s="84" t="str">
        <f t="array" ref="F2955">XLOOKUP(G2955,Reference!$F:$F,Reference!$D:$D,"null")</f>
        <v>Makanan dan Pakaian </v>
      </c>
      <c r="G2955" s="85" t="s">
        <v>48</v>
      </c>
      <c r="H2955" s="86">
        <v>108.79</v>
      </c>
      <c r="I2955" s="86">
        <v>108.12</v>
      </c>
      <c r="J2955" s="87">
        <f t="shared" si="2"/>
        <v>0.619681835</v>
      </c>
      <c r="K2955" s="84" t="str">
        <f t="shared" si="3"/>
        <v>Inflasi Tinggi</v>
      </c>
      <c r="L2955" s="84">
        <f t="shared" si="4"/>
        <v>0.67</v>
      </c>
      <c r="M2955" s="88" t="str">
        <f t="shared" si="5"/>
        <v>Akselerasi Persentase</v>
      </c>
    </row>
    <row r="2956" ht="18.75" customHeight="1">
      <c r="A2956" s="80" t="s">
        <v>539</v>
      </c>
      <c r="B2956" s="81" t="str">
        <f t="shared" si="6"/>
        <v>Kab Sorong Selatan</v>
      </c>
      <c r="C2956" s="81" t="str">
        <f t="array" ref="C2956">XLOOKUP(B2956,Reference!$A$2:$A$152,Reference!$B$2:$B$152)</f>
        <v>Papua Barat Daya</v>
      </c>
      <c r="D2956" s="82" t="s">
        <v>3395</v>
      </c>
      <c r="E2956" s="83">
        <v>45323.0</v>
      </c>
      <c r="F2956" s="84" t="str">
        <f t="array" ref="F2956">XLOOKUP(G2956,Reference!$F:$F,Reference!$D:$D,"null")</f>
        <v>Makanan dan Pakaian </v>
      </c>
      <c r="G2956" s="85" t="s">
        <v>72</v>
      </c>
      <c r="H2956" s="86">
        <v>106.36</v>
      </c>
      <c r="I2956" s="86">
        <v>106.36</v>
      </c>
      <c r="J2956" s="87">
        <f t="shared" si="2"/>
        <v>0</v>
      </c>
      <c r="K2956" s="84" t="str">
        <f t="shared" si="3"/>
        <v>Stabil</v>
      </c>
      <c r="L2956" s="84">
        <f t="shared" si="4"/>
        <v>0</v>
      </c>
      <c r="M2956" s="88" t="str">
        <f t="shared" si="5"/>
        <v>Perubahan Normal</v>
      </c>
    </row>
    <row r="2957" ht="18.75" customHeight="1">
      <c r="A2957" s="80" t="s">
        <v>539</v>
      </c>
      <c r="B2957" s="81" t="str">
        <f t="shared" si="6"/>
        <v>Kab Sorong Selatan</v>
      </c>
      <c r="C2957" s="81" t="str">
        <f t="array" ref="C2957">XLOOKUP(B2957,Reference!$A$2:$A$152,Reference!$B$2:$B$152)</f>
        <v>Papua Barat Daya</v>
      </c>
      <c r="D2957" s="82" t="s">
        <v>3396</v>
      </c>
      <c r="E2957" s="83">
        <v>45352.0</v>
      </c>
      <c r="F2957" s="84" t="str">
        <f t="array" ref="F2957">XLOOKUP(G2957,Reference!$F:$F,Reference!$D:$D,"null")</f>
        <v>Rekreasi dan Kendaraan</v>
      </c>
      <c r="G2957" s="85" t="s">
        <v>105</v>
      </c>
      <c r="H2957" s="86">
        <v>97.17</v>
      </c>
      <c r="I2957" s="86">
        <v>95.28</v>
      </c>
      <c r="J2957" s="87">
        <f t="shared" si="2"/>
        <v>1.983627204</v>
      </c>
      <c r="K2957" s="84" t="str">
        <f t="shared" si="3"/>
        <v>Inflasi Tinggi</v>
      </c>
      <c r="L2957" s="84">
        <f t="shared" si="4"/>
        <v>1.89</v>
      </c>
      <c r="M2957" s="88" t="str">
        <f t="shared" si="5"/>
        <v>Akselerasi Persentase</v>
      </c>
    </row>
    <row r="2958" ht="18.75" customHeight="1">
      <c r="A2958" s="80" t="s">
        <v>822</v>
      </c>
      <c r="B2958" s="81" t="str">
        <f t="shared" si="6"/>
        <v>Kota Pontianak</v>
      </c>
      <c r="C2958" s="81" t="str">
        <f t="array" ref="C2958">XLOOKUP(B2958,Reference!$A$2:$A$152,Reference!$B$2:$B$152)</f>
        <v>Kalimantan Barat</v>
      </c>
      <c r="D2958" s="82" t="s">
        <v>3397</v>
      </c>
      <c r="E2958" s="83">
        <v>45352.0</v>
      </c>
      <c r="F2958" s="84" t="str">
        <f t="array" ref="F2958">XLOOKUP(G2958,Reference!$F:$F,Reference!$D:$D,"null")</f>
        <v>Rumah Tangga</v>
      </c>
      <c r="G2958" s="85" t="s">
        <v>89</v>
      </c>
      <c r="H2958" s="86">
        <v>112.56</v>
      </c>
      <c r="I2958" s="86">
        <v>112.56</v>
      </c>
      <c r="J2958" s="87">
        <f t="shared" si="2"/>
        <v>0</v>
      </c>
      <c r="K2958" s="84" t="str">
        <f t="shared" si="3"/>
        <v>Stabil</v>
      </c>
      <c r="L2958" s="84">
        <f t="shared" si="4"/>
        <v>0</v>
      </c>
      <c r="M2958" s="88" t="str">
        <f t="shared" si="5"/>
        <v>Perubahan Normal</v>
      </c>
    </row>
    <row r="2959" ht="18.75" customHeight="1">
      <c r="A2959" s="80" t="s">
        <v>304</v>
      </c>
      <c r="B2959" s="81" t="str">
        <f t="shared" si="6"/>
        <v>Kota Kediri</v>
      </c>
      <c r="C2959" s="81" t="str">
        <f t="array" ref="C2959">XLOOKUP(B2959,Reference!$A$2:$A$152,Reference!$B$2:$B$152)</f>
        <v>Jawa Timur</v>
      </c>
      <c r="D2959" s="82" t="s">
        <v>3398</v>
      </c>
      <c r="E2959" s="83">
        <v>45323.0</v>
      </c>
      <c r="F2959" s="84" t="str">
        <f t="array" ref="F2959">XLOOKUP(G2959,Reference!$F:$F,Reference!$D:$D,"null")</f>
        <v>Makanan dan Pakaian </v>
      </c>
      <c r="G2959" s="85" t="s">
        <v>72</v>
      </c>
      <c r="H2959" s="86">
        <v>99.96</v>
      </c>
      <c r="I2959" s="86">
        <v>99.99</v>
      </c>
      <c r="J2959" s="87">
        <f t="shared" si="2"/>
        <v>-0.0300030003</v>
      </c>
      <c r="K2959" s="84" t="str">
        <f t="shared" si="3"/>
        <v>Deflasi</v>
      </c>
      <c r="L2959" s="84">
        <f t="shared" si="4"/>
        <v>-0.03</v>
      </c>
      <c r="M2959" s="88" t="str">
        <f t="shared" si="5"/>
        <v>Perubahan Normal</v>
      </c>
    </row>
    <row r="2960" ht="18.75" customHeight="1">
      <c r="A2960" s="80" t="s">
        <v>462</v>
      </c>
      <c r="B2960" s="81" t="str">
        <f t="shared" si="6"/>
        <v>Kota Probolinggo</v>
      </c>
      <c r="C2960" s="81" t="str">
        <f t="array" ref="C2960">XLOOKUP(B2960,Reference!$A$2:$A$152,Reference!$B$2:$B$152)</f>
        <v>Jawa Timur</v>
      </c>
      <c r="D2960" s="82" t="s">
        <v>3399</v>
      </c>
      <c r="E2960" s="83">
        <v>45352.0</v>
      </c>
      <c r="F2960" s="84" t="str">
        <f t="array" ref="F2960">XLOOKUP(G2960,Reference!$F:$F,Reference!$D:$D,"null")</f>
        <v>Rumah Tangga</v>
      </c>
      <c r="G2960" s="85" t="s">
        <v>89</v>
      </c>
      <c r="H2960" s="86">
        <v>109.15</v>
      </c>
      <c r="I2960" s="86">
        <v>109.15</v>
      </c>
      <c r="J2960" s="87">
        <f t="shared" si="2"/>
        <v>0</v>
      </c>
      <c r="K2960" s="84" t="str">
        <f t="shared" si="3"/>
        <v>Stabil</v>
      </c>
      <c r="L2960" s="84">
        <f t="shared" si="4"/>
        <v>0</v>
      </c>
      <c r="M2960" s="88" t="str">
        <f t="shared" si="5"/>
        <v>Perubahan Normal</v>
      </c>
    </row>
    <row r="2961" ht="18.75" customHeight="1">
      <c r="A2961" s="80" t="s">
        <v>445</v>
      </c>
      <c r="B2961" s="81" t="str">
        <f t="shared" si="6"/>
        <v>Kab Bangka Barat</v>
      </c>
      <c r="C2961" s="81" t="str">
        <f t="array" ref="C2961">XLOOKUP(B2961,Reference!$A$2:$A$152,Reference!$B$2:$B$152)</f>
        <v>Kepulauan Bangka Belitung</v>
      </c>
      <c r="D2961" s="82" t="s">
        <v>3400</v>
      </c>
      <c r="E2961" s="83">
        <v>45323.0</v>
      </c>
      <c r="F2961" s="84" t="str">
        <f t="array" ref="F2961">XLOOKUP(G2961,Reference!$F:$F,Reference!$D:$D,"null")</f>
        <v>Pendidikan dan Kesehatan</v>
      </c>
      <c r="G2961" s="85" t="s">
        <v>95</v>
      </c>
      <c r="H2961" s="86">
        <v>101.57</v>
      </c>
      <c r="I2961" s="86">
        <v>101.57</v>
      </c>
      <c r="J2961" s="87">
        <f t="shared" si="2"/>
        <v>0</v>
      </c>
      <c r="K2961" s="84" t="str">
        <f t="shared" si="3"/>
        <v>Stabil</v>
      </c>
      <c r="L2961" s="84">
        <f t="shared" si="4"/>
        <v>0</v>
      </c>
      <c r="M2961" s="88" t="str">
        <f t="shared" si="5"/>
        <v>Perubahan Normal</v>
      </c>
    </row>
    <row r="2962" ht="18.75" customHeight="1">
      <c r="A2962" s="80" t="s">
        <v>663</v>
      </c>
      <c r="B2962" s="81" t="str">
        <f t="shared" si="6"/>
        <v>Kota Serang</v>
      </c>
      <c r="C2962" s="81" t="str">
        <f t="array" ref="C2962">XLOOKUP(B2962,Reference!$A$2:$A$152,Reference!$B$2:$B$152)</f>
        <v>Banten</v>
      </c>
      <c r="D2962" s="82" t="s">
        <v>3401</v>
      </c>
      <c r="E2962" s="83">
        <v>45323.0</v>
      </c>
      <c r="F2962" s="84" t="str">
        <f t="array" ref="F2962">XLOOKUP(G2962,Reference!$F:$F,Reference!$D:$D,"null")</f>
        <v>Rekreasi dan Kendaraan</v>
      </c>
      <c r="G2962" s="85" t="s">
        <v>102</v>
      </c>
      <c r="H2962" s="86">
        <v>102.2</v>
      </c>
      <c r="I2962" s="86">
        <v>102.74</v>
      </c>
      <c r="J2962" s="87">
        <f t="shared" si="2"/>
        <v>-0.5255985984</v>
      </c>
      <c r="K2962" s="84" t="str">
        <f t="shared" si="3"/>
        <v>Deflasi</v>
      </c>
      <c r="L2962" s="84">
        <f t="shared" si="4"/>
        <v>-0.54</v>
      </c>
      <c r="M2962" s="88" t="str">
        <f t="shared" si="5"/>
        <v>Perubahan Normal</v>
      </c>
    </row>
    <row r="2963" ht="18.75" customHeight="1">
      <c r="A2963" s="80" t="s">
        <v>417</v>
      </c>
      <c r="B2963" s="81" t="str">
        <f t="shared" si="6"/>
        <v>Kotabaru</v>
      </c>
      <c r="C2963" s="81" t="str">
        <f t="array" ref="C2963">XLOOKUP(B2963,Reference!$A$2:$A$152,Reference!$B$2:$B$152)</f>
        <v>Kalimantan Selatan</v>
      </c>
      <c r="D2963" s="82" t="s">
        <v>3402</v>
      </c>
      <c r="E2963" s="83">
        <v>45352.0</v>
      </c>
      <c r="F2963" s="84" t="str">
        <f t="array" ref="F2963">XLOOKUP(G2963,Reference!$F:$F,Reference!$D:$D,"null")</f>
        <v>Makanan dan Pakaian </v>
      </c>
      <c r="G2963" s="85" t="s">
        <v>48</v>
      </c>
      <c r="H2963" s="86">
        <v>110.9</v>
      </c>
      <c r="I2963" s="86">
        <v>109.2</v>
      </c>
      <c r="J2963" s="87">
        <f t="shared" si="2"/>
        <v>1.556776557</v>
      </c>
      <c r="K2963" s="84" t="str">
        <f t="shared" si="3"/>
        <v>Inflasi Tinggi</v>
      </c>
      <c r="L2963" s="84">
        <f t="shared" si="4"/>
        <v>1.7</v>
      </c>
      <c r="M2963" s="88" t="str">
        <f t="shared" si="5"/>
        <v>Akselerasi Persentase</v>
      </c>
    </row>
    <row r="2964" ht="18.75" customHeight="1">
      <c r="A2964" s="80" t="s">
        <v>324</v>
      </c>
      <c r="B2964" s="81" t="str">
        <f t="shared" si="6"/>
        <v>Kab Nunukan</v>
      </c>
      <c r="C2964" s="81" t="str">
        <f t="array" ref="C2964">XLOOKUP(B2964,Reference!$A$2:$A$152,Reference!$B$2:$B$152)</f>
        <v>Kalimantan Utara</v>
      </c>
      <c r="D2964" s="82" t="s">
        <v>3403</v>
      </c>
      <c r="E2964" s="83">
        <v>45352.0</v>
      </c>
      <c r="F2964" s="84" t="str">
        <f t="array" ref="F2964">XLOOKUP(G2964,Reference!$F:$F,Reference!$D:$D,"null")</f>
        <v>Rumah Tangga</v>
      </c>
      <c r="G2964" s="85" t="s">
        <v>84</v>
      </c>
      <c r="H2964" s="86">
        <v>99.04</v>
      </c>
      <c r="I2964" s="86">
        <v>99.01</v>
      </c>
      <c r="J2964" s="87">
        <f t="shared" si="2"/>
        <v>0.0302999697</v>
      </c>
      <c r="K2964" s="84" t="str">
        <f t="shared" si="3"/>
        <v>Inflasi Normal</v>
      </c>
      <c r="L2964" s="84">
        <f t="shared" si="4"/>
        <v>0.03</v>
      </c>
      <c r="M2964" s="88" t="str">
        <f t="shared" si="5"/>
        <v>Perubahan Normal</v>
      </c>
    </row>
    <row r="2965" ht="18.75" customHeight="1">
      <c r="A2965" s="80" t="s">
        <v>658</v>
      </c>
      <c r="B2965" s="81" t="str">
        <f t="shared" si="6"/>
        <v>Kota Mataram</v>
      </c>
      <c r="C2965" s="81" t="str">
        <f t="array" ref="C2965">XLOOKUP(B2965,Reference!$A$2:$A$152,Reference!$B$2:$B$152)</f>
        <v>Nusa Tenggara Barat (NTB)</v>
      </c>
      <c r="D2965" s="82" t="s">
        <v>3404</v>
      </c>
      <c r="E2965" s="83">
        <v>45323.0</v>
      </c>
      <c r="F2965" s="84" t="str">
        <f t="array" ref="F2965">XLOOKUP(G2965,Reference!$F:$F,Reference!$D:$D,"null")</f>
        <v>Pendidikan dan Kesehatan</v>
      </c>
      <c r="G2965" s="85" t="s">
        <v>98</v>
      </c>
      <c r="H2965" s="86">
        <v>100.99</v>
      </c>
      <c r="I2965" s="86">
        <v>101.08</v>
      </c>
      <c r="J2965" s="87">
        <f t="shared" si="2"/>
        <v>-0.08903838544</v>
      </c>
      <c r="K2965" s="84" t="str">
        <f t="shared" si="3"/>
        <v>Deflasi</v>
      </c>
      <c r="L2965" s="84">
        <f t="shared" si="4"/>
        <v>-0.09</v>
      </c>
      <c r="M2965" s="88" t="str">
        <f t="shared" si="5"/>
        <v>Perubahan Normal</v>
      </c>
    </row>
    <row r="2966" ht="18.75" customHeight="1">
      <c r="A2966" s="80" t="s">
        <v>389</v>
      </c>
      <c r="B2966" s="81" t="str">
        <f t="shared" si="6"/>
        <v>Tembilahan</v>
      </c>
      <c r="C2966" s="81" t="str">
        <f t="array" ref="C2966">XLOOKUP(B2966,Reference!$A$2:$A$152,Reference!$B$2:$B$152)</f>
        <v>Riau</v>
      </c>
      <c r="D2966" s="82" t="s">
        <v>3405</v>
      </c>
      <c r="E2966" s="83">
        <v>45323.0</v>
      </c>
      <c r="F2966" s="84" t="str">
        <f t="array" ref="F2966">XLOOKUP(G2966,Reference!$F:$F,Reference!$D:$D,"null")</f>
        <v>Rumah Tangga</v>
      </c>
      <c r="G2966" s="85" t="s">
        <v>80</v>
      </c>
      <c r="H2966" s="86">
        <v>100.28</v>
      </c>
      <c r="I2966" s="86">
        <v>100.28</v>
      </c>
      <c r="J2966" s="87">
        <f t="shared" si="2"/>
        <v>0</v>
      </c>
      <c r="K2966" s="84" t="str">
        <f t="shared" si="3"/>
        <v>Stabil</v>
      </c>
      <c r="L2966" s="84">
        <f t="shared" si="4"/>
        <v>0</v>
      </c>
      <c r="M2966" s="88" t="str">
        <f t="shared" si="5"/>
        <v>Perubahan Normal</v>
      </c>
    </row>
    <row r="2967" ht="18.75" customHeight="1">
      <c r="A2967" s="80" t="s">
        <v>427</v>
      </c>
      <c r="B2967" s="81" t="str">
        <f t="shared" si="6"/>
        <v>Kota Malang</v>
      </c>
      <c r="C2967" s="81" t="str">
        <f t="array" ref="C2967">XLOOKUP(B2967,Reference!$A$2:$A$152,Reference!$B$2:$B$152)</f>
        <v>Jawa Timur</v>
      </c>
      <c r="D2967" s="82" t="s">
        <v>3406</v>
      </c>
      <c r="E2967" s="83">
        <v>45323.0</v>
      </c>
      <c r="F2967" s="84" t="str">
        <f t="array" ref="F2967">XLOOKUP(G2967,Reference!$F:$F,Reference!$D:$D,"null")</f>
        <v>Makanan dan Pakaian </v>
      </c>
      <c r="G2967" s="85" t="s">
        <v>56</v>
      </c>
      <c r="H2967" s="86">
        <v>106.86</v>
      </c>
      <c r="I2967" s="86">
        <v>106.97</v>
      </c>
      <c r="J2967" s="87">
        <f t="shared" si="2"/>
        <v>-0.1028325699</v>
      </c>
      <c r="K2967" s="84" t="str">
        <f t="shared" si="3"/>
        <v>Deflasi</v>
      </c>
      <c r="L2967" s="84">
        <f t="shared" si="4"/>
        <v>-0.11</v>
      </c>
      <c r="M2967" s="88" t="str">
        <f t="shared" si="5"/>
        <v>Perubahan Normal</v>
      </c>
    </row>
    <row r="2968" ht="18.75" customHeight="1">
      <c r="A2968" s="80" t="s">
        <v>442</v>
      </c>
      <c r="B2968" s="81" t="str">
        <f t="shared" si="6"/>
        <v>Kota Cirebon</v>
      </c>
      <c r="C2968" s="81" t="str">
        <f t="array" ref="C2968">XLOOKUP(B2968,Reference!$A$2:$A$152,Reference!$B$2:$B$152)</f>
        <v>Jawa Barat</v>
      </c>
      <c r="D2968" s="82" t="s">
        <v>3407</v>
      </c>
      <c r="E2968" s="83">
        <v>45352.0</v>
      </c>
      <c r="F2968" s="84" t="str">
        <f t="array" ref="F2968">XLOOKUP(G2968,Reference!$F:$F,Reference!$D:$D,"null")</f>
        <v>Pendidikan dan Kesehatan</v>
      </c>
      <c r="G2968" s="85" t="s">
        <v>98</v>
      </c>
      <c r="H2968" s="86">
        <v>103.12</v>
      </c>
      <c r="I2968" s="86">
        <v>103.06</v>
      </c>
      <c r="J2968" s="87">
        <f t="shared" si="2"/>
        <v>0.05821851349</v>
      </c>
      <c r="K2968" s="84" t="str">
        <f t="shared" si="3"/>
        <v>Inflasi Normal</v>
      </c>
      <c r="L2968" s="84">
        <f t="shared" si="4"/>
        <v>0.06</v>
      </c>
      <c r="M2968" s="88" t="str">
        <f t="shared" si="5"/>
        <v>Perubahan Normal</v>
      </c>
    </row>
    <row r="2969" ht="18.75" customHeight="1">
      <c r="A2969" s="80" t="s">
        <v>346</v>
      </c>
      <c r="B2969" s="81" t="str">
        <f t="shared" si="6"/>
        <v>Kab Timor Tengah Selatan</v>
      </c>
      <c r="C2969" s="81" t="str">
        <f t="array" ref="C2969">XLOOKUP(B2969,Reference!$A$2:$A$152,Reference!$B$2:$B$152)</f>
        <v>Nusa Tenggara Timur (NTT)</v>
      </c>
      <c r="D2969" s="82" t="s">
        <v>3408</v>
      </c>
      <c r="E2969" s="83">
        <v>45352.0</v>
      </c>
      <c r="F2969" s="84" t="str">
        <f t="array" ref="F2969">XLOOKUP(G2969,Reference!$F:$F,Reference!$D:$D,"null")</f>
        <v>Rumah Tangga</v>
      </c>
      <c r="G2969" s="85" t="s">
        <v>80</v>
      </c>
      <c r="H2969" s="86">
        <v>104.07</v>
      </c>
      <c r="I2969" s="86">
        <v>104.07</v>
      </c>
      <c r="J2969" s="87">
        <f t="shared" si="2"/>
        <v>0</v>
      </c>
      <c r="K2969" s="84" t="str">
        <f t="shared" si="3"/>
        <v>Stabil</v>
      </c>
      <c r="L2969" s="84">
        <f t="shared" si="4"/>
        <v>0</v>
      </c>
      <c r="M2969" s="88" t="str">
        <f t="shared" si="5"/>
        <v>Perubahan Normal</v>
      </c>
    </row>
    <row r="2970" ht="18.75" customHeight="1">
      <c r="A2970" s="80" t="s">
        <v>517</v>
      </c>
      <c r="B2970" s="81" t="str">
        <f t="shared" si="6"/>
        <v>Kota Kupang</v>
      </c>
      <c r="C2970" s="81" t="str">
        <f t="array" ref="C2970">XLOOKUP(B2970,Reference!$A$2:$A$152,Reference!$B$2:$B$152)</f>
        <v>Nusa Tenggara Timur (NTT)</v>
      </c>
      <c r="D2970" s="82" t="s">
        <v>3409</v>
      </c>
      <c r="E2970" s="83">
        <v>45323.0</v>
      </c>
      <c r="F2970" s="84" t="str">
        <f t="array" ref="F2970">XLOOKUP(G2970,Reference!$F:$F,Reference!$D:$D,"null")</f>
        <v>Rumah Tangga</v>
      </c>
      <c r="G2970" s="85" t="s">
        <v>89</v>
      </c>
      <c r="H2970" s="86">
        <v>100.72</v>
      </c>
      <c r="I2970" s="86">
        <v>100.72</v>
      </c>
      <c r="J2970" s="87">
        <f t="shared" si="2"/>
        <v>0</v>
      </c>
      <c r="K2970" s="84" t="str">
        <f t="shared" si="3"/>
        <v>Stabil</v>
      </c>
      <c r="L2970" s="84">
        <f t="shared" si="4"/>
        <v>0</v>
      </c>
      <c r="M2970" s="88" t="str">
        <f t="shared" si="5"/>
        <v>Perubahan Normal</v>
      </c>
    </row>
    <row r="2971" ht="18.75" customHeight="1">
      <c r="A2971" s="80" t="s">
        <v>316</v>
      </c>
      <c r="B2971" s="81" t="str">
        <f t="shared" si="6"/>
        <v>Singaraja</v>
      </c>
      <c r="C2971" s="81" t="str">
        <f t="array" ref="C2971">XLOOKUP(B2971,Reference!$A$2:$A$152,Reference!$B$2:$B$152)</f>
        <v>Bali</v>
      </c>
      <c r="D2971" s="82" t="s">
        <v>3410</v>
      </c>
      <c r="E2971" s="83">
        <v>45323.0</v>
      </c>
      <c r="F2971" s="84" t="str">
        <f t="array" ref="F2971">XLOOKUP(G2971,Reference!$F:$F,Reference!$D:$D,"null")</f>
        <v>Makanan dan Pakaian </v>
      </c>
      <c r="G2971" s="85" t="s">
        <v>48</v>
      </c>
      <c r="H2971" s="86">
        <v>111.49</v>
      </c>
      <c r="I2971" s="86">
        <v>109.82</v>
      </c>
      <c r="J2971" s="87">
        <f t="shared" si="2"/>
        <v>1.520670188</v>
      </c>
      <c r="K2971" s="84" t="str">
        <f t="shared" si="3"/>
        <v>Inflasi Tinggi</v>
      </c>
      <c r="L2971" s="84">
        <f t="shared" si="4"/>
        <v>1.67</v>
      </c>
      <c r="M2971" s="88" t="str">
        <f t="shared" si="5"/>
        <v>Akselerasi Persentase</v>
      </c>
    </row>
    <row r="2972" ht="18.75" customHeight="1">
      <c r="A2972" s="80" t="s">
        <v>616</v>
      </c>
      <c r="B2972" s="81" t="str">
        <f t="shared" si="6"/>
        <v>Kab Sorong</v>
      </c>
      <c r="C2972" s="81" t="str">
        <f t="array" ref="C2972">XLOOKUP(B2972,Reference!$A$2:$A$152,Reference!$B$2:$B$152)</f>
        <v>Papua Barat Daya</v>
      </c>
      <c r="D2972" s="82" t="s">
        <v>3411</v>
      </c>
      <c r="E2972" s="83">
        <v>45352.0</v>
      </c>
      <c r="F2972" s="84" t="str">
        <f t="array" ref="F2972">XLOOKUP(G2972,Reference!$F:$F,Reference!$D:$D,"null")</f>
        <v>Pendidikan dan Kesehatan</v>
      </c>
      <c r="G2972" s="85" t="s">
        <v>95</v>
      </c>
      <c r="H2972" s="86">
        <v>100.92</v>
      </c>
      <c r="I2972" s="86">
        <v>100.92</v>
      </c>
      <c r="J2972" s="87">
        <f t="shared" si="2"/>
        <v>0</v>
      </c>
      <c r="K2972" s="84" t="str">
        <f t="shared" si="3"/>
        <v>Stabil</v>
      </c>
      <c r="L2972" s="84">
        <f t="shared" si="4"/>
        <v>0</v>
      </c>
      <c r="M2972" s="88" t="str">
        <f t="shared" si="5"/>
        <v>Perubahan Normal</v>
      </c>
    </row>
    <row r="2973" ht="18.75" customHeight="1">
      <c r="A2973" s="80" t="s">
        <v>304</v>
      </c>
      <c r="B2973" s="81" t="str">
        <f t="shared" si="6"/>
        <v>Kota Kediri</v>
      </c>
      <c r="C2973" s="81" t="str">
        <f t="array" ref="C2973">XLOOKUP(B2973,Reference!$A$2:$A$152,Reference!$B$2:$B$152)</f>
        <v>Jawa Timur</v>
      </c>
      <c r="D2973" s="82" t="s">
        <v>3412</v>
      </c>
      <c r="E2973" s="83">
        <v>45323.0</v>
      </c>
      <c r="F2973" s="84" t="str">
        <f t="array" ref="F2973">XLOOKUP(G2973,Reference!$F:$F,Reference!$D:$D,"null")</f>
        <v>Rekreasi dan Kendaraan</v>
      </c>
      <c r="G2973" s="85" t="s">
        <v>105</v>
      </c>
      <c r="H2973" s="86">
        <v>100.54</v>
      </c>
      <c r="I2973" s="86">
        <v>100.54</v>
      </c>
      <c r="J2973" s="87">
        <f t="shared" si="2"/>
        <v>0</v>
      </c>
      <c r="K2973" s="84" t="str">
        <f t="shared" si="3"/>
        <v>Stabil</v>
      </c>
      <c r="L2973" s="84">
        <f t="shared" si="4"/>
        <v>0</v>
      </c>
      <c r="M2973" s="88" t="str">
        <f t="shared" si="5"/>
        <v>Perubahan Normal</v>
      </c>
    </row>
    <row r="2974" ht="18.75" customHeight="1">
      <c r="A2974" s="80" t="s">
        <v>920</v>
      </c>
      <c r="B2974" s="81" t="str">
        <f t="shared" si="6"/>
        <v>Kab Deli Serdang</v>
      </c>
      <c r="C2974" s="81" t="str">
        <f t="array" ref="C2974">XLOOKUP(B2974,Reference!$A$2:$A$152,Reference!$B$2:$B$152)</f>
        <v>Sumatera Utara</v>
      </c>
      <c r="D2974" s="82" t="s">
        <v>3413</v>
      </c>
      <c r="E2974" s="83">
        <v>45352.0</v>
      </c>
      <c r="F2974" s="84" t="str">
        <f t="array" ref="F2974">XLOOKUP(G2974,Reference!$F:$F,Reference!$D:$D,"null")</f>
        <v>Rumah Tangga</v>
      </c>
      <c r="G2974" s="85" t="s">
        <v>89</v>
      </c>
      <c r="H2974" s="86">
        <v>100.0</v>
      </c>
      <c r="I2974" s="86">
        <v>100.0</v>
      </c>
      <c r="J2974" s="87">
        <f t="shared" si="2"/>
        <v>0</v>
      </c>
      <c r="K2974" s="84" t="str">
        <f t="shared" si="3"/>
        <v>Stabil</v>
      </c>
      <c r="L2974" s="84">
        <f t="shared" si="4"/>
        <v>0</v>
      </c>
      <c r="M2974" s="88" t="str">
        <f t="shared" si="5"/>
        <v>Perubahan Normal</v>
      </c>
    </row>
    <row r="2975" ht="18.75" customHeight="1">
      <c r="A2975" s="80" t="s">
        <v>382</v>
      </c>
      <c r="B2975" s="81" t="str">
        <f t="shared" si="6"/>
        <v>Kab Ngada</v>
      </c>
      <c r="C2975" s="81" t="str">
        <f t="array" ref="C2975">XLOOKUP(B2975,Reference!$A$2:$A$152,Reference!$B$2:$B$152)</f>
        <v>Nusa Tenggara Timur (NTT)</v>
      </c>
      <c r="D2975" s="82" t="s">
        <v>3414</v>
      </c>
      <c r="E2975" s="83">
        <v>45352.0</v>
      </c>
      <c r="F2975" s="84" t="str">
        <f t="array" ref="F2975">XLOOKUP(G2975,Reference!$F:$F,Reference!$D:$D,"null")</f>
        <v>Makanan dan Pakaian </v>
      </c>
      <c r="G2975" s="85" t="s">
        <v>56</v>
      </c>
      <c r="H2975" s="86">
        <v>99.79</v>
      </c>
      <c r="I2975" s="86">
        <v>99.79</v>
      </c>
      <c r="J2975" s="87">
        <f t="shared" si="2"/>
        <v>0</v>
      </c>
      <c r="K2975" s="84" t="str">
        <f t="shared" si="3"/>
        <v>Stabil</v>
      </c>
      <c r="L2975" s="84">
        <f t="shared" si="4"/>
        <v>0</v>
      </c>
      <c r="M2975" s="88" t="str">
        <f t="shared" si="5"/>
        <v>Perubahan Normal</v>
      </c>
    </row>
    <row r="2976" ht="18.75" customHeight="1">
      <c r="A2976" s="80" t="s">
        <v>412</v>
      </c>
      <c r="B2976" s="81" t="str">
        <f t="shared" si="6"/>
        <v>Cilacap</v>
      </c>
      <c r="C2976" s="81" t="str">
        <f t="array" ref="C2976">XLOOKUP(B2976,Reference!$A$2:$A$152,Reference!$B$2:$B$152)</f>
        <v>Jawa Tengah</v>
      </c>
      <c r="D2976" s="82" t="s">
        <v>3415</v>
      </c>
      <c r="E2976" s="83">
        <v>45352.0</v>
      </c>
      <c r="F2976" s="84" t="str">
        <f t="array" ref="F2976">XLOOKUP(G2976,Reference!$F:$F,Reference!$D:$D,"null")</f>
        <v>Makanan dan Pakaian </v>
      </c>
      <c r="G2976" s="85" t="s">
        <v>72</v>
      </c>
      <c r="H2976" s="86">
        <v>101.1</v>
      </c>
      <c r="I2976" s="86">
        <v>101.1</v>
      </c>
      <c r="J2976" s="87">
        <f t="shared" si="2"/>
        <v>0</v>
      </c>
      <c r="K2976" s="84" t="str">
        <f t="shared" si="3"/>
        <v>Stabil</v>
      </c>
      <c r="L2976" s="84">
        <f t="shared" si="4"/>
        <v>0</v>
      </c>
      <c r="M2976" s="88" t="str">
        <f t="shared" si="5"/>
        <v>Perubahan Normal</v>
      </c>
    </row>
    <row r="2977" ht="18.75" customHeight="1">
      <c r="A2977" s="80" t="s">
        <v>298</v>
      </c>
      <c r="B2977" s="81" t="str">
        <f t="shared" si="6"/>
        <v>Kota Bekasi</v>
      </c>
      <c r="C2977" s="81" t="str">
        <f t="array" ref="C2977">XLOOKUP(B2977,Reference!$A$2:$A$152,Reference!$B$2:$B$152)</f>
        <v>Jawa Barat</v>
      </c>
      <c r="D2977" s="82" t="s">
        <v>3416</v>
      </c>
      <c r="E2977" s="83">
        <v>45352.0</v>
      </c>
      <c r="F2977" s="84" t="str">
        <f t="array" ref="F2977">XLOOKUP(G2977,Reference!$F:$F,Reference!$D:$D,"null")</f>
        <v>Rumah Tangga</v>
      </c>
      <c r="G2977" s="85" t="s">
        <v>89</v>
      </c>
      <c r="H2977" s="86">
        <v>103.11</v>
      </c>
      <c r="I2977" s="86">
        <v>103.11</v>
      </c>
      <c r="J2977" s="87">
        <f t="shared" si="2"/>
        <v>0</v>
      </c>
      <c r="K2977" s="84" t="str">
        <f t="shared" si="3"/>
        <v>Stabil</v>
      </c>
      <c r="L2977" s="84">
        <f t="shared" si="4"/>
        <v>0</v>
      </c>
      <c r="M2977" s="88" t="str">
        <f t="shared" si="5"/>
        <v>Perubahan Normal</v>
      </c>
    </row>
    <row r="2978" ht="18.75" customHeight="1">
      <c r="A2978" s="80" t="s">
        <v>483</v>
      </c>
      <c r="B2978" s="81" t="str">
        <f t="shared" si="6"/>
        <v>Kota Padangsidimpuan</v>
      </c>
      <c r="C2978" s="81" t="str">
        <f t="array" ref="C2978">XLOOKUP(B2978,Reference!$A$2:$A$152,Reference!$B$2:$B$152)</f>
        <v>Sumatera Utara</v>
      </c>
      <c r="D2978" s="82" t="s">
        <v>3417</v>
      </c>
      <c r="E2978" s="83">
        <v>45352.0</v>
      </c>
      <c r="F2978" s="84" t="str">
        <f t="array" ref="F2978">XLOOKUP(G2978,Reference!$F:$F,Reference!$D:$D,"null")</f>
        <v>Rekreasi dan Kendaraan</v>
      </c>
      <c r="G2978" s="85" t="s">
        <v>105</v>
      </c>
      <c r="H2978" s="86">
        <v>103.23</v>
      </c>
      <c r="I2978" s="86">
        <v>103.17</v>
      </c>
      <c r="J2978" s="87">
        <f t="shared" si="2"/>
        <v>0.05815644083</v>
      </c>
      <c r="K2978" s="84" t="str">
        <f t="shared" si="3"/>
        <v>Inflasi Normal</v>
      </c>
      <c r="L2978" s="84">
        <f t="shared" si="4"/>
        <v>0.06</v>
      </c>
      <c r="M2978" s="88" t="str">
        <f t="shared" si="5"/>
        <v>Perubahan Normal</v>
      </c>
    </row>
    <row r="2979" ht="18.75" customHeight="1">
      <c r="A2979" s="80" t="s">
        <v>382</v>
      </c>
      <c r="B2979" s="81" t="str">
        <f t="shared" si="6"/>
        <v>Kab Ngada</v>
      </c>
      <c r="C2979" s="81" t="str">
        <f t="array" ref="C2979">XLOOKUP(B2979,Reference!$A$2:$A$152,Reference!$B$2:$B$152)</f>
        <v>Nusa Tenggara Timur (NTT)</v>
      </c>
      <c r="D2979" s="82" t="s">
        <v>3418</v>
      </c>
      <c r="E2979" s="83">
        <v>45352.0</v>
      </c>
      <c r="F2979" s="84" t="str">
        <f t="array" ref="F2979">XLOOKUP(G2979,Reference!$F:$F,Reference!$D:$D,"null")</f>
        <v>Rumah Tangga</v>
      </c>
      <c r="G2979" s="85" t="s">
        <v>89</v>
      </c>
      <c r="H2979" s="86">
        <v>95.77</v>
      </c>
      <c r="I2979" s="86">
        <v>95.98</v>
      </c>
      <c r="J2979" s="87">
        <f t="shared" si="2"/>
        <v>-0.2187955824</v>
      </c>
      <c r="K2979" s="84" t="str">
        <f t="shared" si="3"/>
        <v>Deflasi</v>
      </c>
      <c r="L2979" s="84">
        <f t="shared" si="4"/>
        <v>-0.21</v>
      </c>
      <c r="M2979" s="88" t="str">
        <f t="shared" si="5"/>
        <v>Perubahan Normal</v>
      </c>
    </row>
    <row r="2980" ht="18.75" customHeight="1">
      <c r="A2980" s="80" t="s">
        <v>571</v>
      </c>
      <c r="B2980" s="81" t="str">
        <f t="shared" si="6"/>
        <v>Kota Sorong</v>
      </c>
      <c r="C2980" s="81" t="str">
        <f t="array" ref="C2980">XLOOKUP(B2980,Reference!$A$2:$A$152,Reference!$B$2:$B$152)</f>
        <v>Papua Barat Daya</v>
      </c>
      <c r="D2980" s="82" t="s">
        <v>3419</v>
      </c>
      <c r="E2980" s="83">
        <v>45352.0</v>
      </c>
      <c r="F2980" s="84" t="str">
        <f t="array" ref="F2980">XLOOKUP(G2980,Reference!$F:$F,Reference!$D:$D,"null")</f>
        <v>Pendidikan dan Kesehatan</v>
      </c>
      <c r="G2980" s="85" t="s">
        <v>95</v>
      </c>
      <c r="H2980" s="86">
        <v>97.08</v>
      </c>
      <c r="I2980" s="86">
        <v>97.08</v>
      </c>
      <c r="J2980" s="87">
        <f t="shared" si="2"/>
        <v>0</v>
      </c>
      <c r="K2980" s="84" t="str">
        <f t="shared" si="3"/>
        <v>Stabil</v>
      </c>
      <c r="L2980" s="84">
        <f t="shared" si="4"/>
        <v>0</v>
      </c>
      <c r="M2980" s="88" t="str">
        <f t="shared" si="5"/>
        <v>Perubahan Normal</v>
      </c>
    </row>
    <row r="2981" ht="18.75" customHeight="1">
      <c r="A2981" s="80" t="s">
        <v>740</v>
      </c>
      <c r="B2981" s="81" t="str">
        <f t="shared" si="6"/>
        <v>Kota Gunungsitoli</v>
      </c>
      <c r="C2981" s="81" t="str">
        <f t="array" ref="C2981">XLOOKUP(B2981,Reference!$A$2:$A$152,Reference!$B$2:$B$152)</f>
        <v>Sumatera Utara</v>
      </c>
      <c r="D2981" s="82" t="s">
        <v>3420</v>
      </c>
      <c r="E2981" s="83">
        <v>45352.0</v>
      </c>
      <c r="F2981" s="84" t="str">
        <f t="array" ref="F2981">XLOOKUP(G2981,Reference!$F:$F,Reference!$D:$D,"null")</f>
        <v>Pendidikan dan Kesehatan</v>
      </c>
      <c r="G2981" s="85" t="s">
        <v>98</v>
      </c>
      <c r="H2981" s="86">
        <v>102.49</v>
      </c>
      <c r="I2981" s="86">
        <v>102.28</v>
      </c>
      <c r="J2981" s="87">
        <f t="shared" si="2"/>
        <v>0.2053187329</v>
      </c>
      <c r="K2981" s="84" t="str">
        <f t="shared" si="3"/>
        <v>Inflasi Normal</v>
      </c>
      <c r="L2981" s="84">
        <f t="shared" si="4"/>
        <v>0.21</v>
      </c>
      <c r="M2981" s="88" t="str">
        <f t="shared" si="5"/>
        <v>Perubahan Normal</v>
      </c>
    </row>
    <row r="2982" ht="18.75" customHeight="1">
      <c r="A2982" s="80" t="s">
        <v>353</v>
      </c>
      <c r="B2982" s="81" t="str">
        <f t="shared" si="6"/>
        <v>Kota Bau Bau</v>
      </c>
      <c r="C2982" s="81" t="str">
        <f t="array" ref="C2982">XLOOKUP(B2982,Reference!$A$2:$A$152,Reference!$B$2:$B$152)</f>
        <v>Sulawesi Tenggara</v>
      </c>
      <c r="D2982" s="82" t="s">
        <v>3421</v>
      </c>
      <c r="E2982" s="83">
        <v>45323.0</v>
      </c>
      <c r="F2982" s="84" t="str">
        <f t="array" ref="F2982">XLOOKUP(G2982,Reference!$F:$F,Reference!$D:$D,"null")</f>
        <v>Makanan dan Pakaian </v>
      </c>
      <c r="G2982" s="85" t="s">
        <v>72</v>
      </c>
      <c r="H2982" s="86">
        <v>101.73</v>
      </c>
      <c r="I2982" s="86">
        <v>101.71</v>
      </c>
      <c r="J2982" s="87">
        <f t="shared" si="2"/>
        <v>0.01966374988</v>
      </c>
      <c r="K2982" s="84" t="str">
        <f t="shared" si="3"/>
        <v>Inflasi Normal</v>
      </c>
      <c r="L2982" s="84">
        <f t="shared" si="4"/>
        <v>0.02</v>
      </c>
      <c r="M2982" s="88" t="str">
        <f t="shared" si="5"/>
        <v>Perubahan Normal</v>
      </c>
    </row>
    <row r="2983" ht="18.75" customHeight="1">
      <c r="A2983" s="80" t="s">
        <v>502</v>
      </c>
      <c r="B2983" s="81" t="str">
        <f t="shared" si="6"/>
        <v>Muara Bungo</v>
      </c>
      <c r="C2983" s="81" t="str">
        <f t="array" ref="C2983">XLOOKUP(B2983,Reference!$A$2:$A$152,Reference!$B$2:$B$152)</f>
        <v>Jambi</v>
      </c>
      <c r="D2983" s="82" t="s">
        <v>3422</v>
      </c>
      <c r="E2983" s="83">
        <v>45323.0</v>
      </c>
      <c r="F2983" s="84" t="str">
        <f t="array" ref="F2983">XLOOKUP(G2983,Reference!$F:$F,Reference!$D:$D,"null")</f>
        <v>Pendidikan dan Kesehatan</v>
      </c>
      <c r="G2983" s="85" t="s">
        <v>98</v>
      </c>
      <c r="H2983" s="86">
        <v>106.13</v>
      </c>
      <c r="I2983" s="86">
        <v>105.31</v>
      </c>
      <c r="J2983" s="87">
        <f t="shared" si="2"/>
        <v>0.7786534992</v>
      </c>
      <c r="K2983" s="84" t="str">
        <f t="shared" si="3"/>
        <v>Inflasi Tinggi</v>
      </c>
      <c r="L2983" s="84">
        <f t="shared" si="4"/>
        <v>0.82</v>
      </c>
      <c r="M2983" s="88" t="str">
        <f t="shared" si="5"/>
        <v>Akselerasi Persentase</v>
      </c>
    </row>
    <row r="2984" ht="18.75" customHeight="1">
      <c r="A2984" s="80" t="s">
        <v>308</v>
      </c>
      <c r="B2984" s="81" t="str">
        <f t="shared" si="6"/>
        <v>Kab Sukamara</v>
      </c>
      <c r="C2984" s="81" t="str">
        <f t="array" ref="C2984">XLOOKUP(B2984,Reference!$A$2:$A$152,Reference!$B$2:$B$152)</f>
        <v>Kalimantan Tengah</v>
      </c>
      <c r="D2984" s="82" t="s">
        <v>3423</v>
      </c>
      <c r="E2984" s="83">
        <v>45323.0</v>
      </c>
      <c r="F2984" s="84" t="str">
        <f t="array" ref="F2984">XLOOKUP(G2984,Reference!$F:$F,Reference!$D:$D,"null")</f>
        <v>Rumah Tangga</v>
      </c>
      <c r="G2984" s="85" t="s">
        <v>84</v>
      </c>
      <c r="H2984" s="86">
        <v>100.83</v>
      </c>
      <c r="I2984" s="86">
        <v>100.83</v>
      </c>
      <c r="J2984" s="87">
        <f t="shared" si="2"/>
        <v>0</v>
      </c>
      <c r="K2984" s="84" t="str">
        <f t="shared" si="3"/>
        <v>Stabil</v>
      </c>
      <c r="L2984" s="84">
        <f t="shared" si="4"/>
        <v>0</v>
      </c>
      <c r="M2984" s="88" t="str">
        <f t="shared" si="5"/>
        <v>Perubahan Normal</v>
      </c>
    </row>
    <row r="2985" ht="18.75" customHeight="1">
      <c r="A2985" s="80" t="s">
        <v>314</v>
      </c>
      <c r="B2985" s="81" t="str">
        <f t="shared" si="6"/>
        <v>Kota Jayapura</v>
      </c>
      <c r="C2985" s="81" t="str">
        <f t="array" ref="C2985">XLOOKUP(B2985,Reference!$A$2:$A$152,Reference!$B$2:$B$152)</f>
        <v>Papua</v>
      </c>
      <c r="D2985" s="82" t="s">
        <v>3424</v>
      </c>
      <c r="E2985" s="83">
        <v>45323.0</v>
      </c>
      <c r="F2985" s="84" t="str">
        <f t="array" ref="F2985">XLOOKUP(G2985,Reference!$F:$F,Reference!$D:$D,"null")</f>
        <v>Makanan dan Pakaian </v>
      </c>
      <c r="G2985" s="85" t="s">
        <v>56</v>
      </c>
      <c r="H2985" s="86">
        <v>102.71</v>
      </c>
      <c r="I2985" s="86">
        <v>105.35</v>
      </c>
      <c r="J2985" s="87">
        <f t="shared" si="2"/>
        <v>-2.505932606</v>
      </c>
      <c r="K2985" s="84" t="str">
        <f t="shared" si="3"/>
        <v>Deflasi</v>
      </c>
      <c r="L2985" s="84">
        <f t="shared" si="4"/>
        <v>-2.64</v>
      </c>
      <c r="M2985" s="88" t="str">
        <f t="shared" si="5"/>
        <v>Perubahan Normal</v>
      </c>
    </row>
    <row r="2986" ht="18.75" customHeight="1">
      <c r="A2986" s="80" t="s">
        <v>399</v>
      </c>
      <c r="B2986" s="81" t="str">
        <f t="shared" si="6"/>
        <v>Sampit</v>
      </c>
      <c r="C2986" s="81" t="str">
        <f t="array" ref="C2986">XLOOKUP(B2986,Reference!$A$2:$A$152,Reference!$B$2:$B$152)</f>
        <v>Kalimantan Tengah</v>
      </c>
      <c r="D2986" s="82" t="s">
        <v>3425</v>
      </c>
      <c r="E2986" s="83">
        <v>45323.0</v>
      </c>
      <c r="F2986" s="84" t="str">
        <f t="array" ref="F2986">XLOOKUP(G2986,Reference!$F:$F,Reference!$D:$D,"null")</f>
        <v>Rekreasi dan Kendaraan</v>
      </c>
      <c r="G2986" s="85" t="s">
        <v>105</v>
      </c>
      <c r="H2986" s="86">
        <v>101.61</v>
      </c>
      <c r="I2986" s="86">
        <v>101.61</v>
      </c>
      <c r="J2986" s="87">
        <f t="shared" si="2"/>
        <v>0</v>
      </c>
      <c r="K2986" s="84" t="str">
        <f t="shared" si="3"/>
        <v>Stabil</v>
      </c>
      <c r="L2986" s="84">
        <f t="shared" si="4"/>
        <v>0</v>
      </c>
      <c r="M2986" s="88" t="str">
        <f t="shared" si="5"/>
        <v>Perubahan Normal</v>
      </c>
    </row>
    <row r="2987" ht="18.75" customHeight="1">
      <c r="A2987" s="80" t="s">
        <v>316</v>
      </c>
      <c r="B2987" s="81" t="str">
        <f t="shared" si="6"/>
        <v>Singaraja</v>
      </c>
      <c r="C2987" s="81" t="str">
        <f t="array" ref="C2987">XLOOKUP(B2987,Reference!$A$2:$A$152,Reference!$B$2:$B$152)</f>
        <v>Bali</v>
      </c>
      <c r="D2987" s="82" t="s">
        <v>3426</v>
      </c>
      <c r="E2987" s="83">
        <v>45352.0</v>
      </c>
      <c r="F2987" s="84" t="str">
        <f t="array" ref="F2987">XLOOKUP(G2987,Reference!$F:$F,Reference!$D:$D,"null")</f>
        <v>Makanan dan Pakaian </v>
      </c>
      <c r="G2987" s="89" t="s">
        <v>64</v>
      </c>
      <c r="H2987" s="90">
        <v>102.16</v>
      </c>
      <c r="I2987" s="90">
        <v>102.13</v>
      </c>
      <c r="J2987" s="87">
        <f t="shared" si="2"/>
        <v>0.02937432684</v>
      </c>
      <c r="K2987" s="84" t="str">
        <f t="shared" si="3"/>
        <v>Inflasi Normal</v>
      </c>
      <c r="L2987" s="91">
        <f t="shared" si="4"/>
        <v>0.03</v>
      </c>
      <c r="M2987" s="88" t="str">
        <f t="shared" si="5"/>
        <v>Perubahan Normal</v>
      </c>
    </row>
    <row r="2988" ht="18.75" customHeight="1">
      <c r="A2988" s="80" t="s">
        <v>316</v>
      </c>
      <c r="B2988" s="81" t="str">
        <f t="shared" si="6"/>
        <v>Singaraja</v>
      </c>
      <c r="C2988" s="81" t="str">
        <f t="array" ref="C2988">XLOOKUP(B2988,Reference!$A$2:$A$152,Reference!$B$2:$B$152)</f>
        <v>Bali</v>
      </c>
      <c r="D2988" s="82" t="s">
        <v>3427</v>
      </c>
      <c r="E2988" s="83">
        <v>45323.0</v>
      </c>
      <c r="F2988" s="84" t="str">
        <f t="array" ref="F2988">XLOOKUP(G2988,Reference!$F:$F,Reference!$D:$D,"null")</f>
        <v>Rumah Tangga</v>
      </c>
      <c r="G2988" s="85" t="s">
        <v>89</v>
      </c>
      <c r="H2988" s="86">
        <v>98.75</v>
      </c>
      <c r="I2988" s="86">
        <v>98.75</v>
      </c>
      <c r="J2988" s="87">
        <f t="shared" si="2"/>
        <v>0</v>
      </c>
      <c r="K2988" s="84" t="str">
        <f t="shared" si="3"/>
        <v>Stabil</v>
      </c>
      <c r="L2988" s="84">
        <f t="shared" si="4"/>
        <v>0</v>
      </c>
      <c r="M2988" s="88" t="str">
        <f t="shared" si="5"/>
        <v>Perubahan Normal</v>
      </c>
    </row>
    <row r="2989" ht="18.75" customHeight="1">
      <c r="A2989" s="80" t="s">
        <v>445</v>
      </c>
      <c r="B2989" s="81" t="str">
        <f t="shared" si="6"/>
        <v>Kab Bangka Barat</v>
      </c>
      <c r="C2989" s="81" t="str">
        <f t="array" ref="C2989">XLOOKUP(B2989,Reference!$A$2:$A$152,Reference!$B$2:$B$152)</f>
        <v>Kepulauan Bangka Belitung</v>
      </c>
      <c r="D2989" s="82" t="s">
        <v>3428</v>
      </c>
      <c r="E2989" s="83">
        <v>45352.0</v>
      </c>
      <c r="F2989" s="84" t="str">
        <f t="array" ref="F2989">XLOOKUP(G2989,Reference!$F:$F,Reference!$D:$D,"null")</f>
        <v>Pendidikan dan Kesehatan</v>
      </c>
      <c r="G2989" s="85" t="s">
        <v>95</v>
      </c>
      <c r="H2989" s="86">
        <v>101.57</v>
      </c>
      <c r="I2989" s="86">
        <v>101.57</v>
      </c>
      <c r="J2989" s="87">
        <f t="shared" si="2"/>
        <v>0</v>
      </c>
      <c r="K2989" s="84" t="str">
        <f t="shared" si="3"/>
        <v>Stabil</v>
      </c>
      <c r="L2989" s="84">
        <f t="shared" si="4"/>
        <v>0</v>
      </c>
      <c r="M2989" s="88" t="str">
        <f t="shared" si="5"/>
        <v>Perubahan Normal</v>
      </c>
    </row>
    <row r="2990" ht="18.75" customHeight="1">
      <c r="A2990" s="80" t="s">
        <v>445</v>
      </c>
      <c r="B2990" s="81" t="str">
        <f t="shared" si="6"/>
        <v>Kab Bangka Barat</v>
      </c>
      <c r="C2990" s="81" t="str">
        <f t="array" ref="C2990">XLOOKUP(B2990,Reference!$A$2:$A$152,Reference!$B$2:$B$152)</f>
        <v>Kepulauan Bangka Belitung</v>
      </c>
      <c r="D2990" s="82" t="s">
        <v>3429</v>
      </c>
      <c r="E2990" s="83">
        <v>45323.0</v>
      </c>
      <c r="F2990" s="84" t="str">
        <f t="array" ref="F2990">XLOOKUP(G2990,Reference!$F:$F,Reference!$D:$D,"null")</f>
        <v>Makanan dan Pakaian </v>
      </c>
      <c r="G2990" s="85" t="s">
        <v>48</v>
      </c>
      <c r="H2990" s="86">
        <v>101.52</v>
      </c>
      <c r="I2990" s="86">
        <v>100.08</v>
      </c>
      <c r="J2990" s="87">
        <f t="shared" si="2"/>
        <v>1.438848921</v>
      </c>
      <c r="K2990" s="84" t="str">
        <f t="shared" si="3"/>
        <v>Inflasi Tinggi</v>
      </c>
      <c r="L2990" s="84">
        <f t="shared" si="4"/>
        <v>1.44</v>
      </c>
      <c r="M2990" s="88" t="str">
        <f t="shared" si="5"/>
        <v>Akselerasi Persentase</v>
      </c>
    </row>
    <row r="2991" ht="18.75" customHeight="1">
      <c r="A2991" s="80" t="s">
        <v>367</v>
      </c>
      <c r="B2991" s="81" t="str">
        <f t="shared" si="6"/>
        <v>Kota Jambi</v>
      </c>
      <c r="C2991" s="81" t="str">
        <f t="array" ref="C2991">XLOOKUP(B2991,Reference!$A$2:$A$152,Reference!$B$2:$B$152)</f>
        <v>Jambi</v>
      </c>
      <c r="D2991" s="82" t="s">
        <v>3430</v>
      </c>
      <c r="E2991" s="83">
        <v>45323.0</v>
      </c>
      <c r="F2991" s="84" t="str">
        <f t="array" ref="F2991">XLOOKUP(G2991,Reference!$F:$F,Reference!$D:$D,"null")</f>
        <v>Rekreasi dan Kendaraan</v>
      </c>
      <c r="G2991" s="85" t="s">
        <v>102</v>
      </c>
      <c r="H2991" s="86">
        <v>102.72</v>
      </c>
      <c r="I2991" s="86">
        <v>102.66</v>
      </c>
      <c r="J2991" s="87">
        <f t="shared" si="2"/>
        <v>0.05844535359</v>
      </c>
      <c r="K2991" s="84" t="str">
        <f t="shared" si="3"/>
        <v>Inflasi Normal</v>
      </c>
      <c r="L2991" s="84">
        <f t="shared" si="4"/>
        <v>0.06</v>
      </c>
      <c r="M2991" s="88" t="str">
        <f t="shared" si="5"/>
        <v>Perubahan Normal</v>
      </c>
    </row>
    <row r="2992" ht="18.75" customHeight="1">
      <c r="A2992" s="80" t="s">
        <v>318</v>
      </c>
      <c r="B2992" s="81" t="str">
        <f t="shared" si="6"/>
        <v>Tanjung</v>
      </c>
      <c r="C2992" s="81" t="str">
        <f t="array" ref="C2992">XLOOKUP(B2992,Reference!$A$2:$A$152,Reference!$B$2:$B$152)</f>
        <v>Kalimantan Selatan</v>
      </c>
      <c r="D2992" s="82" t="s">
        <v>3431</v>
      </c>
      <c r="E2992" s="83">
        <v>45352.0</v>
      </c>
      <c r="F2992" s="84" t="str">
        <f t="array" ref="F2992">XLOOKUP(G2992,Reference!$F:$F,Reference!$D:$D,"null")</f>
        <v>Makanan dan Pakaian </v>
      </c>
      <c r="G2992" s="85" t="s">
        <v>64</v>
      </c>
      <c r="H2992" s="86">
        <v>102.51</v>
      </c>
      <c r="I2992" s="86">
        <v>101.82</v>
      </c>
      <c r="J2992" s="87">
        <f t="shared" si="2"/>
        <v>0.6776664702</v>
      </c>
      <c r="K2992" s="84" t="str">
        <f t="shared" si="3"/>
        <v>Inflasi Tinggi</v>
      </c>
      <c r="L2992" s="84">
        <f t="shared" si="4"/>
        <v>0.69</v>
      </c>
      <c r="M2992" s="88" t="str">
        <f t="shared" si="5"/>
        <v>Akselerasi Persentase</v>
      </c>
    </row>
    <row r="2993" ht="18.75" customHeight="1">
      <c r="A2993" s="80" t="s">
        <v>600</v>
      </c>
      <c r="B2993" s="81" t="str">
        <f t="shared" si="6"/>
        <v>Kota Banda Aceh</v>
      </c>
      <c r="C2993" s="81" t="str">
        <f t="array" ref="C2993">XLOOKUP(B2993,Reference!$A$2:$A$152,Reference!$B$2:$B$152)</f>
        <v>Aceh</v>
      </c>
      <c r="D2993" s="82" t="s">
        <v>3432</v>
      </c>
      <c r="E2993" s="83">
        <v>45352.0</v>
      </c>
      <c r="F2993" s="84" t="str">
        <f t="array" ref="F2993">XLOOKUP(G2993,Reference!$F:$F,Reference!$D:$D,"null")</f>
        <v>Rumah Tangga</v>
      </c>
      <c r="G2993" s="85" t="s">
        <v>89</v>
      </c>
      <c r="H2993" s="86">
        <v>101.11</v>
      </c>
      <c r="I2993" s="86">
        <v>101.11</v>
      </c>
      <c r="J2993" s="87">
        <f t="shared" si="2"/>
        <v>0</v>
      </c>
      <c r="K2993" s="84" t="str">
        <f t="shared" si="3"/>
        <v>Stabil</v>
      </c>
      <c r="L2993" s="84">
        <f t="shared" si="4"/>
        <v>0</v>
      </c>
      <c r="M2993" s="88" t="str">
        <f t="shared" si="5"/>
        <v>Perubahan Normal</v>
      </c>
    </row>
    <row r="2994" ht="18.75" customHeight="1">
      <c r="A2994" s="80" t="s">
        <v>445</v>
      </c>
      <c r="B2994" s="81" t="str">
        <f t="shared" si="6"/>
        <v>Kab Bangka Barat</v>
      </c>
      <c r="C2994" s="81" t="str">
        <f t="array" ref="C2994">XLOOKUP(B2994,Reference!$A$2:$A$152,Reference!$B$2:$B$152)</f>
        <v>Kepulauan Bangka Belitung</v>
      </c>
      <c r="D2994" s="82" t="s">
        <v>3433</v>
      </c>
      <c r="E2994" s="83">
        <v>45352.0</v>
      </c>
      <c r="F2994" s="84" t="str">
        <f t="array" ref="F2994">XLOOKUP(G2994,Reference!$F:$F,Reference!$D:$D,"null")</f>
        <v>Makanan dan Pakaian </v>
      </c>
      <c r="G2994" s="85" t="s">
        <v>64</v>
      </c>
      <c r="H2994" s="86">
        <v>100.12</v>
      </c>
      <c r="I2994" s="86">
        <v>99.41</v>
      </c>
      <c r="J2994" s="87">
        <f t="shared" si="2"/>
        <v>0.7142138618</v>
      </c>
      <c r="K2994" s="84" t="str">
        <f t="shared" si="3"/>
        <v>Inflasi Tinggi</v>
      </c>
      <c r="L2994" s="84">
        <f t="shared" si="4"/>
        <v>0.71</v>
      </c>
      <c r="M2994" s="88" t="str">
        <f t="shared" si="5"/>
        <v>Akselerasi Persentase</v>
      </c>
    </row>
    <row r="2995" ht="18.75" customHeight="1">
      <c r="A2995" s="80" t="s">
        <v>370</v>
      </c>
      <c r="B2995" s="81" t="str">
        <f t="shared" si="6"/>
        <v>Jember</v>
      </c>
      <c r="C2995" s="81" t="str">
        <f t="array" ref="C2995">XLOOKUP(B2995,Reference!$A$2:$A$152,Reference!$B$2:$B$152)</f>
        <v>Jawa Timur</v>
      </c>
      <c r="D2995" s="82" t="s">
        <v>3434</v>
      </c>
      <c r="E2995" s="83">
        <v>45352.0</v>
      </c>
      <c r="F2995" s="84" t="str">
        <f t="array" ref="F2995">XLOOKUP(G2995,Reference!$F:$F,Reference!$D:$D,"null")</f>
        <v>Rumah Tangga</v>
      </c>
      <c r="G2995" s="89" t="s">
        <v>80</v>
      </c>
      <c r="H2995" s="90">
        <v>105.56</v>
      </c>
      <c r="I2995" s="90">
        <v>105.56</v>
      </c>
      <c r="J2995" s="87">
        <f t="shared" si="2"/>
        <v>0</v>
      </c>
      <c r="K2995" s="84" t="str">
        <f t="shared" si="3"/>
        <v>Stabil</v>
      </c>
      <c r="L2995" s="91">
        <f t="shared" si="4"/>
        <v>0</v>
      </c>
      <c r="M2995" s="88" t="str">
        <f t="shared" si="5"/>
        <v>Perubahan Normal</v>
      </c>
    </row>
    <row r="2996" ht="18.75" customHeight="1">
      <c r="A2996" s="80" t="s">
        <v>548</v>
      </c>
      <c r="B2996" s="81" t="str">
        <f t="shared" si="6"/>
        <v>Kota Metro</v>
      </c>
      <c r="C2996" s="81" t="str">
        <f t="array" ref="C2996">XLOOKUP(B2996,Reference!$A$2:$A$152,Reference!$B$2:$B$152)</f>
        <v>Lampung</v>
      </c>
      <c r="D2996" s="82" t="s">
        <v>3435</v>
      </c>
      <c r="E2996" s="83">
        <v>45323.0</v>
      </c>
      <c r="F2996" s="84" t="str">
        <f t="array" ref="F2996">XLOOKUP(G2996,Reference!$F:$F,Reference!$D:$D,"null")</f>
        <v>Rumah Tangga</v>
      </c>
      <c r="G2996" s="89" t="s">
        <v>89</v>
      </c>
      <c r="H2996" s="90">
        <v>101.02</v>
      </c>
      <c r="I2996" s="90">
        <v>101.02</v>
      </c>
      <c r="J2996" s="87">
        <f t="shared" si="2"/>
        <v>0</v>
      </c>
      <c r="K2996" s="84" t="str">
        <f t="shared" si="3"/>
        <v>Stabil</v>
      </c>
      <c r="L2996" s="91">
        <f t="shared" si="4"/>
        <v>0</v>
      </c>
      <c r="M2996" s="88" t="str">
        <f t="shared" si="5"/>
        <v>Perubahan Normal</v>
      </c>
    </row>
    <row r="2997" ht="18.75" customHeight="1">
      <c r="A2997" s="80" t="s">
        <v>333</v>
      </c>
      <c r="B2997" s="81" t="str">
        <f t="shared" si="6"/>
        <v>Kab Pasaman Barat</v>
      </c>
      <c r="C2997" s="81" t="str">
        <f t="array" ref="C2997">XLOOKUP(B2997,Reference!$A$2:$A$152,Reference!$B$2:$B$152)</f>
        <v>Sumatera Barat</v>
      </c>
      <c r="D2997" s="82" t="s">
        <v>3436</v>
      </c>
      <c r="E2997" s="83">
        <v>45323.0</v>
      </c>
      <c r="F2997" s="84" t="str">
        <f t="array" ref="F2997">XLOOKUP(G2997,Reference!$F:$F,Reference!$D:$D,"null")</f>
        <v>Makanan dan Pakaian </v>
      </c>
      <c r="G2997" s="85" t="s">
        <v>56</v>
      </c>
      <c r="H2997" s="86">
        <v>101.6</v>
      </c>
      <c r="I2997" s="86">
        <v>101.43</v>
      </c>
      <c r="J2997" s="87">
        <f t="shared" si="2"/>
        <v>0.1676032732</v>
      </c>
      <c r="K2997" s="84" t="str">
        <f t="shared" si="3"/>
        <v>Inflasi Normal</v>
      </c>
      <c r="L2997" s="84">
        <f t="shared" si="4"/>
        <v>0.17</v>
      </c>
      <c r="M2997" s="88" t="str">
        <f t="shared" si="5"/>
        <v>Perubahan Normal</v>
      </c>
    </row>
    <row r="2998" ht="18.75" customHeight="1">
      <c r="A2998" s="80" t="s">
        <v>329</v>
      </c>
      <c r="B2998" s="81" t="str">
        <f t="shared" si="6"/>
        <v>Kab Penajam Paser Utara</v>
      </c>
      <c r="C2998" s="81" t="str">
        <f t="array" ref="C2998">XLOOKUP(B2998,Reference!$A$2:$A$152,Reference!$B$2:$B$152)</f>
        <v>Kalimantan Timur</v>
      </c>
      <c r="D2998" s="82" t="s">
        <v>3437</v>
      </c>
      <c r="E2998" s="83">
        <v>45352.0</v>
      </c>
      <c r="F2998" s="84" t="str">
        <f t="array" ref="F2998">XLOOKUP(G2998,Reference!$F:$F,Reference!$D:$D,"null")</f>
        <v>Rumah Tangga</v>
      </c>
      <c r="G2998" s="85" t="s">
        <v>80</v>
      </c>
      <c r="H2998" s="86">
        <v>100.0</v>
      </c>
      <c r="I2998" s="86">
        <v>100.0</v>
      </c>
      <c r="J2998" s="87">
        <f t="shared" si="2"/>
        <v>0</v>
      </c>
      <c r="K2998" s="84" t="str">
        <f t="shared" si="3"/>
        <v>Stabil</v>
      </c>
      <c r="L2998" s="84">
        <f t="shared" si="4"/>
        <v>0</v>
      </c>
      <c r="M2998" s="88" t="str">
        <f t="shared" si="5"/>
        <v>Perubahan Normal</v>
      </c>
    </row>
    <row r="2999" ht="18.75" customHeight="1">
      <c r="A2999" s="80" t="s">
        <v>419</v>
      </c>
      <c r="B2999" s="81" t="str">
        <f t="shared" si="6"/>
        <v>Kota Singkawang</v>
      </c>
      <c r="C2999" s="81" t="str">
        <f t="array" ref="C2999">XLOOKUP(B2999,Reference!$A$2:$A$152,Reference!$B$2:$B$152)</f>
        <v>Kalimantan Barat</v>
      </c>
      <c r="D2999" s="82" t="s">
        <v>3438</v>
      </c>
      <c r="E2999" s="83">
        <v>45323.0</v>
      </c>
      <c r="F2999" s="84" t="str">
        <f t="array" ref="F2999">XLOOKUP(G2999,Reference!$F:$F,Reference!$D:$D,"null")</f>
        <v>Makanan dan Pakaian </v>
      </c>
      <c r="G2999" s="85" t="s">
        <v>72</v>
      </c>
      <c r="H2999" s="86">
        <v>100.13</v>
      </c>
      <c r="I2999" s="86">
        <v>100.13</v>
      </c>
      <c r="J2999" s="87">
        <f t="shared" si="2"/>
        <v>0</v>
      </c>
      <c r="K2999" s="84" t="str">
        <f t="shared" si="3"/>
        <v>Stabil</v>
      </c>
      <c r="L2999" s="84">
        <f t="shared" si="4"/>
        <v>0</v>
      </c>
      <c r="M2999" s="88" t="str">
        <f t="shared" si="5"/>
        <v>Perubahan Normal</v>
      </c>
    </row>
    <row r="3000" ht="18.75" customHeight="1">
      <c r="A3000" s="80" t="s">
        <v>586</v>
      </c>
      <c r="B3000" s="81" t="str">
        <f t="shared" si="6"/>
        <v>Kab Karimun</v>
      </c>
      <c r="C3000" s="81" t="str">
        <f t="array" ref="C3000">XLOOKUP(B3000,Reference!$A$2:$A$152,Reference!$B$2:$B$152)</f>
        <v>Kepulauan Riau</v>
      </c>
      <c r="D3000" s="82" t="s">
        <v>3439</v>
      </c>
      <c r="E3000" s="83">
        <v>45352.0</v>
      </c>
      <c r="F3000" s="84" t="str">
        <f t="array" ref="F3000">XLOOKUP(G3000,Reference!$F:$F,Reference!$D:$D,"null")</f>
        <v>Pendidikan dan Kesehatan</v>
      </c>
      <c r="G3000" s="85" t="s">
        <v>98</v>
      </c>
      <c r="H3000" s="86">
        <v>99.17</v>
      </c>
      <c r="I3000" s="86">
        <v>99.34</v>
      </c>
      <c r="J3000" s="87">
        <f t="shared" si="2"/>
        <v>-0.1711294544</v>
      </c>
      <c r="K3000" s="84" t="str">
        <f t="shared" si="3"/>
        <v>Deflasi</v>
      </c>
      <c r="L3000" s="84">
        <f t="shared" si="4"/>
        <v>-0.17</v>
      </c>
      <c r="M3000" s="88" t="str">
        <f t="shared" si="5"/>
        <v>Perubahan Normal</v>
      </c>
    </row>
    <row r="3001" ht="18.75" customHeight="1">
      <c r="A3001" s="80" t="s">
        <v>581</v>
      </c>
      <c r="B3001" s="81" t="str">
        <f t="shared" si="6"/>
        <v>Kab Dharmasraya</v>
      </c>
      <c r="C3001" s="81" t="str">
        <f t="array" ref="C3001">XLOOKUP(B3001,Reference!$A$2:$A$152,Reference!$B$2:$B$152)</f>
        <v>Sumatera Barat</v>
      </c>
      <c r="D3001" s="82" t="s">
        <v>3440</v>
      </c>
      <c r="E3001" s="83">
        <v>45323.0</v>
      </c>
      <c r="F3001" s="84" t="str">
        <f t="array" ref="F3001">XLOOKUP(G3001,Reference!$F:$F,Reference!$D:$D,"null")</f>
        <v>Makanan dan Pakaian </v>
      </c>
      <c r="G3001" s="85" t="s">
        <v>48</v>
      </c>
      <c r="H3001" s="86">
        <v>115.09</v>
      </c>
      <c r="I3001" s="86">
        <v>111.75</v>
      </c>
      <c r="J3001" s="87">
        <f t="shared" si="2"/>
        <v>2.988814318</v>
      </c>
      <c r="K3001" s="84" t="str">
        <f t="shared" si="3"/>
        <v>Inflasi Tinggi</v>
      </c>
      <c r="L3001" s="84">
        <f t="shared" si="4"/>
        <v>3.34</v>
      </c>
      <c r="M3001" s="88" t="str">
        <f t="shared" si="5"/>
        <v>Akselerasi Kuat</v>
      </c>
    </row>
    <row r="3002" ht="18.75" customHeight="1">
      <c r="A3002" s="80" t="s">
        <v>473</v>
      </c>
      <c r="B3002" s="81" t="str">
        <f t="shared" si="6"/>
        <v>Kab Wajo</v>
      </c>
      <c r="C3002" s="81" t="str">
        <f t="array" ref="C3002">XLOOKUP(B3002,Reference!$A$2:$A$152,Reference!$B$2:$B$152)</f>
        <v>Sulawesi Selatan</v>
      </c>
      <c r="D3002" s="82" t="s">
        <v>3441</v>
      </c>
      <c r="E3002" s="83">
        <v>45323.0</v>
      </c>
      <c r="F3002" s="84" t="str">
        <f t="array" ref="F3002">XLOOKUP(G3002,Reference!$F:$F,Reference!$D:$D,"null")</f>
        <v>Makanan dan Pakaian </v>
      </c>
      <c r="G3002" s="85" t="s">
        <v>72</v>
      </c>
      <c r="H3002" s="86">
        <v>113.84</v>
      </c>
      <c r="I3002" s="86">
        <v>113.84</v>
      </c>
      <c r="J3002" s="87">
        <f t="shared" si="2"/>
        <v>0</v>
      </c>
      <c r="K3002" s="84" t="str">
        <f t="shared" si="3"/>
        <v>Stabil</v>
      </c>
      <c r="L3002" s="84">
        <f t="shared" si="4"/>
        <v>0</v>
      </c>
      <c r="M3002" s="88" t="str">
        <f t="shared" si="5"/>
        <v>Perubahan Normal</v>
      </c>
    </row>
    <row r="3003" ht="18.75" customHeight="1">
      <c r="A3003" s="80" t="s">
        <v>417</v>
      </c>
      <c r="B3003" s="81" t="str">
        <f t="shared" si="6"/>
        <v>Kotabaru</v>
      </c>
      <c r="C3003" s="81" t="str">
        <f t="array" ref="C3003">XLOOKUP(B3003,Reference!$A$2:$A$152,Reference!$B$2:$B$152)</f>
        <v>Kalimantan Selatan</v>
      </c>
      <c r="D3003" s="82" t="s">
        <v>3442</v>
      </c>
      <c r="E3003" s="83">
        <v>45323.0</v>
      </c>
      <c r="F3003" s="84" t="str">
        <f t="array" ref="F3003">XLOOKUP(G3003,Reference!$F:$F,Reference!$D:$D,"null")</f>
        <v>Rekreasi dan Kendaraan</v>
      </c>
      <c r="G3003" s="85" t="s">
        <v>102</v>
      </c>
      <c r="H3003" s="86">
        <v>108.64</v>
      </c>
      <c r="I3003" s="86">
        <v>108.64</v>
      </c>
      <c r="J3003" s="87">
        <f t="shared" si="2"/>
        <v>0</v>
      </c>
      <c r="K3003" s="84" t="str">
        <f t="shared" si="3"/>
        <v>Stabil</v>
      </c>
      <c r="L3003" s="84">
        <f t="shared" si="4"/>
        <v>0</v>
      </c>
      <c r="M3003" s="88" t="str">
        <f t="shared" si="5"/>
        <v>Perubahan Normal</v>
      </c>
    </row>
    <row r="3004" ht="18.75" customHeight="1">
      <c r="A3004" s="80" t="s">
        <v>512</v>
      </c>
      <c r="B3004" s="81" t="str">
        <f t="shared" si="6"/>
        <v>Kota Palu</v>
      </c>
      <c r="C3004" s="81" t="str">
        <f t="array" ref="C3004">XLOOKUP(B3004,Reference!$A$2:$A$152,Reference!$B$2:$B$152)</f>
        <v>Sulawesi Tengah</v>
      </c>
      <c r="D3004" s="82" t="s">
        <v>3443</v>
      </c>
      <c r="E3004" s="83">
        <v>45352.0</v>
      </c>
      <c r="F3004" s="84" t="str">
        <f t="array" ref="F3004">XLOOKUP(G3004,Reference!$F:$F,Reference!$D:$D,"null")</f>
        <v>Makanan dan Pakaian </v>
      </c>
      <c r="G3004" s="85" t="s">
        <v>48</v>
      </c>
      <c r="H3004" s="86">
        <v>112.73</v>
      </c>
      <c r="I3004" s="86">
        <v>109.76</v>
      </c>
      <c r="J3004" s="87">
        <f t="shared" si="2"/>
        <v>2.70590379</v>
      </c>
      <c r="K3004" s="84" t="str">
        <f t="shared" si="3"/>
        <v>Inflasi Tinggi</v>
      </c>
      <c r="L3004" s="84">
        <f t="shared" si="4"/>
        <v>2.97</v>
      </c>
      <c r="M3004" s="88" t="str">
        <f t="shared" si="5"/>
        <v>Akselerasi Kuat</v>
      </c>
    </row>
    <row r="3005" ht="18.75" customHeight="1">
      <c r="A3005" s="80" t="s">
        <v>468</v>
      </c>
      <c r="B3005" s="81" t="str">
        <f t="shared" si="6"/>
        <v>Timika</v>
      </c>
      <c r="C3005" s="81" t="str">
        <f t="array" ref="C3005">XLOOKUP(B3005,Reference!$A$2:$A$152,Reference!$B$2:$B$152)</f>
        <v>Papua</v>
      </c>
      <c r="D3005" s="82" t="s">
        <v>3444</v>
      </c>
      <c r="E3005" s="83">
        <v>45323.0</v>
      </c>
      <c r="F3005" s="84" t="str">
        <f t="array" ref="F3005">XLOOKUP(G3005,Reference!$F:$F,Reference!$D:$D,"null")</f>
        <v>Makanan dan Pakaian </v>
      </c>
      <c r="G3005" s="85" t="s">
        <v>72</v>
      </c>
      <c r="H3005" s="86">
        <v>101.41</v>
      </c>
      <c r="I3005" s="86">
        <v>101.55</v>
      </c>
      <c r="J3005" s="87">
        <f t="shared" si="2"/>
        <v>-0.1378631216</v>
      </c>
      <c r="K3005" s="84" t="str">
        <f t="shared" si="3"/>
        <v>Deflasi</v>
      </c>
      <c r="L3005" s="84">
        <f t="shared" si="4"/>
        <v>-0.14</v>
      </c>
      <c r="M3005" s="88" t="str">
        <f t="shared" si="5"/>
        <v>Perubahan Normal</v>
      </c>
    </row>
    <row r="3006" ht="18.75" customHeight="1">
      <c r="A3006" s="80" t="s">
        <v>764</v>
      </c>
      <c r="B3006" s="81" t="str">
        <f t="shared" si="6"/>
        <v>Kota Madiun</v>
      </c>
      <c r="C3006" s="81" t="str">
        <f t="array" ref="C3006">XLOOKUP(B3006,Reference!$A$2:$A$152,Reference!$B$2:$B$152)</f>
        <v>Jawa Timur</v>
      </c>
      <c r="D3006" s="82" t="s">
        <v>3445</v>
      </c>
      <c r="E3006" s="83">
        <v>45352.0</v>
      </c>
      <c r="F3006" s="84" t="str">
        <f t="array" ref="F3006">XLOOKUP(G3006,Reference!$F:$F,Reference!$D:$D,"null")</f>
        <v>Rumah Tangga</v>
      </c>
      <c r="G3006" s="89" t="s">
        <v>84</v>
      </c>
      <c r="H3006" s="90">
        <v>100.11</v>
      </c>
      <c r="I3006" s="90">
        <v>100.11</v>
      </c>
      <c r="J3006" s="87">
        <f t="shared" si="2"/>
        <v>0</v>
      </c>
      <c r="K3006" s="84" t="str">
        <f t="shared" si="3"/>
        <v>Stabil</v>
      </c>
      <c r="L3006" s="91">
        <f t="shared" si="4"/>
        <v>0</v>
      </c>
      <c r="M3006" s="88" t="str">
        <f t="shared" si="5"/>
        <v>Perubahan Normal</v>
      </c>
    </row>
    <row r="3007" ht="18.75" customHeight="1">
      <c r="A3007" s="80" t="s">
        <v>699</v>
      </c>
      <c r="B3007" s="81" t="str">
        <f t="shared" si="6"/>
        <v>Mamuju</v>
      </c>
      <c r="C3007" s="81" t="str">
        <f t="array" ref="C3007">XLOOKUP(B3007,Reference!$A$2:$A$152,Reference!$B$2:$B$152)</f>
        <v>Sulawesi Barat</v>
      </c>
      <c r="D3007" s="82" t="s">
        <v>3446</v>
      </c>
      <c r="E3007" s="83">
        <v>45323.0</v>
      </c>
      <c r="F3007" s="84" t="str">
        <f t="array" ref="F3007">XLOOKUP(G3007,Reference!$F:$F,Reference!$D:$D,"null")</f>
        <v>Makanan dan Pakaian </v>
      </c>
      <c r="G3007" s="85" t="s">
        <v>64</v>
      </c>
      <c r="H3007" s="86">
        <v>104.86</v>
      </c>
      <c r="I3007" s="86">
        <v>104.86</v>
      </c>
      <c r="J3007" s="87">
        <f t="shared" si="2"/>
        <v>0</v>
      </c>
      <c r="K3007" s="84" t="str">
        <f t="shared" si="3"/>
        <v>Stabil</v>
      </c>
      <c r="L3007" s="84">
        <f t="shared" si="4"/>
        <v>0</v>
      </c>
      <c r="M3007" s="88" t="str">
        <f t="shared" si="5"/>
        <v>Perubahan Normal</v>
      </c>
    </row>
    <row r="3008" ht="18.75" customHeight="1">
      <c r="A3008" s="80" t="s">
        <v>296</v>
      </c>
      <c r="B3008" s="81" t="str">
        <f t="shared" si="6"/>
        <v>Kota Bogor</v>
      </c>
      <c r="C3008" s="81" t="str">
        <f t="array" ref="C3008">XLOOKUP(B3008,Reference!$A$2:$A$152,Reference!$B$2:$B$152)</f>
        <v>Jawa Barat</v>
      </c>
      <c r="D3008" s="82" t="s">
        <v>3447</v>
      </c>
      <c r="E3008" s="83">
        <v>45323.0</v>
      </c>
      <c r="F3008" s="84" t="str">
        <f t="array" ref="F3008">XLOOKUP(G3008,Reference!$F:$F,Reference!$D:$D,"null")</f>
        <v>Rumah Tangga</v>
      </c>
      <c r="G3008" s="85" t="s">
        <v>84</v>
      </c>
      <c r="H3008" s="86">
        <v>104.08</v>
      </c>
      <c r="I3008" s="86">
        <v>104.08</v>
      </c>
      <c r="J3008" s="87">
        <f t="shared" si="2"/>
        <v>0</v>
      </c>
      <c r="K3008" s="84" t="str">
        <f t="shared" si="3"/>
        <v>Stabil</v>
      </c>
      <c r="L3008" s="84">
        <f t="shared" si="4"/>
        <v>0</v>
      </c>
      <c r="M3008" s="88" t="str">
        <f t="shared" si="5"/>
        <v>Perubahan Normal</v>
      </c>
    </row>
    <row r="3009" ht="18.75" customHeight="1">
      <c r="A3009" s="80" t="s">
        <v>571</v>
      </c>
      <c r="B3009" s="81" t="str">
        <f t="shared" si="6"/>
        <v>Kota Sorong</v>
      </c>
      <c r="C3009" s="81" t="str">
        <f t="array" ref="C3009">XLOOKUP(B3009,Reference!$A$2:$A$152,Reference!$B$2:$B$152)</f>
        <v>Papua Barat Daya</v>
      </c>
      <c r="D3009" s="82" t="s">
        <v>3448</v>
      </c>
      <c r="E3009" s="83">
        <v>45352.0</v>
      </c>
      <c r="F3009" s="84" t="str">
        <f t="array" ref="F3009">XLOOKUP(G3009,Reference!$F:$F,Reference!$D:$D,"null")</f>
        <v>Rekreasi dan Kendaraan</v>
      </c>
      <c r="G3009" s="85" t="s">
        <v>102</v>
      </c>
      <c r="H3009" s="86">
        <v>109.04</v>
      </c>
      <c r="I3009" s="86">
        <v>109.04</v>
      </c>
      <c r="J3009" s="87">
        <f t="shared" si="2"/>
        <v>0</v>
      </c>
      <c r="K3009" s="84" t="str">
        <f t="shared" si="3"/>
        <v>Stabil</v>
      </c>
      <c r="L3009" s="84">
        <f t="shared" si="4"/>
        <v>0</v>
      </c>
      <c r="M3009" s="88" t="str">
        <f t="shared" si="5"/>
        <v>Perubahan Normal</v>
      </c>
    </row>
    <row r="3010" ht="18.75" customHeight="1">
      <c r="A3010" s="80" t="s">
        <v>454</v>
      </c>
      <c r="B3010" s="81" t="str">
        <f t="shared" si="6"/>
        <v>Kab Ketapang</v>
      </c>
      <c r="C3010" s="81" t="str">
        <f t="array" ref="C3010">XLOOKUP(B3010,Reference!$A$2:$A$152,Reference!$B$2:$B$152)</f>
        <v>Kalimantan Barat</v>
      </c>
      <c r="D3010" s="82" t="s">
        <v>3449</v>
      </c>
      <c r="E3010" s="83">
        <v>45352.0</v>
      </c>
      <c r="F3010" s="84" t="str">
        <f t="array" ref="F3010">XLOOKUP(G3010,Reference!$F:$F,Reference!$D:$D,"null")</f>
        <v>Pendidikan dan Kesehatan</v>
      </c>
      <c r="G3010" s="85" t="s">
        <v>95</v>
      </c>
      <c r="H3010" s="86">
        <v>100.32</v>
      </c>
      <c r="I3010" s="86">
        <v>100.32</v>
      </c>
      <c r="J3010" s="87">
        <f t="shared" si="2"/>
        <v>0</v>
      </c>
      <c r="K3010" s="84" t="str">
        <f t="shared" si="3"/>
        <v>Stabil</v>
      </c>
      <c r="L3010" s="84">
        <f t="shared" si="4"/>
        <v>0</v>
      </c>
      <c r="M3010" s="88" t="str">
        <f t="shared" si="5"/>
        <v>Perubahan Normal</v>
      </c>
    </row>
    <row r="3011" ht="18.75" customHeight="1">
      <c r="A3011" s="80" t="s">
        <v>333</v>
      </c>
      <c r="B3011" s="81" t="str">
        <f t="shared" si="6"/>
        <v>Kab Pasaman Barat</v>
      </c>
      <c r="C3011" s="81" t="str">
        <f t="array" ref="C3011">XLOOKUP(B3011,Reference!$A$2:$A$152,Reference!$B$2:$B$152)</f>
        <v>Sumatera Barat</v>
      </c>
      <c r="D3011" s="82" t="s">
        <v>3450</v>
      </c>
      <c r="E3011" s="83">
        <v>45323.0</v>
      </c>
      <c r="F3011" s="84" t="str">
        <f t="array" ref="F3011">XLOOKUP(G3011,Reference!$F:$F,Reference!$D:$D,"null")</f>
        <v>Rumah Tangga</v>
      </c>
      <c r="G3011" s="85" t="s">
        <v>89</v>
      </c>
      <c r="H3011" s="86">
        <v>120.98</v>
      </c>
      <c r="I3011" s="86">
        <v>120.98</v>
      </c>
      <c r="J3011" s="87">
        <f t="shared" si="2"/>
        <v>0</v>
      </c>
      <c r="K3011" s="84" t="str">
        <f t="shared" si="3"/>
        <v>Stabil</v>
      </c>
      <c r="L3011" s="84">
        <f t="shared" si="4"/>
        <v>0</v>
      </c>
      <c r="M3011" s="88" t="str">
        <f t="shared" si="5"/>
        <v>Perubahan Normal</v>
      </c>
    </row>
    <row r="3012" ht="18.75" customHeight="1">
      <c r="A3012" s="80" t="s">
        <v>433</v>
      </c>
      <c r="B3012" s="81" t="str">
        <f t="shared" si="6"/>
        <v>Kab Tulungagung</v>
      </c>
      <c r="C3012" s="81" t="str">
        <f t="array" ref="C3012">XLOOKUP(B3012,Reference!$A$2:$A$152,Reference!$B$2:$B$152)</f>
        <v>Jawa Timur</v>
      </c>
      <c r="D3012" s="82" t="s">
        <v>3451</v>
      </c>
      <c r="E3012" s="83">
        <v>45352.0</v>
      </c>
      <c r="F3012" s="84" t="str">
        <f t="array" ref="F3012">XLOOKUP(G3012,Reference!$F:$F,Reference!$D:$D,"null")</f>
        <v>Makanan dan Pakaian </v>
      </c>
      <c r="G3012" s="85" t="s">
        <v>48</v>
      </c>
      <c r="H3012" s="86">
        <v>115.86</v>
      </c>
      <c r="I3012" s="86">
        <v>113.46</v>
      </c>
      <c r="J3012" s="87">
        <f t="shared" si="2"/>
        <v>2.115282919</v>
      </c>
      <c r="K3012" s="84" t="str">
        <f t="shared" si="3"/>
        <v>Inflasi Tinggi</v>
      </c>
      <c r="L3012" s="84">
        <f t="shared" si="4"/>
        <v>2.4</v>
      </c>
      <c r="M3012" s="88" t="str">
        <f t="shared" si="5"/>
        <v>Akselerasi Kuat</v>
      </c>
    </row>
    <row r="3013" ht="18.75" customHeight="1">
      <c r="A3013" s="80" t="s">
        <v>302</v>
      </c>
      <c r="B3013" s="81" t="str">
        <f t="shared" si="6"/>
        <v>Kota Lubuk Linggau</v>
      </c>
      <c r="C3013" s="81" t="str">
        <f t="array" ref="C3013">XLOOKUP(B3013,Reference!$A$2:$A$152,Reference!$B$2:$B$152)</f>
        <v>Sumatera Selatan</v>
      </c>
      <c r="D3013" s="82" t="s">
        <v>3452</v>
      </c>
      <c r="E3013" s="83">
        <v>45352.0</v>
      </c>
      <c r="F3013" s="84" t="str">
        <f t="array" ref="F3013">XLOOKUP(G3013,Reference!$F:$F,Reference!$D:$D,"null")</f>
        <v>Rekreasi dan Kendaraan</v>
      </c>
      <c r="G3013" s="85" t="s">
        <v>102</v>
      </c>
      <c r="H3013" s="86">
        <v>103.0</v>
      </c>
      <c r="I3013" s="86">
        <v>102.77</v>
      </c>
      <c r="J3013" s="87">
        <f t="shared" si="2"/>
        <v>0.2238007201</v>
      </c>
      <c r="K3013" s="84" t="str">
        <f t="shared" si="3"/>
        <v>Inflasi Normal</v>
      </c>
      <c r="L3013" s="84">
        <f t="shared" si="4"/>
        <v>0.23</v>
      </c>
      <c r="M3013" s="88" t="str">
        <f t="shared" si="5"/>
        <v>Perubahan Normal</v>
      </c>
    </row>
    <row r="3014" ht="18.75" customHeight="1">
      <c r="A3014" s="80" t="s">
        <v>642</v>
      </c>
      <c r="B3014" s="81" t="str">
        <f t="shared" si="6"/>
        <v>Kota Bandar Lampung</v>
      </c>
      <c r="C3014" s="81" t="str">
        <f t="array" ref="C3014">XLOOKUP(B3014,Reference!$A$2:$A$152,Reference!$B$2:$B$152)</f>
        <v>Lampung</v>
      </c>
      <c r="D3014" s="82" t="s">
        <v>3453</v>
      </c>
      <c r="E3014" s="83">
        <v>45323.0</v>
      </c>
      <c r="F3014" s="84" t="str">
        <f t="array" ref="F3014">XLOOKUP(G3014,Reference!$F:$F,Reference!$D:$D,"null")</f>
        <v>Rumah Tangga</v>
      </c>
      <c r="G3014" s="85" t="s">
        <v>80</v>
      </c>
      <c r="H3014" s="86">
        <v>102.48</v>
      </c>
      <c r="I3014" s="86">
        <v>102.48</v>
      </c>
      <c r="J3014" s="87">
        <f t="shared" si="2"/>
        <v>0</v>
      </c>
      <c r="K3014" s="84" t="str">
        <f t="shared" si="3"/>
        <v>Stabil</v>
      </c>
      <c r="L3014" s="84">
        <f t="shared" si="4"/>
        <v>0</v>
      </c>
      <c r="M3014" s="88" t="str">
        <f t="shared" si="5"/>
        <v>Perubahan Normal</v>
      </c>
    </row>
    <row r="3015" ht="18.75" customHeight="1">
      <c r="A3015" s="80" t="s">
        <v>393</v>
      </c>
      <c r="B3015" s="81" t="str">
        <f t="shared" si="6"/>
        <v>Kab Sumbawa</v>
      </c>
      <c r="C3015" s="81" t="str">
        <f t="array" ref="C3015">XLOOKUP(B3015,Reference!$A$2:$A$152,Reference!$B$2:$B$152)</f>
        <v>Nusa Tenggara Barat (NTB)</v>
      </c>
      <c r="D3015" s="82" t="s">
        <v>3454</v>
      </c>
      <c r="E3015" s="83">
        <v>45352.0</v>
      </c>
      <c r="F3015" s="84" t="str">
        <f t="array" ref="F3015">XLOOKUP(G3015,Reference!$F:$F,Reference!$D:$D,"null")</f>
        <v>Makanan dan Pakaian </v>
      </c>
      <c r="G3015" s="85" t="s">
        <v>56</v>
      </c>
      <c r="H3015" s="86">
        <v>100.65</v>
      </c>
      <c r="I3015" s="86">
        <v>100.65</v>
      </c>
      <c r="J3015" s="87">
        <f t="shared" si="2"/>
        <v>0</v>
      </c>
      <c r="K3015" s="84" t="str">
        <f t="shared" si="3"/>
        <v>Stabil</v>
      </c>
      <c r="L3015" s="84">
        <f t="shared" si="4"/>
        <v>0</v>
      </c>
      <c r="M3015" s="88" t="str">
        <f t="shared" si="5"/>
        <v>Perubahan Normal</v>
      </c>
    </row>
    <row r="3016" ht="18.75" customHeight="1">
      <c r="A3016" s="80" t="s">
        <v>408</v>
      </c>
      <c r="B3016" s="81" t="str">
        <f t="shared" si="6"/>
        <v>Manokwari</v>
      </c>
      <c r="C3016" s="81" t="str">
        <f t="array" ref="C3016">XLOOKUP(B3016,Reference!$A$2:$A$152,Reference!$B$2:$B$152)</f>
        <v>Papua Barat Daya</v>
      </c>
      <c r="D3016" s="82" t="s">
        <v>3455</v>
      </c>
      <c r="E3016" s="83">
        <v>45323.0</v>
      </c>
      <c r="F3016" s="84" t="str">
        <f t="array" ref="F3016">XLOOKUP(G3016,Reference!$F:$F,Reference!$D:$D,"null")</f>
        <v>Pendidikan dan Kesehatan</v>
      </c>
      <c r="G3016" s="85" t="s">
        <v>95</v>
      </c>
      <c r="H3016" s="86">
        <v>102.39</v>
      </c>
      <c r="I3016" s="86">
        <v>102.39</v>
      </c>
      <c r="J3016" s="87">
        <f t="shared" si="2"/>
        <v>0</v>
      </c>
      <c r="K3016" s="84" t="str">
        <f t="shared" si="3"/>
        <v>Stabil</v>
      </c>
      <c r="L3016" s="84">
        <f t="shared" si="4"/>
        <v>0</v>
      </c>
      <c r="M3016" s="88" t="str">
        <f t="shared" si="5"/>
        <v>Perubahan Normal</v>
      </c>
    </row>
    <row r="3017" ht="18.75" customHeight="1">
      <c r="A3017" s="80" t="s">
        <v>438</v>
      </c>
      <c r="B3017" s="81" t="str">
        <f t="shared" si="6"/>
        <v>Kab Muara Enim</v>
      </c>
      <c r="C3017" s="81" t="str">
        <f t="array" ref="C3017">XLOOKUP(B3017,Reference!$A$2:$A$152,Reference!$B$2:$B$152)</f>
        <v>Sumatera Selatan</v>
      </c>
      <c r="D3017" s="82" t="s">
        <v>3456</v>
      </c>
      <c r="E3017" s="83">
        <v>45352.0</v>
      </c>
      <c r="F3017" s="84" t="str">
        <f t="array" ref="F3017">XLOOKUP(G3017,Reference!$F:$F,Reference!$D:$D,"null")</f>
        <v>Rekreasi dan Kendaraan</v>
      </c>
      <c r="G3017" s="85" t="s">
        <v>105</v>
      </c>
      <c r="H3017" s="86">
        <v>103.03</v>
      </c>
      <c r="I3017" s="86">
        <v>103.03</v>
      </c>
      <c r="J3017" s="87">
        <f t="shared" si="2"/>
        <v>0</v>
      </c>
      <c r="K3017" s="84" t="str">
        <f t="shared" si="3"/>
        <v>Stabil</v>
      </c>
      <c r="L3017" s="84">
        <f t="shared" si="4"/>
        <v>0</v>
      </c>
      <c r="M3017" s="88" t="str">
        <f t="shared" si="5"/>
        <v>Perubahan Normal</v>
      </c>
    </row>
    <row r="3018" ht="18.75" customHeight="1">
      <c r="A3018" s="80" t="s">
        <v>656</v>
      </c>
      <c r="B3018" s="81" t="str">
        <f t="shared" si="6"/>
        <v>Kota Palopo</v>
      </c>
      <c r="C3018" s="81" t="str">
        <f t="array" ref="C3018">XLOOKUP(B3018,Reference!$A$2:$A$152,Reference!$B$2:$B$152)</f>
        <v>Sulawesi Selatan</v>
      </c>
      <c r="D3018" s="82" t="s">
        <v>3457</v>
      </c>
      <c r="E3018" s="83">
        <v>45352.0</v>
      </c>
      <c r="F3018" s="84" t="str">
        <f t="array" ref="F3018">XLOOKUP(G3018,Reference!$F:$F,Reference!$D:$D,"null")</f>
        <v>Makanan dan Pakaian </v>
      </c>
      <c r="G3018" s="85" t="s">
        <v>48</v>
      </c>
      <c r="H3018" s="86">
        <v>113.25</v>
      </c>
      <c r="I3018" s="86">
        <v>110.0</v>
      </c>
      <c r="J3018" s="87">
        <f t="shared" si="2"/>
        <v>2.954545455</v>
      </c>
      <c r="K3018" s="84" t="str">
        <f t="shared" si="3"/>
        <v>Inflasi Tinggi</v>
      </c>
      <c r="L3018" s="84">
        <f t="shared" si="4"/>
        <v>3.25</v>
      </c>
      <c r="M3018" s="88" t="str">
        <f t="shared" si="5"/>
        <v>Akselerasi Kuat</v>
      </c>
    </row>
    <row r="3019" ht="18.75" customHeight="1">
      <c r="A3019" s="80" t="s">
        <v>401</v>
      </c>
      <c r="B3019" s="81" t="str">
        <f t="shared" si="6"/>
        <v>Kota Tual</v>
      </c>
      <c r="C3019" s="81" t="str">
        <f t="array" ref="C3019">XLOOKUP(B3019,Reference!$A$2:$A$152,Reference!$B$2:$B$152)</f>
        <v>Maluku</v>
      </c>
      <c r="D3019" s="82" t="s">
        <v>3458</v>
      </c>
      <c r="E3019" s="83">
        <v>45352.0</v>
      </c>
      <c r="F3019" s="84" t="str">
        <f t="array" ref="F3019">XLOOKUP(G3019,Reference!$F:$F,Reference!$D:$D,"null")</f>
        <v>Makanan dan Pakaian </v>
      </c>
      <c r="G3019" s="85" t="s">
        <v>72</v>
      </c>
      <c r="H3019" s="86">
        <v>100.93</v>
      </c>
      <c r="I3019" s="86">
        <v>102.12</v>
      </c>
      <c r="J3019" s="87">
        <f t="shared" si="2"/>
        <v>-1.165295731</v>
      </c>
      <c r="K3019" s="84" t="str">
        <f t="shared" si="3"/>
        <v>Deflasi</v>
      </c>
      <c r="L3019" s="84">
        <f t="shared" si="4"/>
        <v>-1.19</v>
      </c>
      <c r="M3019" s="88" t="str">
        <f t="shared" si="5"/>
        <v>Perubahan Normal</v>
      </c>
    </row>
    <row r="3020" ht="18.75" customHeight="1">
      <c r="A3020" s="80" t="s">
        <v>320</v>
      </c>
      <c r="B3020" s="81" t="str">
        <f t="shared" si="6"/>
        <v>Kota Manado</v>
      </c>
      <c r="C3020" s="81" t="str">
        <f t="array" ref="C3020">XLOOKUP(B3020,Reference!$A$2:$A$152,Reference!$B$2:$B$152)</f>
        <v>Sulawesi Utara</v>
      </c>
      <c r="D3020" s="82" t="s">
        <v>3459</v>
      </c>
      <c r="E3020" s="83">
        <v>45323.0</v>
      </c>
      <c r="F3020" s="84" t="str">
        <f t="array" ref="F3020">XLOOKUP(G3020,Reference!$F:$F,Reference!$D:$D,"null")</f>
        <v>Pendidikan dan Kesehatan</v>
      </c>
      <c r="G3020" s="85" t="s">
        <v>98</v>
      </c>
      <c r="H3020" s="86">
        <v>99.05</v>
      </c>
      <c r="I3020" s="86">
        <v>99.05</v>
      </c>
      <c r="J3020" s="87">
        <f t="shared" si="2"/>
        <v>0</v>
      </c>
      <c r="K3020" s="84" t="str">
        <f t="shared" si="3"/>
        <v>Stabil</v>
      </c>
      <c r="L3020" s="84">
        <f t="shared" si="4"/>
        <v>0</v>
      </c>
      <c r="M3020" s="88" t="str">
        <f t="shared" si="5"/>
        <v>Perubahan Normal</v>
      </c>
    </row>
    <row r="3021" ht="18.75" customHeight="1">
      <c r="A3021" s="80" t="s">
        <v>378</v>
      </c>
      <c r="B3021" s="81" t="str">
        <f t="shared" si="6"/>
        <v>Kab Berau</v>
      </c>
      <c r="C3021" s="81" t="str">
        <f t="array" ref="C3021">XLOOKUP(B3021,Reference!$A$2:$A$152,Reference!$B$2:$B$152)</f>
        <v>Kalimantan Timur</v>
      </c>
      <c r="D3021" s="82" t="s">
        <v>3460</v>
      </c>
      <c r="E3021" s="83">
        <v>45352.0</v>
      </c>
      <c r="F3021" s="84" t="str">
        <f t="array" ref="F3021">XLOOKUP(G3021,Reference!$F:$F,Reference!$D:$D,"null")</f>
        <v>Pendidikan dan Kesehatan</v>
      </c>
      <c r="G3021" s="85" t="s">
        <v>95</v>
      </c>
      <c r="H3021" s="86">
        <v>100.43</v>
      </c>
      <c r="I3021" s="86">
        <v>100.43</v>
      </c>
      <c r="J3021" s="87">
        <f t="shared" si="2"/>
        <v>0</v>
      </c>
      <c r="K3021" s="84" t="str">
        <f t="shared" si="3"/>
        <v>Stabil</v>
      </c>
      <c r="L3021" s="84">
        <f t="shared" si="4"/>
        <v>0</v>
      </c>
      <c r="M3021" s="88" t="str">
        <f t="shared" si="5"/>
        <v>Perubahan Normal</v>
      </c>
    </row>
    <row r="3022" ht="18.75" customHeight="1">
      <c r="A3022" s="80" t="s">
        <v>672</v>
      </c>
      <c r="B3022" s="81" t="str">
        <f t="shared" si="6"/>
        <v>Kab Ogan Komering Ilir</v>
      </c>
      <c r="C3022" s="81" t="str">
        <f t="array" ref="C3022">XLOOKUP(B3022,Reference!$A$2:$A$152,Reference!$B$2:$B$152)</f>
        <v>Sumatera Selatan</v>
      </c>
      <c r="D3022" s="82" t="s">
        <v>3461</v>
      </c>
      <c r="E3022" s="83">
        <v>45323.0</v>
      </c>
      <c r="F3022" s="84" t="str">
        <f t="array" ref="F3022">XLOOKUP(G3022,Reference!$F:$F,Reference!$D:$D,"null")</f>
        <v>Pendidikan dan Kesehatan</v>
      </c>
      <c r="G3022" s="85" t="s">
        <v>95</v>
      </c>
      <c r="H3022" s="86">
        <v>105.77</v>
      </c>
      <c r="I3022" s="86">
        <v>105.77</v>
      </c>
      <c r="J3022" s="87">
        <f t="shared" si="2"/>
        <v>0</v>
      </c>
      <c r="K3022" s="84" t="str">
        <f t="shared" si="3"/>
        <v>Stabil</v>
      </c>
      <c r="L3022" s="84">
        <f t="shared" si="4"/>
        <v>0</v>
      </c>
      <c r="M3022" s="88" t="str">
        <f t="shared" si="5"/>
        <v>Perubahan Normal</v>
      </c>
    </row>
    <row r="3023" ht="18.75" customHeight="1">
      <c r="A3023" s="80" t="s">
        <v>380</v>
      </c>
      <c r="B3023" s="81" t="str">
        <f t="shared" si="6"/>
        <v>Kota Bengkulu</v>
      </c>
      <c r="C3023" s="81" t="str">
        <f t="array" ref="C3023">XLOOKUP(B3023,Reference!$A$2:$A$152,Reference!$B$2:$B$152)</f>
        <v>Bengkulu</v>
      </c>
      <c r="D3023" s="82" t="s">
        <v>3462</v>
      </c>
      <c r="E3023" s="83">
        <v>45323.0</v>
      </c>
      <c r="F3023" s="84" t="str">
        <f t="array" ref="F3023">XLOOKUP(G3023,Reference!$F:$F,Reference!$D:$D,"null")</f>
        <v>Rumah Tangga</v>
      </c>
      <c r="G3023" s="85" t="s">
        <v>89</v>
      </c>
      <c r="H3023" s="86">
        <v>100.13</v>
      </c>
      <c r="I3023" s="86">
        <v>100.13</v>
      </c>
      <c r="J3023" s="87">
        <f t="shared" si="2"/>
        <v>0</v>
      </c>
      <c r="K3023" s="84" t="str">
        <f t="shared" si="3"/>
        <v>Stabil</v>
      </c>
      <c r="L3023" s="84">
        <f t="shared" si="4"/>
        <v>0</v>
      </c>
      <c r="M3023" s="88" t="str">
        <f t="shared" si="5"/>
        <v>Perubahan Normal</v>
      </c>
    </row>
    <row r="3024" ht="18.75" customHeight="1">
      <c r="A3024" s="80" t="s">
        <v>294</v>
      </c>
      <c r="B3024" s="81" t="str">
        <f t="shared" si="6"/>
        <v>Kab Labuhanbatu</v>
      </c>
      <c r="C3024" s="81" t="str">
        <f t="array" ref="C3024">XLOOKUP(B3024,Reference!$A$2:$A$152,Reference!$B$2:$B$152)</f>
        <v>Sumatera Utara</v>
      </c>
      <c r="D3024" s="82" t="s">
        <v>3463</v>
      </c>
      <c r="E3024" s="83">
        <v>45323.0</v>
      </c>
      <c r="F3024" s="84" t="str">
        <f t="array" ref="F3024">XLOOKUP(G3024,Reference!$F:$F,Reference!$D:$D,"null")</f>
        <v>Rumah Tangga</v>
      </c>
      <c r="G3024" s="85" t="s">
        <v>89</v>
      </c>
      <c r="H3024" s="86">
        <v>106.31</v>
      </c>
      <c r="I3024" s="86">
        <v>106.29</v>
      </c>
      <c r="J3024" s="87">
        <f t="shared" si="2"/>
        <v>0.01881644557</v>
      </c>
      <c r="K3024" s="84" t="str">
        <f t="shared" si="3"/>
        <v>Inflasi Normal</v>
      </c>
      <c r="L3024" s="84">
        <f t="shared" si="4"/>
        <v>0.02</v>
      </c>
      <c r="M3024" s="88" t="str">
        <f t="shared" si="5"/>
        <v>Perubahan Normal</v>
      </c>
    </row>
    <row r="3025" ht="18.75" customHeight="1">
      <c r="A3025" s="80" t="s">
        <v>456</v>
      </c>
      <c r="B3025" s="81" t="str">
        <f t="shared" si="6"/>
        <v>Kab Aceh Tamiang</v>
      </c>
      <c r="C3025" s="81" t="str">
        <f t="array" ref="C3025">XLOOKUP(B3025,Reference!$A$2:$A$152,Reference!$B$2:$B$152)</f>
        <v>Aceh</v>
      </c>
      <c r="D3025" s="82" t="s">
        <v>3464</v>
      </c>
      <c r="E3025" s="83">
        <v>45352.0</v>
      </c>
      <c r="F3025" s="84" t="str">
        <f t="array" ref="F3025">XLOOKUP(G3025,Reference!$F:$F,Reference!$D:$D,"null")</f>
        <v>Pendidikan dan Kesehatan</v>
      </c>
      <c r="G3025" s="85" t="s">
        <v>98</v>
      </c>
      <c r="H3025" s="86">
        <v>108.87</v>
      </c>
      <c r="I3025" s="86">
        <v>108.87</v>
      </c>
      <c r="J3025" s="87">
        <f t="shared" si="2"/>
        <v>0</v>
      </c>
      <c r="K3025" s="84" t="str">
        <f t="shared" si="3"/>
        <v>Stabil</v>
      </c>
      <c r="L3025" s="84">
        <f t="shared" si="4"/>
        <v>0</v>
      </c>
      <c r="M3025" s="88" t="str">
        <f t="shared" si="5"/>
        <v>Perubahan Normal</v>
      </c>
    </row>
    <row r="3026" ht="18.75" customHeight="1">
      <c r="A3026" s="80" t="s">
        <v>905</v>
      </c>
      <c r="B3026" s="81" t="str">
        <f t="shared" si="6"/>
        <v>Kota Ambon</v>
      </c>
      <c r="C3026" s="81" t="str">
        <f t="array" ref="C3026">XLOOKUP(B3026,Reference!$A$2:$A$152,Reference!$B$2:$B$152)</f>
        <v>Maluku</v>
      </c>
      <c r="D3026" s="82" t="s">
        <v>3465</v>
      </c>
      <c r="E3026" s="83">
        <v>45323.0</v>
      </c>
      <c r="F3026" s="84" t="str">
        <f t="array" ref="F3026">XLOOKUP(G3026,Reference!$F:$F,Reference!$D:$D,"null")</f>
        <v>Rekreasi dan Kendaraan</v>
      </c>
      <c r="G3026" s="85" t="s">
        <v>105</v>
      </c>
      <c r="H3026" s="86">
        <v>106.15</v>
      </c>
      <c r="I3026" s="86">
        <v>105.98</v>
      </c>
      <c r="J3026" s="87">
        <f t="shared" si="2"/>
        <v>0.1604076241</v>
      </c>
      <c r="K3026" s="84" t="str">
        <f t="shared" si="3"/>
        <v>Inflasi Normal</v>
      </c>
      <c r="L3026" s="84">
        <f t="shared" si="4"/>
        <v>0.17</v>
      </c>
      <c r="M3026" s="88" t="str">
        <f t="shared" si="5"/>
        <v>Perubahan Normal</v>
      </c>
    </row>
    <row r="3027" ht="18.75" customHeight="1">
      <c r="A3027" s="80" t="s">
        <v>333</v>
      </c>
      <c r="B3027" s="81" t="str">
        <f t="shared" si="6"/>
        <v>Kab Pasaman Barat</v>
      </c>
      <c r="C3027" s="81" t="str">
        <f t="array" ref="C3027">XLOOKUP(B3027,Reference!$A$2:$A$152,Reference!$B$2:$B$152)</f>
        <v>Sumatera Barat</v>
      </c>
      <c r="D3027" s="82" t="s">
        <v>3466</v>
      </c>
      <c r="E3027" s="83">
        <v>45323.0</v>
      </c>
      <c r="F3027" s="84" t="str">
        <f t="array" ref="F3027">XLOOKUP(G3027,Reference!$F:$F,Reference!$D:$D,"null")</f>
        <v>Rumah Tangga</v>
      </c>
      <c r="G3027" s="85" t="s">
        <v>84</v>
      </c>
      <c r="H3027" s="86">
        <v>99.47</v>
      </c>
      <c r="I3027" s="86">
        <v>99.47</v>
      </c>
      <c r="J3027" s="87">
        <f t="shared" si="2"/>
        <v>0</v>
      </c>
      <c r="K3027" s="84" t="str">
        <f t="shared" si="3"/>
        <v>Stabil</v>
      </c>
      <c r="L3027" s="84">
        <f t="shared" si="4"/>
        <v>0</v>
      </c>
      <c r="M3027" s="88" t="str">
        <f t="shared" si="5"/>
        <v>Perubahan Normal</v>
      </c>
    </row>
    <row r="3028" ht="18.75" customHeight="1">
      <c r="A3028" s="80" t="s">
        <v>727</v>
      </c>
      <c r="B3028" s="81" t="str">
        <f t="shared" si="6"/>
        <v>Kab Badung</v>
      </c>
      <c r="C3028" s="81" t="str">
        <f t="array" ref="C3028">XLOOKUP(B3028,Reference!$A$2:$A$152,Reference!$B$2:$B$152)</f>
        <v>Bali</v>
      </c>
      <c r="D3028" s="82" t="s">
        <v>3467</v>
      </c>
      <c r="E3028" s="83">
        <v>45323.0</v>
      </c>
      <c r="F3028" s="84" t="str">
        <f t="array" ref="F3028">XLOOKUP(G3028,Reference!$F:$F,Reference!$D:$D,"null")</f>
        <v>Rekreasi dan Kendaraan</v>
      </c>
      <c r="G3028" s="89" t="s">
        <v>105</v>
      </c>
      <c r="H3028" s="90">
        <v>104.05</v>
      </c>
      <c r="I3028" s="90">
        <v>104.05</v>
      </c>
      <c r="J3028" s="87">
        <f t="shared" si="2"/>
        <v>0</v>
      </c>
      <c r="K3028" s="84" t="str">
        <f t="shared" si="3"/>
        <v>Stabil</v>
      </c>
      <c r="L3028" s="91">
        <f t="shared" si="4"/>
        <v>0</v>
      </c>
      <c r="M3028" s="88" t="str">
        <f t="shared" si="5"/>
        <v>Perubahan Normal</v>
      </c>
    </row>
    <row r="3029" ht="18.75" customHeight="1">
      <c r="A3029" s="80" t="s">
        <v>669</v>
      </c>
      <c r="B3029" s="81" t="str">
        <f t="shared" si="6"/>
        <v>Kab Sidenreng Rappang</v>
      </c>
      <c r="C3029" s="81" t="str">
        <f t="array" ref="C3029">XLOOKUP(B3029,Reference!$A$2:$A$152,Reference!$B$2:$B$152)</f>
        <v>Sulawesi Selatan</v>
      </c>
      <c r="D3029" s="82" t="s">
        <v>3468</v>
      </c>
      <c r="E3029" s="83">
        <v>45323.0</v>
      </c>
      <c r="F3029" s="84" t="str">
        <f t="array" ref="F3029">XLOOKUP(G3029,Reference!$F:$F,Reference!$D:$D,"null")</f>
        <v>Pendidikan dan Kesehatan</v>
      </c>
      <c r="G3029" s="85" t="s">
        <v>95</v>
      </c>
      <c r="H3029" s="86">
        <v>100.0</v>
      </c>
      <c r="I3029" s="86">
        <v>100.0</v>
      </c>
      <c r="J3029" s="87">
        <f t="shared" si="2"/>
        <v>0</v>
      </c>
      <c r="K3029" s="84" t="str">
        <f t="shared" si="3"/>
        <v>Stabil</v>
      </c>
      <c r="L3029" s="84">
        <f t="shared" si="4"/>
        <v>0</v>
      </c>
      <c r="M3029" s="88" t="str">
        <f t="shared" si="5"/>
        <v>Perubahan Normal</v>
      </c>
    </row>
    <row r="3030" ht="18.75" customHeight="1">
      <c r="A3030" s="80" t="s">
        <v>535</v>
      </c>
      <c r="B3030" s="81" t="str">
        <f t="shared" si="6"/>
        <v>Kota Tarakan</v>
      </c>
      <c r="C3030" s="81" t="str">
        <f t="array" ref="C3030">XLOOKUP(B3030,Reference!$A$2:$A$152,Reference!$B$2:$B$152)</f>
        <v>Kalimantan Utara</v>
      </c>
      <c r="D3030" s="82" t="s">
        <v>3469</v>
      </c>
      <c r="E3030" s="83">
        <v>45352.0</v>
      </c>
      <c r="F3030" s="84" t="str">
        <f t="array" ref="F3030">XLOOKUP(G3030,Reference!$F:$F,Reference!$D:$D,"null")</f>
        <v>Pendidikan dan Kesehatan</v>
      </c>
      <c r="G3030" s="85" t="s">
        <v>95</v>
      </c>
      <c r="H3030" s="86">
        <v>100.47</v>
      </c>
      <c r="I3030" s="86">
        <v>100.47</v>
      </c>
      <c r="J3030" s="87">
        <f t="shared" si="2"/>
        <v>0</v>
      </c>
      <c r="K3030" s="84" t="str">
        <f t="shared" si="3"/>
        <v>Stabil</v>
      </c>
      <c r="L3030" s="84">
        <f t="shared" si="4"/>
        <v>0</v>
      </c>
      <c r="M3030" s="88" t="str">
        <f t="shared" si="5"/>
        <v>Perubahan Normal</v>
      </c>
    </row>
    <row r="3031" ht="18.75" customHeight="1">
      <c r="A3031" s="80" t="s">
        <v>442</v>
      </c>
      <c r="B3031" s="81" t="str">
        <f t="shared" si="6"/>
        <v>Kota Cirebon</v>
      </c>
      <c r="C3031" s="81" t="str">
        <f t="array" ref="C3031">XLOOKUP(B3031,Reference!$A$2:$A$152,Reference!$B$2:$B$152)</f>
        <v>Jawa Barat</v>
      </c>
      <c r="D3031" s="82" t="s">
        <v>3470</v>
      </c>
      <c r="E3031" s="83">
        <v>45323.0</v>
      </c>
      <c r="F3031" s="84" t="str">
        <f t="array" ref="F3031">XLOOKUP(G3031,Reference!$F:$F,Reference!$D:$D,"null")</f>
        <v>Makanan dan Pakaian </v>
      </c>
      <c r="G3031" s="85" t="s">
        <v>56</v>
      </c>
      <c r="H3031" s="86">
        <v>106.29</v>
      </c>
      <c r="I3031" s="86">
        <v>106.4</v>
      </c>
      <c r="J3031" s="87">
        <f t="shared" si="2"/>
        <v>-0.1033834586</v>
      </c>
      <c r="K3031" s="84" t="str">
        <f t="shared" si="3"/>
        <v>Deflasi</v>
      </c>
      <c r="L3031" s="84">
        <f t="shared" si="4"/>
        <v>-0.11</v>
      </c>
      <c r="M3031" s="88" t="str">
        <f t="shared" si="5"/>
        <v>Perubahan Normal</v>
      </c>
    </row>
    <row r="3032" ht="18.75" customHeight="1">
      <c r="A3032" s="80" t="s">
        <v>478</v>
      </c>
      <c r="B3032" s="81" t="str">
        <f t="shared" si="6"/>
        <v>Kab Maluku Tengah</v>
      </c>
      <c r="C3032" s="81" t="str">
        <f t="array" ref="C3032">XLOOKUP(B3032,Reference!$A$2:$A$152,Reference!$B$2:$B$152)</f>
        <v>Maluku</v>
      </c>
      <c r="D3032" s="82" t="s">
        <v>3471</v>
      </c>
      <c r="E3032" s="83">
        <v>45352.0</v>
      </c>
      <c r="F3032" s="84" t="str">
        <f t="array" ref="F3032">XLOOKUP(G3032,Reference!$F:$F,Reference!$D:$D,"null")</f>
        <v>Rumah Tangga</v>
      </c>
      <c r="G3032" s="85" t="s">
        <v>89</v>
      </c>
      <c r="H3032" s="86">
        <v>101.51</v>
      </c>
      <c r="I3032" s="86">
        <v>101.25</v>
      </c>
      <c r="J3032" s="87">
        <f t="shared" si="2"/>
        <v>0.2567901235</v>
      </c>
      <c r="K3032" s="84" t="str">
        <f t="shared" si="3"/>
        <v>Inflasi Normal</v>
      </c>
      <c r="L3032" s="84">
        <f t="shared" si="4"/>
        <v>0.26</v>
      </c>
      <c r="M3032" s="88" t="str">
        <f t="shared" si="5"/>
        <v>Perubahan Normal</v>
      </c>
    </row>
    <row r="3033" ht="18.75" customHeight="1">
      <c r="A3033" s="80" t="s">
        <v>558</v>
      </c>
      <c r="B3033" s="81" t="str">
        <f t="shared" si="6"/>
        <v>Kab Kapuas</v>
      </c>
      <c r="C3033" s="81" t="str">
        <f t="array" ref="C3033">XLOOKUP(B3033,Reference!$A$2:$A$152,Reference!$B$2:$B$152)</f>
        <v>Kalimantan Tengah</v>
      </c>
      <c r="D3033" s="82" t="s">
        <v>3472</v>
      </c>
      <c r="E3033" s="83">
        <v>45323.0</v>
      </c>
      <c r="F3033" s="84" t="str">
        <f t="array" ref="F3033">XLOOKUP(G3033,Reference!$F:$F,Reference!$D:$D,"null")</f>
        <v>Rumah Tangga</v>
      </c>
      <c r="G3033" s="85" t="s">
        <v>84</v>
      </c>
      <c r="H3033" s="86">
        <v>103.57</v>
      </c>
      <c r="I3033" s="86">
        <v>103.71</v>
      </c>
      <c r="J3033" s="87">
        <f t="shared" si="2"/>
        <v>-0.1349918041</v>
      </c>
      <c r="K3033" s="84" t="str">
        <f t="shared" si="3"/>
        <v>Deflasi</v>
      </c>
      <c r="L3033" s="84">
        <f t="shared" si="4"/>
        <v>-0.14</v>
      </c>
      <c r="M3033" s="88" t="str">
        <f t="shared" si="5"/>
        <v>Perubahan Normal</v>
      </c>
    </row>
    <row r="3034" ht="18.75" customHeight="1">
      <c r="A3034" s="80" t="s">
        <v>594</v>
      </c>
      <c r="B3034" s="81" t="str">
        <f t="shared" si="6"/>
        <v>Kota Kendari</v>
      </c>
      <c r="C3034" s="81" t="str">
        <f t="array" ref="C3034">XLOOKUP(B3034,Reference!$A$2:$A$152,Reference!$B$2:$B$152)</f>
        <v>Sulawesi Tenggara</v>
      </c>
      <c r="D3034" s="82" t="s">
        <v>3473</v>
      </c>
      <c r="E3034" s="83">
        <v>45352.0</v>
      </c>
      <c r="F3034" s="84" t="str">
        <f t="array" ref="F3034">XLOOKUP(G3034,Reference!$F:$F,Reference!$D:$D,"null")</f>
        <v>Makanan dan Pakaian </v>
      </c>
      <c r="G3034" s="85" t="s">
        <v>64</v>
      </c>
      <c r="H3034" s="86">
        <v>101.57</v>
      </c>
      <c r="I3034" s="86">
        <v>101.59</v>
      </c>
      <c r="J3034" s="87">
        <f t="shared" si="2"/>
        <v>-0.01968697706</v>
      </c>
      <c r="K3034" s="84" t="str">
        <f t="shared" si="3"/>
        <v>Deflasi</v>
      </c>
      <c r="L3034" s="84">
        <f t="shared" si="4"/>
        <v>-0.02</v>
      </c>
      <c r="M3034" s="88" t="str">
        <f t="shared" si="5"/>
        <v>Perubahan Normal</v>
      </c>
    </row>
    <row r="3035" ht="18.75" customHeight="1">
      <c r="A3035" s="80" t="s">
        <v>478</v>
      </c>
      <c r="B3035" s="81" t="str">
        <f t="shared" si="6"/>
        <v>Kab Maluku Tengah</v>
      </c>
      <c r="C3035" s="81" t="str">
        <f t="array" ref="C3035">XLOOKUP(B3035,Reference!$A$2:$A$152,Reference!$B$2:$B$152)</f>
        <v>Maluku</v>
      </c>
      <c r="D3035" s="82" t="s">
        <v>3474</v>
      </c>
      <c r="E3035" s="83">
        <v>45323.0</v>
      </c>
      <c r="F3035" s="84" t="str">
        <f t="array" ref="F3035">XLOOKUP(G3035,Reference!$F:$F,Reference!$D:$D,"null")</f>
        <v>Makanan dan Pakaian </v>
      </c>
      <c r="G3035" s="85" t="s">
        <v>64</v>
      </c>
      <c r="H3035" s="86">
        <v>104.64</v>
      </c>
      <c r="I3035" s="86">
        <v>104.64</v>
      </c>
      <c r="J3035" s="87">
        <f t="shared" si="2"/>
        <v>0</v>
      </c>
      <c r="K3035" s="84" t="str">
        <f t="shared" si="3"/>
        <v>Stabil</v>
      </c>
      <c r="L3035" s="84">
        <f t="shared" si="4"/>
        <v>0</v>
      </c>
      <c r="M3035" s="88" t="str">
        <f t="shared" si="5"/>
        <v>Perubahan Normal</v>
      </c>
    </row>
    <row r="3036" ht="18.75" customHeight="1">
      <c r="A3036" s="80" t="s">
        <v>806</v>
      </c>
      <c r="B3036" s="81" t="str">
        <f t="shared" si="6"/>
        <v>Kab Subang</v>
      </c>
      <c r="C3036" s="81" t="str">
        <f t="array" ref="C3036">XLOOKUP(B3036,Reference!$A$2:$A$152,Reference!$B$2:$B$152)</f>
        <v>Jawa Barat</v>
      </c>
      <c r="D3036" s="82" t="s">
        <v>3475</v>
      </c>
      <c r="E3036" s="83">
        <v>45323.0</v>
      </c>
      <c r="F3036" s="84" t="str">
        <f t="array" ref="F3036">XLOOKUP(G3036,Reference!$F:$F,Reference!$D:$D,"null")</f>
        <v>Rekreasi dan Kendaraan</v>
      </c>
      <c r="G3036" s="85" t="s">
        <v>105</v>
      </c>
      <c r="H3036" s="86">
        <v>106.0</v>
      </c>
      <c r="I3036" s="86">
        <v>104.55</v>
      </c>
      <c r="J3036" s="87">
        <f t="shared" si="2"/>
        <v>1.386896222</v>
      </c>
      <c r="K3036" s="84" t="str">
        <f t="shared" si="3"/>
        <v>Inflasi Tinggi</v>
      </c>
      <c r="L3036" s="84">
        <f t="shared" si="4"/>
        <v>1.45</v>
      </c>
      <c r="M3036" s="88" t="str">
        <f t="shared" si="5"/>
        <v>Akselerasi Persentase</v>
      </c>
    </row>
    <row r="3037" ht="18.75" customHeight="1">
      <c r="A3037" s="80" t="s">
        <v>654</v>
      </c>
      <c r="B3037" s="81" t="str">
        <f t="shared" si="6"/>
        <v>Kab Aceh Tengah</v>
      </c>
      <c r="C3037" s="81" t="str">
        <f t="array" ref="C3037">XLOOKUP(B3037,Reference!$A$2:$A$152,Reference!$B$2:$B$152)</f>
        <v>Aceh</v>
      </c>
      <c r="D3037" s="82" t="s">
        <v>3476</v>
      </c>
      <c r="E3037" s="83">
        <v>45323.0</v>
      </c>
      <c r="F3037" s="84" t="str">
        <f t="array" ref="F3037">XLOOKUP(G3037,Reference!$F:$F,Reference!$D:$D,"null")</f>
        <v>Makanan dan Pakaian </v>
      </c>
      <c r="G3037" s="85" t="s">
        <v>64</v>
      </c>
      <c r="H3037" s="86">
        <v>109.76</v>
      </c>
      <c r="I3037" s="86">
        <v>109.3</v>
      </c>
      <c r="J3037" s="87">
        <f t="shared" si="2"/>
        <v>0.4208600183</v>
      </c>
      <c r="K3037" s="84" t="str">
        <f t="shared" si="3"/>
        <v>Inflasi Normal</v>
      </c>
      <c r="L3037" s="84">
        <f t="shared" si="4"/>
        <v>0.46</v>
      </c>
      <c r="M3037" s="88" t="str">
        <f t="shared" si="5"/>
        <v>Perubahan Normal</v>
      </c>
    </row>
    <row r="3038" ht="18.75" customHeight="1">
      <c r="A3038" s="80" t="s">
        <v>616</v>
      </c>
      <c r="B3038" s="81" t="str">
        <f t="shared" si="6"/>
        <v>Kab Sorong</v>
      </c>
      <c r="C3038" s="81" t="str">
        <f t="array" ref="C3038">XLOOKUP(B3038,Reference!$A$2:$A$152,Reference!$B$2:$B$152)</f>
        <v>Papua Barat Daya</v>
      </c>
      <c r="D3038" s="82" t="s">
        <v>3477</v>
      </c>
      <c r="E3038" s="83">
        <v>45352.0</v>
      </c>
      <c r="F3038" s="84" t="str">
        <f t="array" ref="F3038">XLOOKUP(G3038,Reference!$F:$F,Reference!$D:$D,"null")</f>
        <v>Makanan dan Pakaian </v>
      </c>
      <c r="G3038" s="85" t="s">
        <v>48</v>
      </c>
      <c r="H3038" s="86">
        <v>101.87</v>
      </c>
      <c r="I3038" s="86">
        <v>101.14</v>
      </c>
      <c r="J3038" s="87">
        <f t="shared" si="2"/>
        <v>0.7217718015</v>
      </c>
      <c r="K3038" s="84" t="str">
        <f t="shared" si="3"/>
        <v>Inflasi Tinggi</v>
      </c>
      <c r="L3038" s="84">
        <f t="shared" si="4"/>
        <v>0.73</v>
      </c>
      <c r="M3038" s="88" t="str">
        <f t="shared" si="5"/>
        <v>Akselerasi Persentase</v>
      </c>
    </row>
    <row r="3039" ht="18.75" customHeight="1">
      <c r="A3039" s="80" t="s">
        <v>312</v>
      </c>
      <c r="B3039" s="81" t="str">
        <f t="shared" si="6"/>
        <v>Kab Jayawijaya</v>
      </c>
      <c r="C3039" s="81" t="str">
        <f t="array" ref="C3039">XLOOKUP(B3039,Reference!$A$2:$A$152,Reference!$B$2:$B$152)</f>
        <v>Papua</v>
      </c>
      <c r="D3039" s="82" t="s">
        <v>3478</v>
      </c>
      <c r="E3039" s="83">
        <v>45323.0</v>
      </c>
      <c r="F3039" s="84" t="str">
        <f t="array" ref="F3039">XLOOKUP(G3039,Reference!$F:$F,Reference!$D:$D,"null")</f>
        <v>Pendidikan dan Kesehatan</v>
      </c>
      <c r="G3039" s="85" t="s">
        <v>95</v>
      </c>
      <c r="H3039" s="86">
        <v>100.0</v>
      </c>
      <c r="I3039" s="86">
        <v>100.0</v>
      </c>
      <c r="J3039" s="87">
        <f t="shared" si="2"/>
        <v>0</v>
      </c>
      <c r="K3039" s="84" t="str">
        <f t="shared" si="3"/>
        <v>Stabil</v>
      </c>
      <c r="L3039" s="84">
        <f t="shared" si="4"/>
        <v>0</v>
      </c>
      <c r="M3039" s="88" t="str">
        <f t="shared" si="5"/>
        <v>Perubahan Normal</v>
      </c>
    </row>
    <row r="3040" ht="18.75" customHeight="1">
      <c r="A3040" s="80" t="s">
        <v>642</v>
      </c>
      <c r="B3040" s="81" t="str">
        <f t="shared" si="6"/>
        <v>Kota Bandar Lampung</v>
      </c>
      <c r="C3040" s="81" t="str">
        <f t="array" ref="C3040">XLOOKUP(B3040,Reference!$A$2:$A$152,Reference!$B$2:$B$152)</f>
        <v>Lampung</v>
      </c>
      <c r="D3040" s="82" t="s">
        <v>3479</v>
      </c>
      <c r="E3040" s="83">
        <v>45352.0</v>
      </c>
      <c r="F3040" s="84" t="str">
        <f t="array" ref="F3040">XLOOKUP(G3040,Reference!$F:$F,Reference!$D:$D,"null")</f>
        <v>Rumah Tangga</v>
      </c>
      <c r="G3040" s="85" t="s">
        <v>80</v>
      </c>
      <c r="H3040" s="86">
        <v>102.48</v>
      </c>
      <c r="I3040" s="86">
        <v>102.48</v>
      </c>
      <c r="J3040" s="87">
        <f t="shared" si="2"/>
        <v>0</v>
      </c>
      <c r="K3040" s="84" t="str">
        <f t="shared" si="3"/>
        <v>Stabil</v>
      </c>
      <c r="L3040" s="84">
        <f t="shared" si="4"/>
        <v>0</v>
      </c>
      <c r="M3040" s="88" t="str">
        <f t="shared" si="5"/>
        <v>Perubahan Normal</v>
      </c>
    </row>
    <row r="3041" ht="18.75" customHeight="1">
      <c r="A3041" s="80" t="s">
        <v>576</v>
      </c>
      <c r="B3041" s="81" t="str">
        <f t="shared" si="6"/>
        <v>Kab Tabanan</v>
      </c>
      <c r="C3041" s="81" t="str">
        <f t="array" ref="C3041">XLOOKUP(B3041,Reference!$A$2:$A$152,Reference!$B$2:$B$152)</f>
        <v>Bali</v>
      </c>
      <c r="D3041" s="82" t="s">
        <v>3480</v>
      </c>
      <c r="E3041" s="83">
        <v>45323.0</v>
      </c>
      <c r="F3041" s="84" t="str">
        <f t="array" ref="F3041">XLOOKUP(G3041,Reference!$F:$F,Reference!$D:$D,"null")</f>
        <v>Rekreasi dan Kendaraan</v>
      </c>
      <c r="G3041" s="85" t="s">
        <v>102</v>
      </c>
      <c r="H3041" s="86">
        <v>116.97</v>
      </c>
      <c r="I3041" s="86">
        <v>116.97</v>
      </c>
      <c r="J3041" s="87">
        <f t="shared" si="2"/>
        <v>0</v>
      </c>
      <c r="K3041" s="84" t="str">
        <f t="shared" si="3"/>
        <v>Stabil</v>
      </c>
      <c r="L3041" s="84">
        <f t="shared" si="4"/>
        <v>0</v>
      </c>
      <c r="M3041" s="88" t="str">
        <f t="shared" si="5"/>
        <v>Perubahan Normal</v>
      </c>
    </row>
    <row r="3042" ht="18.75" customHeight="1">
      <c r="A3042" s="80" t="s">
        <v>634</v>
      </c>
      <c r="B3042" s="81" t="str">
        <f t="shared" si="6"/>
        <v>Kota Depok</v>
      </c>
      <c r="C3042" s="81" t="str">
        <f t="array" ref="C3042">XLOOKUP(B3042,Reference!$A$2:$A$152,Reference!$B$2:$B$152)</f>
        <v>Jawa Barat</v>
      </c>
      <c r="D3042" s="82" t="s">
        <v>3481</v>
      </c>
      <c r="E3042" s="83">
        <v>45323.0</v>
      </c>
      <c r="F3042" s="84" t="str">
        <f t="array" ref="F3042">XLOOKUP(G3042,Reference!$F:$F,Reference!$D:$D,"null")</f>
        <v>Rumah Tangga</v>
      </c>
      <c r="G3042" s="85" t="s">
        <v>84</v>
      </c>
      <c r="H3042" s="86">
        <v>102.37</v>
      </c>
      <c r="I3042" s="86">
        <v>102.37</v>
      </c>
      <c r="J3042" s="87">
        <f t="shared" si="2"/>
        <v>0</v>
      </c>
      <c r="K3042" s="84" t="str">
        <f t="shared" si="3"/>
        <v>Stabil</v>
      </c>
      <c r="L3042" s="84">
        <f t="shared" si="4"/>
        <v>0</v>
      </c>
      <c r="M3042" s="88" t="str">
        <f t="shared" si="5"/>
        <v>Perubahan Normal</v>
      </c>
    </row>
    <row r="3043" ht="18.75" customHeight="1">
      <c r="A3043" s="80" t="s">
        <v>571</v>
      </c>
      <c r="B3043" s="81" t="str">
        <f t="shared" si="6"/>
        <v>Kota Sorong</v>
      </c>
      <c r="C3043" s="81" t="str">
        <f t="array" ref="C3043">XLOOKUP(B3043,Reference!$A$2:$A$152,Reference!$B$2:$B$152)</f>
        <v>Papua Barat Daya</v>
      </c>
      <c r="D3043" s="82" t="s">
        <v>3482</v>
      </c>
      <c r="E3043" s="83">
        <v>45323.0</v>
      </c>
      <c r="F3043" s="84" t="str">
        <f t="array" ref="F3043">XLOOKUP(G3043,Reference!$F:$F,Reference!$D:$D,"null")</f>
        <v>Rekreasi dan Kendaraan</v>
      </c>
      <c r="G3043" s="85" t="s">
        <v>105</v>
      </c>
      <c r="H3043" s="86">
        <v>107.34</v>
      </c>
      <c r="I3043" s="86">
        <v>105.82</v>
      </c>
      <c r="J3043" s="87">
        <f t="shared" si="2"/>
        <v>1.436401436</v>
      </c>
      <c r="K3043" s="84" t="str">
        <f t="shared" si="3"/>
        <v>Inflasi Tinggi</v>
      </c>
      <c r="L3043" s="84">
        <f t="shared" si="4"/>
        <v>1.52</v>
      </c>
      <c r="M3043" s="88" t="str">
        <f t="shared" si="5"/>
        <v>Akselerasi Persentase</v>
      </c>
    </row>
    <row r="3044" ht="18.75" customHeight="1">
      <c r="A3044" s="80" t="s">
        <v>360</v>
      </c>
      <c r="B3044" s="81" t="str">
        <f t="shared" si="6"/>
        <v>Kab Wonosobo</v>
      </c>
      <c r="C3044" s="81" t="str">
        <f t="array" ref="C3044">XLOOKUP(B3044,Reference!$A$2:$A$152,Reference!$B$2:$B$152)</f>
        <v>Jawa Tengah</v>
      </c>
      <c r="D3044" s="82" t="s">
        <v>3483</v>
      </c>
      <c r="E3044" s="83">
        <v>45352.0</v>
      </c>
      <c r="F3044" s="84" t="str">
        <f t="array" ref="F3044">XLOOKUP(G3044,Reference!$F:$F,Reference!$D:$D,"null")</f>
        <v>Pendidikan dan Kesehatan</v>
      </c>
      <c r="G3044" s="85" t="s">
        <v>95</v>
      </c>
      <c r="H3044" s="86">
        <v>100.75</v>
      </c>
      <c r="I3044" s="86">
        <v>100.75</v>
      </c>
      <c r="J3044" s="87">
        <f t="shared" si="2"/>
        <v>0</v>
      </c>
      <c r="K3044" s="84" t="str">
        <f t="shared" si="3"/>
        <v>Stabil</v>
      </c>
      <c r="L3044" s="84">
        <f t="shared" si="4"/>
        <v>0</v>
      </c>
      <c r="M3044" s="88" t="str">
        <f t="shared" si="5"/>
        <v>Perubahan Normal</v>
      </c>
    </row>
    <row r="3045" ht="18.75" customHeight="1">
      <c r="A3045" s="80" t="s">
        <v>387</v>
      </c>
      <c r="B3045" s="81" t="str">
        <f t="shared" si="6"/>
        <v>Kota Semarang</v>
      </c>
      <c r="C3045" s="81" t="str">
        <f t="array" ref="C3045">XLOOKUP(B3045,Reference!$A$2:$A$152,Reference!$B$2:$B$152)</f>
        <v>Jawa Tengah</v>
      </c>
      <c r="D3045" s="82" t="s">
        <v>3484</v>
      </c>
      <c r="E3045" s="83">
        <v>45352.0</v>
      </c>
      <c r="F3045" s="84" t="str">
        <f t="array" ref="F3045">XLOOKUP(G3045,Reference!$F:$F,Reference!$D:$D,"null")</f>
        <v>Makanan dan Pakaian </v>
      </c>
      <c r="G3045" s="85" t="s">
        <v>48</v>
      </c>
      <c r="H3045" s="86">
        <v>112.77</v>
      </c>
      <c r="I3045" s="86">
        <v>110.13</v>
      </c>
      <c r="J3045" s="87">
        <f t="shared" si="2"/>
        <v>2.397166984</v>
      </c>
      <c r="K3045" s="84" t="str">
        <f t="shared" si="3"/>
        <v>Inflasi Tinggi</v>
      </c>
      <c r="L3045" s="84">
        <f t="shared" si="4"/>
        <v>2.64</v>
      </c>
      <c r="M3045" s="88" t="str">
        <f t="shared" si="5"/>
        <v>Akselerasi Kuat</v>
      </c>
    </row>
    <row r="3046" ht="18.75" customHeight="1">
      <c r="A3046" s="80" t="s">
        <v>351</v>
      </c>
      <c r="B3046" s="81" t="str">
        <f t="shared" si="6"/>
        <v>Kota Balikpapan</v>
      </c>
      <c r="C3046" s="81" t="str">
        <f t="array" ref="C3046">XLOOKUP(B3046,Reference!$A$2:$A$152,Reference!$B$2:$B$152)</f>
        <v>Kalimantan Timur</v>
      </c>
      <c r="D3046" s="82" t="s">
        <v>3485</v>
      </c>
      <c r="E3046" s="83">
        <v>45352.0</v>
      </c>
      <c r="F3046" s="84" t="str">
        <f t="array" ref="F3046">XLOOKUP(G3046,Reference!$F:$F,Reference!$D:$D,"null")</f>
        <v>Rumah Tangga</v>
      </c>
      <c r="G3046" s="85" t="s">
        <v>84</v>
      </c>
      <c r="H3046" s="86">
        <v>103.62</v>
      </c>
      <c r="I3046" s="86">
        <v>103.62</v>
      </c>
      <c r="J3046" s="87">
        <f t="shared" si="2"/>
        <v>0</v>
      </c>
      <c r="K3046" s="84" t="str">
        <f t="shared" si="3"/>
        <v>Stabil</v>
      </c>
      <c r="L3046" s="84">
        <f t="shared" si="4"/>
        <v>0</v>
      </c>
      <c r="M3046" s="88" t="str">
        <f t="shared" si="5"/>
        <v>Perubahan Normal</v>
      </c>
    </row>
    <row r="3047" ht="18.75" customHeight="1">
      <c r="A3047" s="80" t="s">
        <v>308</v>
      </c>
      <c r="B3047" s="81" t="str">
        <f t="shared" si="6"/>
        <v>Kab Sukamara</v>
      </c>
      <c r="C3047" s="81" t="str">
        <f t="array" ref="C3047">XLOOKUP(B3047,Reference!$A$2:$A$152,Reference!$B$2:$B$152)</f>
        <v>Kalimantan Tengah</v>
      </c>
      <c r="D3047" s="82" t="s">
        <v>3486</v>
      </c>
      <c r="E3047" s="83">
        <v>45352.0</v>
      </c>
      <c r="F3047" s="84" t="str">
        <f t="array" ref="F3047">XLOOKUP(G3047,Reference!$F:$F,Reference!$D:$D,"null")</f>
        <v>Pendidikan dan Kesehatan</v>
      </c>
      <c r="G3047" s="85" t="s">
        <v>95</v>
      </c>
      <c r="H3047" s="86">
        <v>100.0</v>
      </c>
      <c r="I3047" s="86">
        <v>100.0</v>
      </c>
      <c r="J3047" s="87">
        <f t="shared" si="2"/>
        <v>0</v>
      </c>
      <c r="K3047" s="84" t="str">
        <f t="shared" si="3"/>
        <v>Stabil</v>
      </c>
      <c r="L3047" s="84">
        <f t="shared" si="4"/>
        <v>0</v>
      </c>
      <c r="M3047" s="88" t="str">
        <f t="shared" si="5"/>
        <v>Perubahan Normal</v>
      </c>
    </row>
    <row r="3048" ht="18.75" customHeight="1">
      <c r="A3048" s="80" t="s">
        <v>581</v>
      </c>
      <c r="B3048" s="81" t="str">
        <f t="shared" si="6"/>
        <v>Kab Dharmasraya</v>
      </c>
      <c r="C3048" s="81" t="str">
        <f t="array" ref="C3048">XLOOKUP(B3048,Reference!$A$2:$A$152,Reference!$B$2:$B$152)</f>
        <v>Sumatera Barat</v>
      </c>
      <c r="D3048" s="82" t="s">
        <v>3487</v>
      </c>
      <c r="E3048" s="83">
        <v>45323.0</v>
      </c>
      <c r="F3048" s="84" t="str">
        <f t="array" ref="F3048">XLOOKUP(G3048,Reference!$F:$F,Reference!$D:$D,"null")</f>
        <v>Makanan dan Pakaian </v>
      </c>
      <c r="G3048" s="85" t="s">
        <v>64</v>
      </c>
      <c r="H3048" s="86">
        <v>104.06</v>
      </c>
      <c r="I3048" s="86">
        <v>104.06</v>
      </c>
      <c r="J3048" s="87">
        <f t="shared" si="2"/>
        <v>0</v>
      </c>
      <c r="K3048" s="84" t="str">
        <f t="shared" si="3"/>
        <v>Stabil</v>
      </c>
      <c r="L3048" s="84">
        <f t="shared" si="4"/>
        <v>0</v>
      </c>
      <c r="M3048" s="88" t="str">
        <f t="shared" si="5"/>
        <v>Perubahan Normal</v>
      </c>
    </row>
    <row r="3049" ht="18.75" customHeight="1">
      <c r="A3049" s="80" t="s">
        <v>458</v>
      </c>
      <c r="B3049" s="81" t="str">
        <f t="shared" si="6"/>
        <v>Kota Dumai</v>
      </c>
      <c r="C3049" s="81" t="str">
        <f t="array" ref="C3049">XLOOKUP(B3049,Reference!$A$2:$A$152,Reference!$B$2:$B$152)</f>
        <v>Riau</v>
      </c>
      <c r="D3049" s="82" t="s">
        <v>3488</v>
      </c>
      <c r="E3049" s="83">
        <v>45323.0</v>
      </c>
      <c r="F3049" s="84" t="str">
        <f t="array" ref="F3049">XLOOKUP(G3049,Reference!$F:$F,Reference!$D:$D,"null")</f>
        <v>Makanan dan Pakaian </v>
      </c>
      <c r="G3049" s="85" t="s">
        <v>72</v>
      </c>
      <c r="H3049" s="86">
        <v>102.05</v>
      </c>
      <c r="I3049" s="86">
        <v>102.05</v>
      </c>
      <c r="J3049" s="87">
        <f t="shared" si="2"/>
        <v>0</v>
      </c>
      <c r="K3049" s="84" t="str">
        <f t="shared" si="3"/>
        <v>Stabil</v>
      </c>
      <c r="L3049" s="84">
        <f t="shared" si="4"/>
        <v>0</v>
      </c>
      <c r="M3049" s="88" t="str">
        <f t="shared" si="5"/>
        <v>Perubahan Normal</v>
      </c>
    </row>
    <row r="3050" ht="18.75" customHeight="1">
      <c r="A3050" s="80" t="s">
        <v>322</v>
      </c>
      <c r="B3050" s="81" t="str">
        <f t="shared" si="6"/>
        <v>Purwokerto</v>
      </c>
      <c r="C3050" s="81" t="str">
        <f t="array" ref="C3050">XLOOKUP(B3050,Reference!$A$2:$A$152,Reference!$B$2:$B$152)</f>
        <v>Jawa Tengah</v>
      </c>
      <c r="D3050" s="82" t="s">
        <v>3489</v>
      </c>
      <c r="E3050" s="83">
        <v>45352.0</v>
      </c>
      <c r="F3050" s="84" t="str">
        <f t="array" ref="F3050">XLOOKUP(G3050,Reference!$F:$F,Reference!$D:$D,"null")</f>
        <v>Makanan dan Pakaian </v>
      </c>
      <c r="G3050" s="85" t="s">
        <v>64</v>
      </c>
      <c r="H3050" s="86">
        <v>103.1</v>
      </c>
      <c r="I3050" s="86">
        <v>102.44</v>
      </c>
      <c r="J3050" s="87">
        <f t="shared" si="2"/>
        <v>0.6442795783</v>
      </c>
      <c r="K3050" s="84" t="str">
        <f t="shared" si="3"/>
        <v>Inflasi Tinggi</v>
      </c>
      <c r="L3050" s="84">
        <f t="shared" si="4"/>
        <v>0.66</v>
      </c>
      <c r="M3050" s="88" t="str">
        <f t="shared" si="5"/>
        <v>Akselerasi Persentase</v>
      </c>
    </row>
    <row r="3051" ht="18.75" customHeight="1">
      <c r="A3051" s="80" t="s">
        <v>628</v>
      </c>
      <c r="B3051" s="81" t="str">
        <f t="shared" si="6"/>
        <v>Watampone</v>
      </c>
      <c r="C3051" s="81" t="str">
        <f t="array" ref="C3051">XLOOKUP(B3051,Reference!$A$2:$A$152,Reference!$B$2:$B$152)</f>
        <v>Sulawesi Selatan</v>
      </c>
      <c r="D3051" s="82" t="s">
        <v>3490</v>
      </c>
      <c r="E3051" s="83">
        <v>45323.0</v>
      </c>
      <c r="F3051" s="84" t="str">
        <f t="array" ref="F3051">XLOOKUP(G3051,Reference!$F:$F,Reference!$D:$D,"null")</f>
        <v>Makanan dan Pakaian </v>
      </c>
      <c r="G3051" s="85" t="s">
        <v>56</v>
      </c>
      <c r="H3051" s="86">
        <v>104.5</v>
      </c>
      <c r="I3051" s="86">
        <v>104.25</v>
      </c>
      <c r="J3051" s="87">
        <f t="shared" si="2"/>
        <v>0.2398081535</v>
      </c>
      <c r="K3051" s="84" t="str">
        <f t="shared" si="3"/>
        <v>Inflasi Normal</v>
      </c>
      <c r="L3051" s="84">
        <f t="shared" si="4"/>
        <v>0.25</v>
      </c>
      <c r="M3051" s="88" t="str">
        <f t="shared" si="5"/>
        <v>Perubahan Normal</v>
      </c>
    </row>
    <row r="3052" ht="18.75" customHeight="1">
      <c r="A3052" s="80" t="s">
        <v>410</v>
      </c>
      <c r="B3052" s="81" t="str">
        <f t="shared" si="6"/>
        <v>Meulaboh</v>
      </c>
      <c r="C3052" s="81" t="str">
        <f t="array" ref="C3052">XLOOKUP(B3052,Reference!$A$2:$A$152,Reference!$B$2:$B$152)</f>
        <v>Aceh</v>
      </c>
      <c r="D3052" s="82" t="s">
        <v>3491</v>
      </c>
      <c r="E3052" s="83">
        <v>45323.0</v>
      </c>
      <c r="F3052" s="84" t="str">
        <f t="array" ref="F3052">XLOOKUP(G3052,Reference!$F:$F,Reference!$D:$D,"null")</f>
        <v>Rumah Tangga</v>
      </c>
      <c r="G3052" s="85" t="s">
        <v>89</v>
      </c>
      <c r="H3052" s="86">
        <v>109.68</v>
      </c>
      <c r="I3052" s="86">
        <v>109.68</v>
      </c>
      <c r="J3052" s="87">
        <f t="shared" si="2"/>
        <v>0</v>
      </c>
      <c r="K3052" s="84" t="str">
        <f t="shared" si="3"/>
        <v>Stabil</v>
      </c>
      <c r="L3052" s="84">
        <f t="shared" si="4"/>
        <v>0</v>
      </c>
      <c r="M3052" s="88" t="str">
        <f t="shared" si="5"/>
        <v>Perubahan Normal</v>
      </c>
    </row>
    <row r="3053" ht="18.75" customHeight="1">
      <c r="A3053" s="80" t="s">
        <v>526</v>
      </c>
      <c r="B3053" s="81" t="str">
        <f t="shared" si="6"/>
        <v>Maumere</v>
      </c>
      <c r="C3053" s="81" t="str">
        <f t="array" ref="C3053">XLOOKUP(B3053,Reference!$A$2:$A$152,Reference!$B$2:$B$152)</f>
        <v>Nusa Tenggara Timur (NTT)</v>
      </c>
      <c r="D3053" s="82" t="s">
        <v>3492</v>
      </c>
      <c r="E3053" s="83">
        <v>45352.0</v>
      </c>
      <c r="F3053" s="84" t="str">
        <f t="array" ref="F3053">XLOOKUP(G3053,Reference!$F:$F,Reference!$D:$D,"null")</f>
        <v>Rumah Tangga</v>
      </c>
      <c r="G3053" s="89" t="s">
        <v>80</v>
      </c>
      <c r="H3053" s="90">
        <v>102.18</v>
      </c>
      <c r="I3053" s="90">
        <v>102.18</v>
      </c>
      <c r="J3053" s="87">
        <f t="shared" si="2"/>
        <v>0</v>
      </c>
      <c r="K3053" s="84" t="str">
        <f t="shared" si="3"/>
        <v>Stabil</v>
      </c>
      <c r="L3053" s="91">
        <f t="shared" si="4"/>
        <v>0</v>
      </c>
      <c r="M3053" s="88" t="str">
        <f t="shared" si="5"/>
        <v>Perubahan Normal</v>
      </c>
    </row>
    <row r="3054" ht="18.75" customHeight="1">
      <c r="A3054" s="80" t="s">
        <v>404</v>
      </c>
      <c r="B3054" s="81" t="str">
        <f t="shared" si="6"/>
        <v>Kab Mesuji</v>
      </c>
      <c r="C3054" s="81" t="str">
        <f t="array" ref="C3054">XLOOKUP(B3054,Reference!$A$2:$A$152,Reference!$B$2:$B$152)</f>
        <v>Lampung</v>
      </c>
      <c r="D3054" s="82" t="s">
        <v>3493</v>
      </c>
      <c r="E3054" s="83">
        <v>45323.0</v>
      </c>
      <c r="F3054" s="84" t="str">
        <f t="array" ref="F3054">XLOOKUP(G3054,Reference!$F:$F,Reference!$D:$D,"null")</f>
        <v>Makanan dan Pakaian </v>
      </c>
      <c r="G3054" s="85" t="s">
        <v>72</v>
      </c>
      <c r="H3054" s="86">
        <v>108.51</v>
      </c>
      <c r="I3054" s="86">
        <v>108.51</v>
      </c>
      <c r="J3054" s="87">
        <f t="shared" si="2"/>
        <v>0</v>
      </c>
      <c r="K3054" s="84" t="str">
        <f t="shared" si="3"/>
        <v>Stabil</v>
      </c>
      <c r="L3054" s="84">
        <f t="shared" si="4"/>
        <v>0</v>
      </c>
      <c r="M3054" s="88" t="str">
        <f t="shared" si="5"/>
        <v>Perubahan Normal</v>
      </c>
    </row>
    <row r="3055" ht="18.75" customHeight="1">
      <c r="A3055" s="80" t="s">
        <v>600</v>
      </c>
      <c r="B3055" s="81" t="str">
        <f t="shared" si="6"/>
        <v>Kota Banda Aceh</v>
      </c>
      <c r="C3055" s="81" t="str">
        <f t="array" ref="C3055">XLOOKUP(B3055,Reference!$A$2:$A$152,Reference!$B$2:$B$152)</f>
        <v>Aceh</v>
      </c>
      <c r="D3055" s="82" t="s">
        <v>3494</v>
      </c>
      <c r="E3055" s="83">
        <v>45352.0</v>
      </c>
      <c r="F3055" s="84" t="str">
        <f t="array" ref="F3055">XLOOKUP(G3055,Reference!$F:$F,Reference!$D:$D,"null")</f>
        <v>Rekreasi dan Kendaraan</v>
      </c>
      <c r="G3055" s="85" t="s">
        <v>105</v>
      </c>
      <c r="H3055" s="86">
        <v>102.39</v>
      </c>
      <c r="I3055" s="86">
        <v>102.39</v>
      </c>
      <c r="J3055" s="87">
        <f t="shared" si="2"/>
        <v>0</v>
      </c>
      <c r="K3055" s="84" t="str">
        <f t="shared" si="3"/>
        <v>Stabil</v>
      </c>
      <c r="L3055" s="84">
        <f t="shared" si="4"/>
        <v>0</v>
      </c>
      <c r="M3055" s="88" t="str">
        <f t="shared" si="5"/>
        <v>Perubahan Normal</v>
      </c>
    </row>
    <row r="3056" ht="18.75" customHeight="1">
      <c r="A3056" s="80" t="s">
        <v>351</v>
      </c>
      <c r="B3056" s="81" t="str">
        <f t="shared" si="6"/>
        <v>Kota Balikpapan</v>
      </c>
      <c r="C3056" s="81" t="str">
        <f t="array" ref="C3056">XLOOKUP(B3056,Reference!$A$2:$A$152,Reference!$B$2:$B$152)</f>
        <v>Kalimantan Timur</v>
      </c>
      <c r="D3056" s="82" t="s">
        <v>3495</v>
      </c>
      <c r="E3056" s="83">
        <v>45352.0</v>
      </c>
      <c r="F3056" s="84" t="str">
        <f t="array" ref="F3056">XLOOKUP(G3056,Reference!$F:$F,Reference!$D:$D,"null")</f>
        <v>Makanan dan Pakaian </v>
      </c>
      <c r="G3056" s="89" t="s">
        <v>72</v>
      </c>
      <c r="H3056" s="90">
        <v>99.17</v>
      </c>
      <c r="I3056" s="90">
        <v>99.17</v>
      </c>
      <c r="J3056" s="87">
        <f t="shared" si="2"/>
        <v>0</v>
      </c>
      <c r="K3056" s="84" t="str">
        <f t="shared" si="3"/>
        <v>Stabil</v>
      </c>
      <c r="L3056" s="91">
        <f t="shared" si="4"/>
        <v>0</v>
      </c>
      <c r="M3056" s="88" t="str">
        <f t="shared" si="5"/>
        <v>Perubahan Normal</v>
      </c>
    </row>
    <row r="3057" ht="18.75" customHeight="1">
      <c r="A3057" s="80" t="s">
        <v>296</v>
      </c>
      <c r="B3057" s="81" t="str">
        <f t="shared" si="6"/>
        <v>Kota Bogor</v>
      </c>
      <c r="C3057" s="81" t="str">
        <f t="array" ref="C3057">XLOOKUP(B3057,Reference!$A$2:$A$152,Reference!$B$2:$B$152)</f>
        <v>Jawa Barat</v>
      </c>
      <c r="D3057" s="82" t="s">
        <v>3496</v>
      </c>
      <c r="E3057" s="83">
        <v>45323.0</v>
      </c>
      <c r="F3057" s="84" t="str">
        <f t="array" ref="F3057">XLOOKUP(G3057,Reference!$F:$F,Reference!$D:$D,"null")</f>
        <v>Rumah Tangga</v>
      </c>
      <c r="G3057" s="85" t="s">
        <v>80</v>
      </c>
      <c r="H3057" s="86">
        <v>101.85</v>
      </c>
      <c r="I3057" s="86">
        <v>101.85</v>
      </c>
      <c r="J3057" s="87">
        <f t="shared" si="2"/>
        <v>0</v>
      </c>
      <c r="K3057" s="84" t="str">
        <f t="shared" si="3"/>
        <v>Stabil</v>
      </c>
      <c r="L3057" s="84">
        <f t="shared" si="4"/>
        <v>0</v>
      </c>
      <c r="M3057" s="88" t="str">
        <f t="shared" si="5"/>
        <v>Perubahan Normal</v>
      </c>
    </row>
    <row r="3058" ht="18.75" customHeight="1">
      <c r="A3058" s="80" t="s">
        <v>342</v>
      </c>
      <c r="B3058" s="81" t="str">
        <f t="shared" si="6"/>
        <v>Kab Bandung</v>
      </c>
      <c r="C3058" s="81" t="str">
        <f t="array" ref="C3058">XLOOKUP(B3058,Reference!$A$2:$A$152,Reference!$B$2:$B$152)</f>
        <v>Jawa Barat</v>
      </c>
      <c r="D3058" s="82" t="s">
        <v>3497</v>
      </c>
      <c r="E3058" s="83">
        <v>45352.0</v>
      </c>
      <c r="F3058" s="84" t="str">
        <f t="array" ref="F3058">XLOOKUP(G3058,Reference!$F:$F,Reference!$D:$D,"null")</f>
        <v>Rumah Tangga</v>
      </c>
      <c r="G3058" s="85" t="s">
        <v>89</v>
      </c>
      <c r="H3058" s="86">
        <v>107.5</v>
      </c>
      <c r="I3058" s="86">
        <v>107.72</v>
      </c>
      <c r="J3058" s="87">
        <f t="shared" si="2"/>
        <v>-0.2042331972</v>
      </c>
      <c r="K3058" s="84" t="str">
        <f t="shared" si="3"/>
        <v>Deflasi</v>
      </c>
      <c r="L3058" s="84">
        <f t="shared" si="4"/>
        <v>-0.22</v>
      </c>
      <c r="M3058" s="88" t="str">
        <f t="shared" si="5"/>
        <v>Perubahan Normal</v>
      </c>
    </row>
    <row r="3059" ht="18.75" customHeight="1">
      <c r="A3059" s="80" t="s">
        <v>329</v>
      </c>
      <c r="B3059" s="81" t="str">
        <f t="shared" si="6"/>
        <v>Kab Penajam Paser Utara</v>
      </c>
      <c r="C3059" s="81" t="str">
        <f t="array" ref="C3059">XLOOKUP(B3059,Reference!$A$2:$A$152,Reference!$B$2:$B$152)</f>
        <v>Kalimantan Timur</v>
      </c>
      <c r="D3059" s="82" t="s">
        <v>3498</v>
      </c>
      <c r="E3059" s="83">
        <v>45323.0</v>
      </c>
      <c r="F3059" s="84" t="str">
        <f t="array" ref="F3059">XLOOKUP(G3059,Reference!$F:$F,Reference!$D:$D,"null")</f>
        <v>Rumah Tangga</v>
      </c>
      <c r="G3059" s="89" t="s">
        <v>84</v>
      </c>
      <c r="H3059" s="90">
        <v>109.89</v>
      </c>
      <c r="I3059" s="90">
        <v>109.54</v>
      </c>
      <c r="J3059" s="87">
        <f t="shared" si="2"/>
        <v>0.3195179843</v>
      </c>
      <c r="K3059" s="84" t="str">
        <f t="shared" si="3"/>
        <v>Inflasi Normal</v>
      </c>
      <c r="L3059" s="91">
        <f t="shared" si="4"/>
        <v>0.35</v>
      </c>
      <c r="M3059" s="88" t="str">
        <f t="shared" si="5"/>
        <v>Perubahan Normal</v>
      </c>
    </row>
    <row r="3060" ht="18.75" customHeight="1">
      <c r="A3060" s="80" t="s">
        <v>337</v>
      </c>
      <c r="B3060" s="81" t="str">
        <f t="shared" si="6"/>
        <v>Merauke</v>
      </c>
      <c r="C3060" s="81" t="str">
        <f t="array" ref="C3060">XLOOKUP(B3060,Reference!$A$2:$A$152,Reference!$B$2:$B$152)</f>
        <v>Papua</v>
      </c>
      <c r="D3060" s="82" t="s">
        <v>3499</v>
      </c>
      <c r="E3060" s="83">
        <v>45323.0</v>
      </c>
      <c r="F3060" s="84" t="str">
        <f t="array" ref="F3060">XLOOKUP(G3060,Reference!$F:$F,Reference!$D:$D,"null")</f>
        <v>Makanan dan Pakaian </v>
      </c>
      <c r="G3060" s="85" t="s">
        <v>56</v>
      </c>
      <c r="H3060" s="86">
        <v>99.37</v>
      </c>
      <c r="I3060" s="86">
        <v>99.34</v>
      </c>
      <c r="J3060" s="87">
        <f t="shared" si="2"/>
        <v>0.03019931548</v>
      </c>
      <c r="K3060" s="84" t="str">
        <f t="shared" si="3"/>
        <v>Inflasi Normal</v>
      </c>
      <c r="L3060" s="84">
        <f t="shared" si="4"/>
        <v>0.03</v>
      </c>
      <c r="M3060" s="88" t="str">
        <f t="shared" si="5"/>
        <v>Perubahan Normal</v>
      </c>
    </row>
    <row r="3061" ht="18.75" customHeight="1">
      <c r="A3061" s="80" t="s">
        <v>814</v>
      </c>
      <c r="B3061" s="81" t="str">
        <f t="shared" si="6"/>
        <v>Kota Samarinda</v>
      </c>
      <c r="C3061" s="81" t="str">
        <f t="array" ref="C3061">XLOOKUP(B3061,Reference!$A$2:$A$152,Reference!$B$2:$B$152)</f>
        <v>Kalimantan Timur</v>
      </c>
      <c r="D3061" s="82" t="s">
        <v>3500</v>
      </c>
      <c r="E3061" s="83">
        <v>45352.0</v>
      </c>
      <c r="F3061" s="84" t="str">
        <f t="array" ref="F3061">XLOOKUP(G3061,Reference!$F:$F,Reference!$D:$D,"null")</f>
        <v>Makanan dan Pakaian </v>
      </c>
      <c r="G3061" s="85" t="s">
        <v>48</v>
      </c>
      <c r="H3061" s="86">
        <v>111.03</v>
      </c>
      <c r="I3061" s="86">
        <v>109.36</v>
      </c>
      <c r="J3061" s="87">
        <f t="shared" si="2"/>
        <v>1.527066569</v>
      </c>
      <c r="K3061" s="84" t="str">
        <f t="shared" si="3"/>
        <v>Inflasi Tinggi</v>
      </c>
      <c r="L3061" s="84">
        <f t="shared" si="4"/>
        <v>1.67</v>
      </c>
      <c r="M3061" s="88" t="str">
        <f t="shared" si="5"/>
        <v>Akselerasi Persentase</v>
      </c>
    </row>
    <row r="3062" ht="18.75" customHeight="1">
      <c r="A3062" s="80" t="s">
        <v>462</v>
      </c>
      <c r="B3062" s="81" t="str">
        <f t="shared" si="6"/>
        <v>Kota Probolinggo</v>
      </c>
      <c r="C3062" s="81" t="str">
        <f t="array" ref="C3062">XLOOKUP(B3062,Reference!$A$2:$A$152,Reference!$B$2:$B$152)</f>
        <v>Jawa Timur</v>
      </c>
      <c r="D3062" s="82" t="s">
        <v>3501</v>
      </c>
      <c r="E3062" s="83">
        <v>45323.0</v>
      </c>
      <c r="F3062" s="84" t="str">
        <f t="array" ref="F3062">XLOOKUP(G3062,Reference!$F:$F,Reference!$D:$D,"null")</f>
        <v>Rekreasi dan Kendaraan</v>
      </c>
      <c r="G3062" s="85" t="s">
        <v>105</v>
      </c>
      <c r="H3062" s="86">
        <v>101.87</v>
      </c>
      <c r="I3062" s="86">
        <v>101.87</v>
      </c>
      <c r="J3062" s="87">
        <f t="shared" si="2"/>
        <v>0</v>
      </c>
      <c r="K3062" s="84" t="str">
        <f t="shared" si="3"/>
        <v>Stabil</v>
      </c>
      <c r="L3062" s="84">
        <f t="shared" si="4"/>
        <v>0</v>
      </c>
      <c r="M3062" s="88" t="str">
        <f t="shared" si="5"/>
        <v>Perubahan Normal</v>
      </c>
    </row>
    <row r="3063" ht="18.75" customHeight="1">
      <c r="A3063" s="80" t="s">
        <v>364</v>
      </c>
      <c r="B3063" s="81" t="str">
        <f t="shared" si="6"/>
        <v>Kab Tanah Laut</v>
      </c>
      <c r="C3063" s="81" t="str">
        <f t="array" ref="C3063">XLOOKUP(B3063,Reference!$A$2:$A$152,Reference!$B$2:$B$152)</f>
        <v>Kalimantan Selatan</v>
      </c>
      <c r="D3063" s="82" t="s">
        <v>3502</v>
      </c>
      <c r="E3063" s="83">
        <v>45323.0</v>
      </c>
      <c r="F3063" s="84" t="str">
        <f t="array" ref="F3063">XLOOKUP(G3063,Reference!$F:$F,Reference!$D:$D,"null")</f>
        <v>Makanan dan Pakaian </v>
      </c>
      <c r="G3063" s="85" t="s">
        <v>56</v>
      </c>
      <c r="H3063" s="86">
        <v>112.21</v>
      </c>
      <c r="I3063" s="86">
        <v>112.21</v>
      </c>
      <c r="J3063" s="87">
        <f t="shared" si="2"/>
        <v>0</v>
      </c>
      <c r="K3063" s="84" t="str">
        <f t="shared" si="3"/>
        <v>Stabil</v>
      </c>
      <c r="L3063" s="84">
        <f t="shared" si="4"/>
        <v>0</v>
      </c>
      <c r="M3063" s="88" t="str">
        <f t="shared" si="5"/>
        <v>Perubahan Normal</v>
      </c>
    </row>
    <row r="3064" ht="18.75" customHeight="1">
      <c r="A3064" s="80" t="s">
        <v>471</v>
      </c>
      <c r="B3064" s="81" t="str">
        <f t="shared" si="6"/>
        <v>Kab Gunungkidul</v>
      </c>
      <c r="C3064" s="81" t="str">
        <f t="array" ref="C3064">XLOOKUP(B3064,Reference!$A$2:$A$152,Reference!$B$2:$B$152)</f>
        <v>D.I. Yogyakarta</v>
      </c>
      <c r="D3064" s="82" t="s">
        <v>3503</v>
      </c>
      <c r="E3064" s="83">
        <v>45323.0</v>
      </c>
      <c r="F3064" s="84" t="str">
        <f t="array" ref="F3064">XLOOKUP(G3064,Reference!$F:$F,Reference!$D:$D,"null")</f>
        <v>Pendidikan dan Kesehatan</v>
      </c>
      <c r="G3064" s="85" t="s">
        <v>95</v>
      </c>
      <c r="H3064" s="86">
        <v>100.07</v>
      </c>
      <c r="I3064" s="86">
        <v>100.07</v>
      </c>
      <c r="J3064" s="87">
        <f t="shared" si="2"/>
        <v>0</v>
      </c>
      <c r="K3064" s="84" t="str">
        <f t="shared" si="3"/>
        <v>Stabil</v>
      </c>
      <c r="L3064" s="84">
        <f t="shared" si="4"/>
        <v>0</v>
      </c>
      <c r="M3064" s="88" t="str">
        <f t="shared" si="5"/>
        <v>Perubahan Normal</v>
      </c>
    </row>
    <row r="3065" ht="18.75" customHeight="1">
      <c r="A3065" s="80" t="s">
        <v>314</v>
      </c>
      <c r="B3065" s="81" t="str">
        <f t="shared" si="6"/>
        <v>Kota Jayapura</v>
      </c>
      <c r="C3065" s="81" t="str">
        <f t="array" ref="C3065">XLOOKUP(B3065,Reference!$A$2:$A$152,Reference!$B$2:$B$152)</f>
        <v>Papua</v>
      </c>
      <c r="D3065" s="82" t="s">
        <v>3504</v>
      </c>
      <c r="E3065" s="83">
        <v>45352.0</v>
      </c>
      <c r="F3065" s="84" t="str">
        <f t="array" ref="F3065">XLOOKUP(G3065,Reference!$F:$F,Reference!$D:$D,"null")</f>
        <v>Pendidikan dan Kesehatan</v>
      </c>
      <c r="G3065" s="85" t="s">
        <v>98</v>
      </c>
      <c r="H3065" s="86">
        <v>102.3</v>
      </c>
      <c r="I3065" s="86">
        <v>102.83</v>
      </c>
      <c r="J3065" s="87">
        <f t="shared" si="2"/>
        <v>-0.5154137898</v>
      </c>
      <c r="K3065" s="84" t="str">
        <f t="shared" si="3"/>
        <v>Deflasi</v>
      </c>
      <c r="L3065" s="84">
        <f t="shared" si="4"/>
        <v>-0.53</v>
      </c>
      <c r="M3065" s="88" t="str">
        <f t="shared" si="5"/>
        <v>Perubahan Normal</v>
      </c>
    </row>
    <row r="3066" ht="18.75" customHeight="1">
      <c r="A3066" s="80" t="s">
        <v>535</v>
      </c>
      <c r="B3066" s="81" t="str">
        <f t="shared" si="6"/>
        <v>Kota Tarakan</v>
      </c>
      <c r="C3066" s="81" t="str">
        <f t="array" ref="C3066">XLOOKUP(B3066,Reference!$A$2:$A$152,Reference!$B$2:$B$152)</f>
        <v>Kalimantan Utara</v>
      </c>
      <c r="D3066" s="82" t="s">
        <v>3505</v>
      </c>
      <c r="E3066" s="83">
        <v>45323.0</v>
      </c>
      <c r="F3066" s="84" t="str">
        <f t="array" ref="F3066">XLOOKUP(G3066,Reference!$F:$F,Reference!$D:$D,"null")</f>
        <v>Pendidikan dan Kesehatan</v>
      </c>
      <c r="G3066" s="85" t="s">
        <v>95</v>
      </c>
      <c r="H3066" s="86">
        <v>100.47</v>
      </c>
      <c r="I3066" s="86">
        <v>100.47</v>
      </c>
      <c r="J3066" s="87">
        <f t="shared" si="2"/>
        <v>0</v>
      </c>
      <c r="K3066" s="84" t="str">
        <f t="shared" si="3"/>
        <v>Stabil</v>
      </c>
      <c r="L3066" s="84">
        <f t="shared" si="4"/>
        <v>0</v>
      </c>
      <c r="M3066" s="88" t="str">
        <f t="shared" si="5"/>
        <v>Perubahan Normal</v>
      </c>
    </row>
    <row r="3067" ht="18.75" customHeight="1">
      <c r="A3067" s="80" t="s">
        <v>358</v>
      </c>
      <c r="B3067" s="81" t="str">
        <f t="shared" si="6"/>
        <v>Kab Minahasa Utara</v>
      </c>
      <c r="C3067" s="81" t="str">
        <f t="array" ref="C3067">XLOOKUP(B3067,Reference!$A$2:$A$152,Reference!$B$2:$B$152)</f>
        <v>Sulawesi Utara</v>
      </c>
      <c r="D3067" s="82" t="s">
        <v>3506</v>
      </c>
      <c r="E3067" s="83">
        <v>45323.0</v>
      </c>
      <c r="F3067" s="84" t="str">
        <f t="array" ref="F3067">XLOOKUP(G3067,Reference!$F:$F,Reference!$D:$D,"null")</f>
        <v>Rumah Tangga</v>
      </c>
      <c r="G3067" s="85" t="s">
        <v>89</v>
      </c>
      <c r="H3067" s="86">
        <v>101.38</v>
      </c>
      <c r="I3067" s="86">
        <v>101.98</v>
      </c>
      <c r="J3067" s="87">
        <f t="shared" si="2"/>
        <v>-0.588350657</v>
      </c>
      <c r="K3067" s="84" t="str">
        <f t="shared" si="3"/>
        <v>Deflasi</v>
      </c>
      <c r="L3067" s="84">
        <f t="shared" si="4"/>
        <v>-0.6</v>
      </c>
      <c r="M3067" s="88" t="str">
        <f t="shared" si="5"/>
        <v>Perubahan Normal</v>
      </c>
    </row>
    <row r="3068" ht="18.75" customHeight="1">
      <c r="A3068" s="80" t="s">
        <v>374</v>
      </c>
      <c r="B3068" s="81" t="str">
        <f t="shared" si="6"/>
        <v>Kab Majalengka</v>
      </c>
      <c r="C3068" s="81" t="str">
        <f t="array" ref="C3068">XLOOKUP(B3068,Reference!$A$2:$A$152,Reference!$B$2:$B$152)</f>
        <v>Jawa Barat</v>
      </c>
      <c r="D3068" s="82" t="s">
        <v>3507</v>
      </c>
      <c r="E3068" s="83">
        <v>45352.0</v>
      </c>
      <c r="F3068" s="84" t="str">
        <f t="array" ref="F3068">XLOOKUP(G3068,Reference!$F:$F,Reference!$D:$D,"null")</f>
        <v>Rumah Tangga</v>
      </c>
      <c r="G3068" s="85" t="s">
        <v>84</v>
      </c>
      <c r="H3068" s="86">
        <v>101.27</v>
      </c>
      <c r="I3068" s="86">
        <v>101.27</v>
      </c>
      <c r="J3068" s="87">
        <f t="shared" si="2"/>
        <v>0</v>
      </c>
      <c r="K3068" s="84" t="str">
        <f t="shared" si="3"/>
        <v>Stabil</v>
      </c>
      <c r="L3068" s="84">
        <f t="shared" si="4"/>
        <v>0</v>
      </c>
      <c r="M3068" s="88" t="str">
        <f t="shared" si="5"/>
        <v>Perubahan Normal</v>
      </c>
    </row>
    <row r="3069" ht="18.75" customHeight="1">
      <c r="A3069" s="80" t="s">
        <v>364</v>
      </c>
      <c r="B3069" s="81" t="str">
        <f t="shared" si="6"/>
        <v>Kab Tanah Laut</v>
      </c>
      <c r="C3069" s="81" t="str">
        <f t="array" ref="C3069">XLOOKUP(B3069,Reference!$A$2:$A$152,Reference!$B$2:$B$152)</f>
        <v>Kalimantan Selatan</v>
      </c>
      <c r="D3069" s="82" t="s">
        <v>3508</v>
      </c>
      <c r="E3069" s="83">
        <v>45352.0</v>
      </c>
      <c r="F3069" s="84" t="str">
        <f t="array" ref="F3069">XLOOKUP(G3069,Reference!$F:$F,Reference!$D:$D,"null")</f>
        <v>Makanan dan Pakaian </v>
      </c>
      <c r="G3069" s="85" t="s">
        <v>56</v>
      </c>
      <c r="H3069" s="86">
        <v>112.21</v>
      </c>
      <c r="I3069" s="86">
        <v>112.21</v>
      </c>
      <c r="J3069" s="87">
        <f t="shared" si="2"/>
        <v>0</v>
      </c>
      <c r="K3069" s="84" t="str">
        <f t="shared" si="3"/>
        <v>Stabil</v>
      </c>
      <c r="L3069" s="84">
        <f t="shared" si="4"/>
        <v>0</v>
      </c>
      <c r="M3069" s="88" t="str">
        <f t="shared" si="5"/>
        <v>Perubahan Normal</v>
      </c>
    </row>
    <row r="3070" ht="18.75" customHeight="1">
      <c r="A3070" s="80" t="s">
        <v>616</v>
      </c>
      <c r="B3070" s="81" t="str">
        <f t="shared" si="6"/>
        <v>Kab Sorong</v>
      </c>
      <c r="C3070" s="81" t="str">
        <f t="array" ref="C3070">XLOOKUP(B3070,Reference!$A$2:$A$152,Reference!$B$2:$B$152)</f>
        <v>Papua Barat Daya</v>
      </c>
      <c r="D3070" s="82" t="s">
        <v>3509</v>
      </c>
      <c r="E3070" s="83">
        <v>45323.0</v>
      </c>
      <c r="F3070" s="84" t="str">
        <f t="array" ref="F3070">XLOOKUP(G3070,Reference!$F:$F,Reference!$D:$D,"null")</f>
        <v>Makanan dan Pakaian </v>
      </c>
      <c r="G3070" s="85" t="s">
        <v>72</v>
      </c>
      <c r="H3070" s="86">
        <v>105.53</v>
      </c>
      <c r="I3070" s="86">
        <v>105.53</v>
      </c>
      <c r="J3070" s="87">
        <f t="shared" si="2"/>
        <v>0</v>
      </c>
      <c r="K3070" s="84" t="str">
        <f t="shared" si="3"/>
        <v>Stabil</v>
      </c>
      <c r="L3070" s="84">
        <f t="shared" si="4"/>
        <v>0</v>
      </c>
      <c r="M3070" s="88" t="str">
        <f t="shared" si="5"/>
        <v>Perubahan Normal</v>
      </c>
    </row>
    <row r="3071" ht="18.75" customHeight="1">
      <c r="A3071" s="80" t="s">
        <v>502</v>
      </c>
      <c r="B3071" s="81" t="str">
        <f t="shared" si="6"/>
        <v>Muara Bungo</v>
      </c>
      <c r="C3071" s="81" t="str">
        <f t="array" ref="C3071">XLOOKUP(B3071,Reference!$A$2:$A$152,Reference!$B$2:$B$152)</f>
        <v>Jambi</v>
      </c>
      <c r="D3071" s="82" t="s">
        <v>3510</v>
      </c>
      <c r="E3071" s="83">
        <v>45352.0</v>
      </c>
      <c r="F3071" s="84" t="str">
        <f t="array" ref="F3071">XLOOKUP(G3071,Reference!$F:$F,Reference!$D:$D,"null")</f>
        <v>Makanan dan Pakaian </v>
      </c>
      <c r="G3071" s="85" t="s">
        <v>72</v>
      </c>
      <c r="H3071" s="86">
        <v>104.16</v>
      </c>
      <c r="I3071" s="86">
        <v>104.16</v>
      </c>
      <c r="J3071" s="87">
        <f t="shared" si="2"/>
        <v>0</v>
      </c>
      <c r="K3071" s="84" t="str">
        <f t="shared" si="3"/>
        <v>Stabil</v>
      </c>
      <c r="L3071" s="84">
        <f t="shared" si="4"/>
        <v>0</v>
      </c>
      <c r="M3071" s="88" t="str">
        <f t="shared" si="5"/>
        <v>Perubahan Normal</v>
      </c>
    </row>
    <row r="3072" ht="18.75" customHeight="1">
      <c r="A3072" s="80" t="s">
        <v>495</v>
      </c>
      <c r="B3072" s="81" t="str">
        <f t="shared" si="6"/>
        <v>Kota Medan</v>
      </c>
      <c r="C3072" s="81" t="str">
        <f t="array" ref="C3072">XLOOKUP(B3072,Reference!$A$2:$A$152,Reference!$B$2:$B$152)</f>
        <v>Sumatera Utara</v>
      </c>
      <c r="D3072" s="82" t="s">
        <v>3511</v>
      </c>
      <c r="E3072" s="83">
        <v>45323.0</v>
      </c>
      <c r="F3072" s="84" t="str">
        <f t="array" ref="F3072">XLOOKUP(G3072,Reference!$F:$F,Reference!$D:$D,"null")</f>
        <v>Rumah Tangga</v>
      </c>
      <c r="G3072" s="85" t="s">
        <v>89</v>
      </c>
      <c r="H3072" s="86">
        <v>100.47</v>
      </c>
      <c r="I3072" s="86">
        <v>100.47</v>
      </c>
      <c r="J3072" s="87">
        <f t="shared" si="2"/>
        <v>0</v>
      </c>
      <c r="K3072" s="84" t="str">
        <f t="shared" si="3"/>
        <v>Stabil</v>
      </c>
      <c r="L3072" s="84">
        <f t="shared" si="4"/>
        <v>0</v>
      </c>
      <c r="M3072" s="88" t="str">
        <f t="shared" si="5"/>
        <v>Perubahan Normal</v>
      </c>
    </row>
    <row r="3073" ht="18.75" customHeight="1">
      <c r="A3073" s="80" t="s">
        <v>300</v>
      </c>
      <c r="B3073" s="81" t="str">
        <f t="shared" si="6"/>
        <v>Sintang</v>
      </c>
      <c r="C3073" s="81" t="str">
        <f t="array" ref="C3073">XLOOKUP(B3073,Reference!$A$2:$A$152,Reference!$B$2:$B$152)</f>
        <v>Kalimantan Barat</v>
      </c>
      <c r="D3073" s="82" t="s">
        <v>3512</v>
      </c>
      <c r="E3073" s="83">
        <v>45323.0</v>
      </c>
      <c r="F3073" s="84" t="str">
        <f t="array" ref="F3073">XLOOKUP(G3073,Reference!$F:$F,Reference!$D:$D,"null")</f>
        <v>Makanan dan Pakaian </v>
      </c>
      <c r="G3073" s="85" t="s">
        <v>48</v>
      </c>
      <c r="H3073" s="86">
        <v>106.22</v>
      </c>
      <c r="I3073" s="86">
        <v>105.48</v>
      </c>
      <c r="J3073" s="87">
        <f t="shared" si="2"/>
        <v>0.7015547971</v>
      </c>
      <c r="K3073" s="84" t="str">
        <f t="shared" si="3"/>
        <v>Inflasi Tinggi</v>
      </c>
      <c r="L3073" s="84">
        <f t="shared" si="4"/>
        <v>0.74</v>
      </c>
      <c r="M3073" s="88" t="str">
        <f t="shared" si="5"/>
        <v>Akselerasi Persentase</v>
      </c>
    </row>
    <row r="3074" ht="18.75" customHeight="1">
      <c r="A3074" s="80" t="s">
        <v>1031</v>
      </c>
      <c r="B3074" s="81" t="str">
        <f t="shared" si="6"/>
        <v>Kab Majene</v>
      </c>
      <c r="C3074" s="81" t="str">
        <f t="array" ref="C3074">XLOOKUP(B3074,Reference!$A$2:$A$152,Reference!$B$2:$B$152)</f>
        <v>Sulawesi Barat</v>
      </c>
      <c r="D3074" s="82" t="s">
        <v>3513</v>
      </c>
      <c r="E3074" s="83">
        <v>45323.0</v>
      </c>
      <c r="F3074" s="84" t="str">
        <f t="array" ref="F3074">XLOOKUP(G3074,Reference!$F:$F,Reference!$D:$D,"null")</f>
        <v>Pendidikan dan Kesehatan</v>
      </c>
      <c r="G3074" s="85" t="s">
        <v>98</v>
      </c>
      <c r="H3074" s="86">
        <v>98.5</v>
      </c>
      <c r="I3074" s="86">
        <v>98.38</v>
      </c>
      <c r="J3074" s="87">
        <f t="shared" si="2"/>
        <v>0.1219760114</v>
      </c>
      <c r="K3074" s="84" t="str">
        <f t="shared" si="3"/>
        <v>Inflasi Normal</v>
      </c>
      <c r="L3074" s="84">
        <f t="shared" si="4"/>
        <v>0.12</v>
      </c>
      <c r="M3074" s="88" t="str">
        <f t="shared" si="5"/>
        <v>Perubahan Normal</v>
      </c>
    </row>
    <row r="3075" ht="18.75" customHeight="1">
      <c r="A3075" s="80" t="s">
        <v>762</v>
      </c>
      <c r="B3075" s="81" t="str">
        <f t="shared" si="6"/>
        <v>Kota Pangkal Pinang</v>
      </c>
      <c r="C3075" s="81" t="str">
        <f t="array" ref="C3075">XLOOKUP(B3075,Reference!$A$2:$A$152,Reference!$B$2:$B$152)</f>
        <v>Kepulauan Bangka Belitung</v>
      </c>
      <c r="D3075" s="82" t="s">
        <v>3514</v>
      </c>
      <c r="E3075" s="83">
        <v>45352.0</v>
      </c>
      <c r="F3075" s="84" t="str">
        <f t="array" ref="F3075">XLOOKUP(G3075,Reference!$F:$F,Reference!$D:$D,"null")</f>
        <v>Pendidikan dan Kesehatan</v>
      </c>
      <c r="G3075" s="85" t="s">
        <v>95</v>
      </c>
      <c r="H3075" s="86">
        <v>100.6</v>
      </c>
      <c r="I3075" s="86">
        <v>100.6</v>
      </c>
      <c r="J3075" s="87">
        <f t="shared" si="2"/>
        <v>0</v>
      </c>
      <c r="K3075" s="84" t="str">
        <f t="shared" si="3"/>
        <v>Stabil</v>
      </c>
      <c r="L3075" s="84">
        <f t="shared" si="4"/>
        <v>0</v>
      </c>
      <c r="M3075" s="88" t="str">
        <f t="shared" si="5"/>
        <v>Perubahan Normal</v>
      </c>
    </row>
    <row r="3076" ht="18.75" customHeight="1">
      <c r="A3076" s="80" t="s">
        <v>408</v>
      </c>
      <c r="B3076" s="81" t="str">
        <f t="shared" si="6"/>
        <v>Manokwari</v>
      </c>
      <c r="C3076" s="81" t="str">
        <f t="array" ref="C3076">XLOOKUP(B3076,Reference!$A$2:$A$152,Reference!$B$2:$B$152)</f>
        <v>Papua Barat Daya</v>
      </c>
      <c r="D3076" s="82" t="s">
        <v>3515</v>
      </c>
      <c r="E3076" s="83">
        <v>45323.0</v>
      </c>
      <c r="F3076" s="84" t="str">
        <f t="array" ref="F3076">XLOOKUP(G3076,Reference!$F:$F,Reference!$D:$D,"null")</f>
        <v>Makanan dan Pakaian </v>
      </c>
      <c r="G3076" s="85" t="s">
        <v>56</v>
      </c>
      <c r="H3076" s="86">
        <v>105.29</v>
      </c>
      <c r="I3076" s="86">
        <v>105.29</v>
      </c>
      <c r="J3076" s="87">
        <f t="shared" si="2"/>
        <v>0</v>
      </c>
      <c r="K3076" s="84" t="str">
        <f t="shared" si="3"/>
        <v>Stabil</v>
      </c>
      <c r="L3076" s="84">
        <f t="shared" si="4"/>
        <v>0</v>
      </c>
      <c r="M3076" s="88" t="str">
        <f t="shared" si="5"/>
        <v>Perubahan Normal</v>
      </c>
    </row>
    <row r="3077" ht="18.75" customHeight="1">
      <c r="A3077" s="80" t="s">
        <v>618</v>
      </c>
      <c r="B3077" s="81" t="str">
        <f t="shared" si="6"/>
        <v>Kota Tangerang</v>
      </c>
      <c r="C3077" s="81" t="str">
        <f t="array" ref="C3077">XLOOKUP(B3077,Reference!$A$2:$A$152,Reference!$B$2:$B$152)</f>
        <v>Banten</v>
      </c>
      <c r="D3077" s="82" t="s">
        <v>3516</v>
      </c>
      <c r="E3077" s="83">
        <v>45352.0</v>
      </c>
      <c r="F3077" s="84" t="str">
        <f t="array" ref="F3077">XLOOKUP(G3077,Reference!$F:$F,Reference!$D:$D,"null")</f>
        <v>Makanan dan Pakaian </v>
      </c>
      <c r="G3077" s="85" t="s">
        <v>56</v>
      </c>
      <c r="H3077" s="86">
        <v>105.83</v>
      </c>
      <c r="I3077" s="86">
        <v>103.62</v>
      </c>
      <c r="J3077" s="87">
        <f t="shared" si="2"/>
        <v>2.132792897</v>
      </c>
      <c r="K3077" s="84" t="str">
        <f t="shared" si="3"/>
        <v>Inflasi Tinggi</v>
      </c>
      <c r="L3077" s="84">
        <f t="shared" si="4"/>
        <v>2.21</v>
      </c>
      <c r="M3077" s="88" t="str">
        <f t="shared" si="5"/>
        <v>Akselerasi Kuat</v>
      </c>
    </row>
    <row r="3078" ht="18.75" customHeight="1">
      <c r="A3078" s="80" t="s">
        <v>431</v>
      </c>
      <c r="B3078" s="81" t="str">
        <f t="shared" si="6"/>
        <v>Kota Ternate</v>
      </c>
      <c r="C3078" s="81" t="str">
        <f t="array" ref="C3078">XLOOKUP(B3078,Reference!$A$2:$A$152,Reference!$B$2:$B$152)</f>
        <v>Maluku Utara</v>
      </c>
      <c r="D3078" s="82" t="s">
        <v>3517</v>
      </c>
      <c r="E3078" s="83">
        <v>45352.0</v>
      </c>
      <c r="F3078" s="84" t="str">
        <f t="array" ref="F3078">XLOOKUP(G3078,Reference!$F:$F,Reference!$D:$D,"null")</f>
        <v>Pendidikan dan Kesehatan</v>
      </c>
      <c r="G3078" s="85" t="s">
        <v>98</v>
      </c>
      <c r="H3078" s="86">
        <v>102.83</v>
      </c>
      <c r="I3078" s="86">
        <v>102.83</v>
      </c>
      <c r="J3078" s="87">
        <f t="shared" si="2"/>
        <v>0</v>
      </c>
      <c r="K3078" s="84" t="str">
        <f t="shared" si="3"/>
        <v>Stabil</v>
      </c>
      <c r="L3078" s="84">
        <f t="shared" si="4"/>
        <v>0</v>
      </c>
      <c r="M3078" s="88" t="str">
        <f t="shared" si="5"/>
        <v>Perubahan Normal</v>
      </c>
    </row>
    <row r="3079" ht="18.75" customHeight="1">
      <c r="A3079" s="80" t="s">
        <v>395</v>
      </c>
      <c r="B3079" s="81" t="str">
        <f t="shared" si="6"/>
        <v>Kota Bukittinggi</v>
      </c>
      <c r="C3079" s="81" t="str">
        <f t="array" ref="C3079">XLOOKUP(B3079,Reference!$A$2:$A$152,Reference!$B$2:$B$152)</f>
        <v>Sumatera Barat</v>
      </c>
      <c r="D3079" s="82" t="s">
        <v>3518</v>
      </c>
      <c r="E3079" s="83">
        <v>45323.0</v>
      </c>
      <c r="F3079" s="84" t="str">
        <f t="array" ref="F3079">XLOOKUP(G3079,Reference!$F:$F,Reference!$D:$D,"null")</f>
        <v>Pendidikan dan Kesehatan</v>
      </c>
      <c r="G3079" s="85" t="s">
        <v>95</v>
      </c>
      <c r="H3079" s="86">
        <v>105.88</v>
      </c>
      <c r="I3079" s="86">
        <v>105.88</v>
      </c>
      <c r="J3079" s="87">
        <f t="shared" si="2"/>
        <v>0</v>
      </c>
      <c r="K3079" s="84" t="str">
        <f t="shared" si="3"/>
        <v>Stabil</v>
      </c>
      <c r="L3079" s="84">
        <f t="shared" si="4"/>
        <v>0</v>
      </c>
      <c r="M3079" s="88" t="str">
        <f t="shared" si="5"/>
        <v>Perubahan Normal</v>
      </c>
    </row>
    <row r="3080" ht="18.75" customHeight="1">
      <c r="A3080" s="80" t="s">
        <v>456</v>
      </c>
      <c r="B3080" s="81" t="str">
        <f t="shared" si="6"/>
        <v>Kab Aceh Tamiang</v>
      </c>
      <c r="C3080" s="81" t="str">
        <f t="array" ref="C3080">XLOOKUP(B3080,Reference!$A$2:$A$152,Reference!$B$2:$B$152)</f>
        <v>Aceh</v>
      </c>
      <c r="D3080" s="82" t="s">
        <v>3519</v>
      </c>
      <c r="E3080" s="83">
        <v>45323.0</v>
      </c>
      <c r="F3080" s="84" t="str">
        <f t="array" ref="F3080">XLOOKUP(G3080,Reference!$F:$F,Reference!$D:$D,"null")</f>
        <v>Makanan dan Pakaian </v>
      </c>
      <c r="G3080" s="85" t="s">
        <v>64</v>
      </c>
      <c r="H3080" s="86">
        <v>109.37</v>
      </c>
      <c r="I3080" s="86">
        <v>109.23</v>
      </c>
      <c r="J3080" s="87">
        <f t="shared" si="2"/>
        <v>0.1281699167</v>
      </c>
      <c r="K3080" s="84" t="str">
        <f t="shared" si="3"/>
        <v>Inflasi Normal</v>
      </c>
      <c r="L3080" s="84">
        <f t="shared" si="4"/>
        <v>0.14</v>
      </c>
      <c r="M3080" s="88" t="str">
        <f t="shared" si="5"/>
        <v>Perubahan Normal</v>
      </c>
    </row>
    <row r="3081" ht="18.75" customHeight="1">
      <c r="A3081" s="80" t="s">
        <v>734</v>
      </c>
      <c r="B3081" s="81" t="str">
        <f t="shared" si="6"/>
        <v>Kota Tegal</v>
      </c>
      <c r="C3081" s="81" t="str">
        <f t="array" ref="C3081">XLOOKUP(B3081,Reference!$A$2:$A$152,Reference!$B$2:$B$152)</f>
        <v>Jawa Tengah</v>
      </c>
      <c r="D3081" s="82" t="s">
        <v>3520</v>
      </c>
      <c r="E3081" s="83">
        <v>45323.0</v>
      </c>
      <c r="F3081" s="84" t="str">
        <f t="array" ref="F3081">XLOOKUP(G3081,Reference!$F:$F,Reference!$D:$D,"null")</f>
        <v>Makanan dan Pakaian </v>
      </c>
      <c r="G3081" s="85" t="s">
        <v>72</v>
      </c>
      <c r="H3081" s="86">
        <v>101.29</v>
      </c>
      <c r="I3081" s="86">
        <v>101.29</v>
      </c>
      <c r="J3081" s="87">
        <f t="shared" si="2"/>
        <v>0</v>
      </c>
      <c r="K3081" s="84" t="str">
        <f t="shared" si="3"/>
        <v>Stabil</v>
      </c>
      <c r="L3081" s="84">
        <f t="shared" si="4"/>
        <v>0</v>
      </c>
      <c r="M3081" s="88" t="str">
        <f t="shared" si="5"/>
        <v>Perubahan Normal</v>
      </c>
    </row>
    <row r="3082" ht="18.75" customHeight="1">
      <c r="A3082" s="80" t="s">
        <v>419</v>
      </c>
      <c r="B3082" s="81" t="str">
        <f t="shared" si="6"/>
        <v>Kota Singkawang</v>
      </c>
      <c r="C3082" s="81" t="str">
        <f t="array" ref="C3082">XLOOKUP(B3082,Reference!$A$2:$A$152,Reference!$B$2:$B$152)</f>
        <v>Kalimantan Barat</v>
      </c>
      <c r="D3082" s="82" t="s">
        <v>3521</v>
      </c>
      <c r="E3082" s="83">
        <v>45352.0</v>
      </c>
      <c r="F3082" s="84" t="str">
        <f t="array" ref="F3082">XLOOKUP(G3082,Reference!$F:$F,Reference!$D:$D,"null")</f>
        <v>Rekreasi dan Kendaraan</v>
      </c>
      <c r="G3082" s="85" t="s">
        <v>102</v>
      </c>
      <c r="H3082" s="86">
        <v>102.17</v>
      </c>
      <c r="I3082" s="86">
        <v>101.73</v>
      </c>
      <c r="J3082" s="87">
        <f t="shared" si="2"/>
        <v>0.4325174481</v>
      </c>
      <c r="K3082" s="84" t="str">
        <f t="shared" si="3"/>
        <v>Inflasi Normal</v>
      </c>
      <c r="L3082" s="84">
        <f t="shared" si="4"/>
        <v>0.44</v>
      </c>
      <c r="M3082" s="88" t="str">
        <f t="shared" si="5"/>
        <v>Perubahan Normal</v>
      </c>
    </row>
    <row r="3083" ht="18.75" customHeight="1">
      <c r="A3083" s="80" t="s">
        <v>445</v>
      </c>
      <c r="B3083" s="81" t="str">
        <f t="shared" si="6"/>
        <v>Kab Bangka Barat</v>
      </c>
      <c r="C3083" s="81" t="str">
        <f t="array" ref="C3083">XLOOKUP(B3083,Reference!$A$2:$A$152,Reference!$B$2:$B$152)</f>
        <v>Kepulauan Bangka Belitung</v>
      </c>
      <c r="D3083" s="82" t="s">
        <v>3522</v>
      </c>
      <c r="E3083" s="83">
        <v>45352.0</v>
      </c>
      <c r="F3083" s="84" t="str">
        <f t="array" ref="F3083">XLOOKUP(G3083,Reference!$F:$F,Reference!$D:$D,"null")</f>
        <v>Rumah Tangga</v>
      </c>
      <c r="G3083" s="85" t="s">
        <v>89</v>
      </c>
      <c r="H3083" s="86">
        <v>103.19</v>
      </c>
      <c r="I3083" s="86">
        <v>103.19</v>
      </c>
      <c r="J3083" s="87">
        <f t="shared" si="2"/>
        <v>0</v>
      </c>
      <c r="K3083" s="84" t="str">
        <f t="shared" si="3"/>
        <v>Stabil</v>
      </c>
      <c r="L3083" s="84">
        <f t="shared" si="4"/>
        <v>0</v>
      </c>
      <c r="M3083" s="88" t="str">
        <f t="shared" si="5"/>
        <v>Perubahan Normal</v>
      </c>
    </row>
    <row r="3084" ht="18.75" customHeight="1">
      <c r="A3084" s="80" t="s">
        <v>360</v>
      </c>
      <c r="B3084" s="81" t="str">
        <f t="shared" si="6"/>
        <v>Kab Wonosobo</v>
      </c>
      <c r="C3084" s="81" t="str">
        <f t="array" ref="C3084">XLOOKUP(B3084,Reference!$A$2:$A$152,Reference!$B$2:$B$152)</f>
        <v>Jawa Tengah</v>
      </c>
      <c r="D3084" s="82" t="s">
        <v>3523</v>
      </c>
      <c r="E3084" s="83">
        <v>45323.0</v>
      </c>
      <c r="F3084" s="84" t="str">
        <f t="array" ref="F3084">XLOOKUP(G3084,Reference!$F:$F,Reference!$D:$D,"null")</f>
        <v>Makanan dan Pakaian </v>
      </c>
      <c r="G3084" s="85" t="s">
        <v>72</v>
      </c>
      <c r="H3084" s="86">
        <v>104.05</v>
      </c>
      <c r="I3084" s="86">
        <v>104.05</v>
      </c>
      <c r="J3084" s="87">
        <f t="shared" si="2"/>
        <v>0</v>
      </c>
      <c r="K3084" s="84" t="str">
        <f t="shared" si="3"/>
        <v>Stabil</v>
      </c>
      <c r="L3084" s="84">
        <f t="shared" si="4"/>
        <v>0</v>
      </c>
      <c r="M3084" s="88" t="str">
        <f t="shared" si="5"/>
        <v>Perubahan Normal</v>
      </c>
    </row>
    <row r="3085" ht="18.75" customHeight="1">
      <c r="A3085" s="80" t="s">
        <v>342</v>
      </c>
      <c r="B3085" s="81" t="str">
        <f t="shared" si="6"/>
        <v>Kab Bandung</v>
      </c>
      <c r="C3085" s="81" t="str">
        <f t="array" ref="C3085">XLOOKUP(B3085,Reference!$A$2:$A$152,Reference!$B$2:$B$152)</f>
        <v>Jawa Barat</v>
      </c>
      <c r="D3085" s="82" t="s">
        <v>3524</v>
      </c>
      <c r="E3085" s="83">
        <v>45323.0</v>
      </c>
      <c r="F3085" s="84" t="str">
        <f t="array" ref="F3085">XLOOKUP(G3085,Reference!$F:$F,Reference!$D:$D,"null")</f>
        <v>Rekreasi dan Kendaraan</v>
      </c>
      <c r="G3085" s="85" t="s">
        <v>105</v>
      </c>
      <c r="H3085" s="86">
        <v>97.42</v>
      </c>
      <c r="I3085" s="86">
        <v>97.42</v>
      </c>
      <c r="J3085" s="87">
        <f t="shared" si="2"/>
        <v>0</v>
      </c>
      <c r="K3085" s="84" t="str">
        <f t="shared" si="3"/>
        <v>Stabil</v>
      </c>
      <c r="L3085" s="84">
        <f t="shared" si="4"/>
        <v>0</v>
      </c>
      <c r="M3085" s="88" t="str">
        <f t="shared" si="5"/>
        <v>Perubahan Normal</v>
      </c>
    </row>
    <row r="3086" ht="18.75" customHeight="1">
      <c r="A3086" s="80" t="s">
        <v>384</v>
      </c>
      <c r="B3086" s="81" t="str">
        <f t="shared" si="6"/>
        <v>Kab Lebak</v>
      </c>
      <c r="C3086" s="81" t="str">
        <f t="array" ref="C3086">XLOOKUP(B3086,Reference!$A$2:$A$152,Reference!$B$2:$B$152)</f>
        <v>Banten</v>
      </c>
      <c r="D3086" s="82" t="s">
        <v>3525</v>
      </c>
      <c r="E3086" s="83">
        <v>45352.0</v>
      </c>
      <c r="F3086" s="84" t="str">
        <f t="array" ref="F3086">XLOOKUP(G3086,Reference!$F:$F,Reference!$D:$D,"null")</f>
        <v>Rumah Tangga</v>
      </c>
      <c r="G3086" s="85" t="s">
        <v>89</v>
      </c>
      <c r="H3086" s="86">
        <v>104.29</v>
      </c>
      <c r="I3086" s="86">
        <v>103.83</v>
      </c>
      <c r="J3086" s="87">
        <f t="shared" si="2"/>
        <v>0.443031879</v>
      </c>
      <c r="K3086" s="84" t="str">
        <f t="shared" si="3"/>
        <v>Inflasi Normal</v>
      </c>
      <c r="L3086" s="84">
        <f t="shared" si="4"/>
        <v>0.46</v>
      </c>
      <c r="M3086" s="88" t="str">
        <f t="shared" si="5"/>
        <v>Perubahan Normal</v>
      </c>
    </row>
    <row r="3087" ht="18.75" customHeight="1">
      <c r="A3087" s="80" t="s">
        <v>358</v>
      </c>
      <c r="B3087" s="81" t="str">
        <f t="shared" si="6"/>
        <v>Kab Minahasa Utara</v>
      </c>
      <c r="C3087" s="81" t="str">
        <f t="array" ref="C3087">XLOOKUP(B3087,Reference!$A$2:$A$152,Reference!$B$2:$B$152)</f>
        <v>Sulawesi Utara</v>
      </c>
      <c r="D3087" s="82" t="s">
        <v>3526</v>
      </c>
      <c r="E3087" s="83">
        <v>45323.0</v>
      </c>
      <c r="F3087" s="84" t="str">
        <f t="array" ref="F3087">XLOOKUP(G3087,Reference!$F:$F,Reference!$D:$D,"null")</f>
        <v>Makanan dan Pakaian </v>
      </c>
      <c r="G3087" s="85" t="s">
        <v>56</v>
      </c>
      <c r="H3087" s="86">
        <v>99.11</v>
      </c>
      <c r="I3087" s="86">
        <v>99.1</v>
      </c>
      <c r="J3087" s="87">
        <f t="shared" si="2"/>
        <v>0.01009081736</v>
      </c>
      <c r="K3087" s="84" t="str">
        <f t="shared" si="3"/>
        <v>Inflasi Normal</v>
      </c>
      <c r="L3087" s="84">
        <f t="shared" si="4"/>
        <v>0.01</v>
      </c>
      <c r="M3087" s="88" t="str">
        <f t="shared" si="5"/>
        <v>Perubahan Normal</v>
      </c>
    </row>
    <row r="3088" ht="18.75" customHeight="1">
      <c r="A3088" s="80" t="s">
        <v>404</v>
      </c>
      <c r="B3088" s="81" t="str">
        <f t="shared" si="6"/>
        <v>Kab Mesuji</v>
      </c>
      <c r="C3088" s="81" t="str">
        <f t="array" ref="C3088">XLOOKUP(B3088,Reference!$A$2:$A$152,Reference!$B$2:$B$152)</f>
        <v>Lampung</v>
      </c>
      <c r="D3088" s="82" t="s">
        <v>3527</v>
      </c>
      <c r="E3088" s="83">
        <v>45352.0</v>
      </c>
      <c r="F3088" s="84" t="str">
        <f t="array" ref="F3088">XLOOKUP(G3088,Reference!$F:$F,Reference!$D:$D,"null")</f>
        <v>Pendidikan dan Kesehatan</v>
      </c>
      <c r="G3088" s="85" t="s">
        <v>95</v>
      </c>
      <c r="H3088" s="86">
        <v>100.64</v>
      </c>
      <c r="I3088" s="86">
        <v>100.64</v>
      </c>
      <c r="J3088" s="87">
        <f t="shared" si="2"/>
        <v>0</v>
      </c>
      <c r="K3088" s="84" t="str">
        <f t="shared" si="3"/>
        <v>Stabil</v>
      </c>
      <c r="L3088" s="84">
        <f t="shared" si="4"/>
        <v>0</v>
      </c>
      <c r="M3088" s="88" t="str">
        <f t="shared" si="5"/>
        <v>Perubahan Normal</v>
      </c>
    </row>
    <row r="3089" ht="18.75" customHeight="1">
      <c r="A3089" s="80" t="s">
        <v>485</v>
      </c>
      <c r="B3089" s="81" t="str">
        <f t="shared" si="6"/>
        <v>Banyuwangi</v>
      </c>
      <c r="C3089" s="81" t="str">
        <f t="array" ref="C3089">XLOOKUP(B3089,Reference!$A$2:$A$152,Reference!$B$2:$B$152)</f>
        <v>Jawa Timur</v>
      </c>
      <c r="D3089" s="82" t="s">
        <v>3528</v>
      </c>
      <c r="E3089" s="83">
        <v>45352.0</v>
      </c>
      <c r="F3089" s="84" t="str">
        <f t="array" ref="F3089">XLOOKUP(G3089,Reference!$F:$F,Reference!$D:$D,"null")</f>
        <v>Makanan dan Pakaian </v>
      </c>
      <c r="G3089" s="85" t="s">
        <v>72</v>
      </c>
      <c r="H3089" s="86">
        <v>100.55</v>
      </c>
      <c r="I3089" s="86">
        <v>100.45</v>
      </c>
      <c r="J3089" s="87">
        <f t="shared" si="2"/>
        <v>0.09955201593</v>
      </c>
      <c r="K3089" s="84" t="str">
        <f t="shared" si="3"/>
        <v>Inflasi Normal</v>
      </c>
      <c r="L3089" s="84">
        <f t="shared" si="4"/>
        <v>0.1</v>
      </c>
      <c r="M3089" s="88" t="str">
        <f t="shared" si="5"/>
        <v>Perubahan Normal</v>
      </c>
    </row>
    <row r="3090" ht="18.75" customHeight="1">
      <c r="A3090" s="80" t="s">
        <v>822</v>
      </c>
      <c r="B3090" s="81" t="str">
        <f t="shared" si="6"/>
        <v>Kota Pontianak</v>
      </c>
      <c r="C3090" s="81" t="str">
        <f t="array" ref="C3090">XLOOKUP(B3090,Reference!$A$2:$A$152,Reference!$B$2:$B$152)</f>
        <v>Kalimantan Barat</v>
      </c>
      <c r="D3090" s="82" t="s">
        <v>3529</v>
      </c>
      <c r="E3090" s="83">
        <v>45323.0</v>
      </c>
      <c r="F3090" s="84" t="str">
        <f t="array" ref="F3090">XLOOKUP(G3090,Reference!$F:$F,Reference!$D:$D,"null")</f>
        <v>Rumah Tangga</v>
      </c>
      <c r="G3090" s="85" t="s">
        <v>80</v>
      </c>
      <c r="H3090" s="86">
        <v>101.55</v>
      </c>
      <c r="I3090" s="86">
        <v>101.55</v>
      </c>
      <c r="J3090" s="87">
        <f t="shared" si="2"/>
        <v>0</v>
      </c>
      <c r="K3090" s="84" t="str">
        <f t="shared" si="3"/>
        <v>Stabil</v>
      </c>
      <c r="L3090" s="84">
        <f t="shared" si="4"/>
        <v>0</v>
      </c>
      <c r="M3090" s="88" t="str">
        <f t="shared" si="5"/>
        <v>Perubahan Normal</v>
      </c>
    </row>
    <row r="3091" ht="18.75" customHeight="1">
      <c r="A3091" s="80" t="s">
        <v>468</v>
      </c>
      <c r="B3091" s="81" t="str">
        <f t="shared" si="6"/>
        <v>Timika</v>
      </c>
      <c r="C3091" s="81" t="str">
        <f t="array" ref="C3091">XLOOKUP(B3091,Reference!$A$2:$A$152,Reference!$B$2:$B$152)</f>
        <v>Papua</v>
      </c>
      <c r="D3091" s="82" t="s">
        <v>3530</v>
      </c>
      <c r="E3091" s="83">
        <v>45323.0</v>
      </c>
      <c r="F3091" s="84" t="str">
        <f t="array" ref="F3091">XLOOKUP(G3091,Reference!$F:$F,Reference!$D:$D,"null")</f>
        <v>Makanan dan Pakaian </v>
      </c>
      <c r="G3091" s="85" t="s">
        <v>64</v>
      </c>
      <c r="H3091" s="86">
        <v>101.48</v>
      </c>
      <c r="I3091" s="86">
        <v>101.26</v>
      </c>
      <c r="J3091" s="87">
        <f t="shared" si="2"/>
        <v>0.2172624926</v>
      </c>
      <c r="K3091" s="84" t="str">
        <f t="shared" si="3"/>
        <v>Inflasi Normal</v>
      </c>
      <c r="L3091" s="84">
        <f t="shared" si="4"/>
        <v>0.22</v>
      </c>
      <c r="M3091" s="88" t="str">
        <f t="shared" si="5"/>
        <v>Perubahan Normal</v>
      </c>
    </row>
    <row r="3092" ht="18.75" customHeight="1">
      <c r="A3092" s="80" t="s">
        <v>448</v>
      </c>
      <c r="B3092" s="81" t="str">
        <f t="shared" si="6"/>
        <v>Tanjung Selor</v>
      </c>
      <c r="C3092" s="81" t="str">
        <f t="array" ref="C3092">XLOOKUP(B3092,Reference!$A$2:$A$152,Reference!$B$2:$B$152)</f>
        <v>Kalimantan Utara</v>
      </c>
      <c r="D3092" s="82" t="s">
        <v>3531</v>
      </c>
      <c r="E3092" s="83">
        <v>45352.0</v>
      </c>
      <c r="F3092" s="84" t="str">
        <f t="array" ref="F3092">XLOOKUP(G3092,Reference!$F:$F,Reference!$D:$D,"null")</f>
        <v>Makanan dan Pakaian </v>
      </c>
      <c r="G3092" s="85" t="s">
        <v>48</v>
      </c>
      <c r="H3092" s="86">
        <v>109.1</v>
      </c>
      <c r="I3092" s="86">
        <v>107.83</v>
      </c>
      <c r="J3092" s="87">
        <f t="shared" si="2"/>
        <v>1.177779839</v>
      </c>
      <c r="K3092" s="84" t="str">
        <f t="shared" si="3"/>
        <v>Inflasi Tinggi</v>
      </c>
      <c r="L3092" s="84">
        <f t="shared" si="4"/>
        <v>1.27</v>
      </c>
      <c r="M3092" s="88" t="str">
        <f t="shared" si="5"/>
        <v>Akselerasi Persentase</v>
      </c>
    </row>
    <row r="3093" ht="18.75" customHeight="1">
      <c r="A3093" s="80" t="s">
        <v>814</v>
      </c>
      <c r="B3093" s="81" t="str">
        <f t="shared" si="6"/>
        <v>Kota Samarinda</v>
      </c>
      <c r="C3093" s="81" t="str">
        <f t="array" ref="C3093">XLOOKUP(B3093,Reference!$A$2:$A$152,Reference!$B$2:$B$152)</f>
        <v>Kalimantan Timur</v>
      </c>
      <c r="D3093" s="82" t="s">
        <v>3532</v>
      </c>
      <c r="E3093" s="83">
        <v>45352.0</v>
      </c>
      <c r="F3093" s="84" t="str">
        <f t="array" ref="F3093">XLOOKUP(G3093,Reference!$F:$F,Reference!$D:$D,"null")</f>
        <v>Rumah Tangga</v>
      </c>
      <c r="G3093" s="85" t="s">
        <v>84</v>
      </c>
      <c r="H3093" s="86">
        <v>99.54</v>
      </c>
      <c r="I3093" s="86">
        <v>99.71</v>
      </c>
      <c r="J3093" s="87">
        <f t="shared" si="2"/>
        <v>-0.1704944339</v>
      </c>
      <c r="K3093" s="84" t="str">
        <f t="shared" si="3"/>
        <v>Deflasi</v>
      </c>
      <c r="L3093" s="84">
        <f t="shared" si="4"/>
        <v>-0.17</v>
      </c>
      <c r="M3093" s="88" t="str">
        <f t="shared" si="5"/>
        <v>Perubahan Normal</v>
      </c>
    </row>
    <row r="3094" ht="18.75" customHeight="1">
      <c r="A3094" s="80" t="s">
        <v>490</v>
      </c>
      <c r="B3094" s="81" t="str">
        <f t="shared" si="6"/>
        <v>Kab Kerinci</v>
      </c>
      <c r="C3094" s="81" t="str">
        <f t="array" ref="C3094">XLOOKUP(B3094,Reference!$A$2:$A$152,Reference!$B$2:$B$152)</f>
        <v>Jambi</v>
      </c>
      <c r="D3094" s="82" t="s">
        <v>3533</v>
      </c>
      <c r="E3094" s="83">
        <v>45323.0</v>
      </c>
      <c r="F3094" s="84" t="str">
        <f t="array" ref="F3094">XLOOKUP(G3094,Reference!$F:$F,Reference!$D:$D,"null")</f>
        <v>Makanan dan Pakaian </v>
      </c>
      <c r="G3094" s="85" t="s">
        <v>56</v>
      </c>
      <c r="H3094" s="86">
        <v>109.8</v>
      </c>
      <c r="I3094" s="86">
        <v>109.8</v>
      </c>
      <c r="J3094" s="87">
        <f t="shared" si="2"/>
        <v>0</v>
      </c>
      <c r="K3094" s="84" t="str">
        <f t="shared" si="3"/>
        <v>Stabil</v>
      </c>
      <c r="L3094" s="84">
        <f t="shared" si="4"/>
        <v>0</v>
      </c>
      <c r="M3094" s="88" t="str">
        <f t="shared" si="5"/>
        <v>Perubahan Normal</v>
      </c>
    </row>
    <row r="3095" ht="18.75" customHeight="1">
      <c r="A3095" s="80" t="s">
        <v>578</v>
      </c>
      <c r="B3095" s="81" t="str">
        <f t="shared" si="6"/>
        <v>Kab Belitung Timur</v>
      </c>
      <c r="C3095" s="81" t="str">
        <f t="array" ref="C3095">XLOOKUP(B3095,Reference!$A$2:$A$152,Reference!$B$2:$B$152)</f>
        <v>Kepulauan Bangka Belitung</v>
      </c>
      <c r="D3095" s="82" t="s">
        <v>3534</v>
      </c>
      <c r="E3095" s="83">
        <v>45352.0</v>
      </c>
      <c r="F3095" s="84" t="str">
        <f t="array" ref="F3095">XLOOKUP(G3095,Reference!$F:$F,Reference!$D:$D,"null")</f>
        <v>Makanan dan Pakaian </v>
      </c>
      <c r="G3095" s="85" t="s">
        <v>48</v>
      </c>
      <c r="H3095" s="86">
        <v>99.45</v>
      </c>
      <c r="I3095" s="86">
        <v>98.61</v>
      </c>
      <c r="J3095" s="87">
        <f t="shared" si="2"/>
        <v>0.8518405841</v>
      </c>
      <c r="K3095" s="84" t="str">
        <f t="shared" si="3"/>
        <v>Inflasi Tinggi</v>
      </c>
      <c r="L3095" s="84">
        <f t="shared" si="4"/>
        <v>0.84</v>
      </c>
      <c r="M3095" s="88" t="str">
        <f t="shared" si="5"/>
        <v>Akselerasi Persentase</v>
      </c>
    </row>
    <row r="3096" ht="18.75" customHeight="1">
      <c r="A3096" s="80" t="s">
        <v>367</v>
      </c>
      <c r="B3096" s="81" t="str">
        <f t="shared" si="6"/>
        <v>Kota Jambi</v>
      </c>
      <c r="C3096" s="81" t="str">
        <f t="array" ref="C3096">XLOOKUP(B3096,Reference!$A$2:$A$152,Reference!$B$2:$B$152)</f>
        <v>Jambi</v>
      </c>
      <c r="D3096" s="82" t="s">
        <v>3535</v>
      </c>
      <c r="E3096" s="83">
        <v>45352.0</v>
      </c>
      <c r="F3096" s="84" t="str">
        <f t="array" ref="F3096">XLOOKUP(G3096,Reference!$F:$F,Reference!$D:$D,"null")</f>
        <v>Rekreasi dan Kendaraan</v>
      </c>
      <c r="G3096" s="85" t="s">
        <v>105</v>
      </c>
      <c r="H3096" s="86">
        <v>103.74</v>
      </c>
      <c r="I3096" s="86">
        <v>103.41</v>
      </c>
      <c r="J3096" s="87">
        <f t="shared" si="2"/>
        <v>0.3191180737</v>
      </c>
      <c r="K3096" s="84" t="str">
        <f t="shared" si="3"/>
        <v>Inflasi Normal</v>
      </c>
      <c r="L3096" s="84">
        <f t="shared" si="4"/>
        <v>0.33</v>
      </c>
      <c r="M3096" s="88" t="str">
        <f t="shared" si="5"/>
        <v>Perubahan Normal</v>
      </c>
    </row>
    <row r="3097" ht="18.75" customHeight="1">
      <c r="A3097" s="80" t="s">
        <v>1282</v>
      </c>
      <c r="B3097" s="81" t="str">
        <f t="shared" si="6"/>
        <v>Kota Bima</v>
      </c>
      <c r="C3097" s="81" t="str">
        <f t="array" ref="C3097">XLOOKUP(B3097,Reference!$A$2:$A$152,Reference!$B$2:$B$152)</f>
        <v>Nusa Tenggara Barat (NTB)</v>
      </c>
      <c r="D3097" s="82" t="s">
        <v>3536</v>
      </c>
      <c r="E3097" s="83">
        <v>45323.0</v>
      </c>
      <c r="F3097" s="84" t="str">
        <f t="array" ref="F3097">XLOOKUP(G3097,Reference!$F:$F,Reference!$D:$D,"null")</f>
        <v>Makanan dan Pakaian </v>
      </c>
      <c r="G3097" s="89" t="s">
        <v>48</v>
      </c>
      <c r="H3097" s="90">
        <v>107.13</v>
      </c>
      <c r="I3097" s="90">
        <v>106.89</v>
      </c>
      <c r="J3097" s="87">
        <f t="shared" si="2"/>
        <v>0.2245298905</v>
      </c>
      <c r="K3097" s="84" t="str">
        <f t="shared" si="3"/>
        <v>Inflasi Normal</v>
      </c>
      <c r="L3097" s="91">
        <f t="shared" si="4"/>
        <v>0.24</v>
      </c>
      <c r="M3097" s="88" t="str">
        <f t="shared" si="5"/>
        <v>Perubahan Normal</v>
      </c>
    </row>
    <row r="3098" ht="18.75" customHeight="1">
      <c r="A3098" s="80" t="s">
        <v>841</v>
      </c>
      <c r="B3098" s="81" t="str">
        <f t="shared" si="6"/>
        <v>Kab Morowali</v>
      </c>
      <c r="C3098" s="81" t="str">
        <f t="array" ref="C3098">XLOOKUP(B3098,Reference!$A$2:$A$152,Reference!$B$2:$B$152)</f>
        <v>Sulawesi Tengah</v>
      </c>
      <c r="D3098" s="82" t="s">
        <v>3537</v>
      </c>
      <c r="E3098" s="83">
        <v>45323.0</v>
      </c>
      <c r="F3098" s="84" t="str">
        <f t="array" ref="F3098">XLOOKUP(G3098,Reference!$F:$F,Reference!$D:$D,"null")</f>
        <v>Rekreasi dan Kendaraan</v>
      </c>
      <c r="G3098" s="85" t="s">
        <v>105</v>
      </c>
      <c r="H3098" s="86">
        <v>100.67</v>
      </c>
      <c r="I3098" s="86">
        <v>100.67</v>
      </c>
      <c r="J3098" s="87">
        <f t="shared" si="2"/>
        <v>0</v>
      </c>
      <c r="K3098" s="84" t="str">
        <f t="shared" si="3"/>
        <v>Stabil</v>
      </c>
      <c r="L3098" s="84">
        <f t="shared" si="4"/>
        <v>0</v>
      </c>
      <c r="M3098" s="88" t="str">
        <f t="shared" si="5"/>
        <v>Perubahan Normal</v>
      </c>
    </row>
    <row r="3099" ht="18.75" customHeight="1">
      <c r="A3099" s="80" t="s">
        <v>312</v>
      </c>
      <c r="B3099" s="81" t="str">
        <f t="shared" si="6"/>
        <v>Kab Jayawijaya</v>
      </c>
      <c r="C3099" s="81" t="str">
        <f t="array" ref="C3099">XLOOKUP(B3099,Reference!$A$2:$A$152,Reference!$B$2:$B$152)</f>
        <v>Papua</v>
      </c>
      <c r="D3099" s="82" t="s">
        <v>3538</v>
      </c>
      <c r="E3099" s="83">
        <v>45323.0</v>
      </c>
      <c r="F3099" s="84" t="str">
        <f t="array" ref="F3099">XLOOKUP(G3099,Reference!$F:$F,Reference!$D:$D,"null")</f>
        <v>Makanan dan Pakaian </v>
      </c>
      <c r="G3099" s="85" t="s">
        <v>64</v>
      </c>
      <c r="H3099" s="86">
        <v>103.99</v>
      </c>
      <c r="I3099" s="86">
        <v>103.7</v>
      </c>
      <c r="J3099" s="87">
        <f t="shared" si="2"/>
        <v>0.2796528447</v>
      </c>
      <c r="K3099" s="84" t="str">
        <f t="shared" si="3"/>
        <v>Inflasi Normal</v>
      </c>
      <c r="L3099" s="84">
        <f t="shared" si="4"/>
        <v>0.29</v>
      </c>
      <c r="M3099" s="88" t="str">
        <f t="shared" si="5"/>
        <v>Perubahan Normal</v>
      </c>
    </row>
    <row r="3100" ht="18.75" customHeight="1">
      <c r="A3100" s="80" t="s">
        <v>425</v>
      </c>
      <c r="B3100" s="81" t="str">
        <f t="shared" si="6"/>
        <v>Kab Gorontalo</v>
      </c>
      <c r="C3100" s="81" t="str">
        <f t="array" ref="C3100">XLOOKUP(B3100,Reference!$A$2:$A$152,Reference!$B$2:$B$152)</f>
        <v>Gorontalo</v>
      </c>
      <c r="D3100" s="82" t="s">
        <v>3539</v>
      </c>
      <c r="E3100" s="83">
        <v>45323.0</v>
      </c>
      <c r="F3100" s="84" t="str">
        <f t="array" ref="F3100">XLOOKUP(G3100,Reference!$F:$F,Reference!$D:$D,"null")</f>
        <v>Pendidikan dan Kesehatan</v>
      </c>
      <c r="G3100" s="85" t="s">
        <v>95</v>
      </c>
      <c r="H3100" s="86">
        <v>100.08</v>
      </c>
      <c r="I3100" s="86">
        <v>100.08</v>
      </c>
      <c r="J3100" s="87">
        <f t="shared" si="2"/>
        <v>0</v>
      </c>
      <c r="K3100" s="84" t="str">
        <f t="shared" si="3"/>
        <v>Stabil</v>
      </c>
      <c r="L3100" s="84">
        <f t="shared" si="4"/>
        <v>0</v>
      </c>
      <c r="M3100" s="88" t="str">
        <f t="shared" si="5"/>
        <v>Perubahan Normal</v>
      </c>
    </row>
    <row r="3101" ht="18.75" customHeight="1">
      <c r="A3101" s="80" t="s">
        <v>492</v>
      </c>
      <c r="B3101" s="81" t="str">
        <f t="shared" si="6"/>
        <v>Kota Cilegon</v>
      </c>
      <c r="C3101" s="81" t="str">
        <f t="array" ref="C3101">XLOOKUP(B3101,Reference!$A$2:$A$152,Reference!$B$2:$B$152)</f>
        <v>Banten</v>
      </c>
      <c r="D3101" s="82" t="s">
        <v>3540</v>
      </c>
      <c r="E3101" s="83">
        <v>45323.0</v>
      </c>
      <c r="F3101" s="84" t="str">
        <f t="array" ref="F3101">XLOOKUP(G3101,Reference!$F:$F,Reference!$D:$D,"null")</f>
        <v>Rumah Tangga</v>
      </c>
      <c r="G3101" s="85" t="s">
        <v>80</v>
      </c>
      <c r="H3101" s="86">
        <v>100.66</v>
      </c>
      <c r="I3101" s="86">
        <v>100.66</v>
      </c>
      <c r="J3101" s="87">
        <f t="shared" si="2"/>
        <v>0</v>
      </c>
      <c r="K3101" s="84" t="str">
        <f t="shared" si="3"/>
        <v>Stabil</v>
      </c>
      <c r="L3101" s="84">
        <f t="shared" si="4"/>
        <v>0</v>
      </c>
      <c r="M3101" s="88" t="str">
        <f t="shared" si="5"/>
        <v>Perubahan Normal</v>
      </c>
    </row>
    <row r="3102" ht="18.75" customHeight="1">
      <c r="A3102" s="80" t="s">
        <v>934</v>
      </c>
      <c r="B3102" s="81" t="str">
        <f t="shared" si="6"/>
        <v>Kab Kolaka</v>
      </c>
      <c r="C3102" s="81" t="str">
        <f t="array" ref="C3102">XLOOKUP(B3102,Reference!$A$2:$A$152,Reference!$B$2:$B$152)</f>
        <v>Sulawesi Tenggara</v>
      </c>
      <c r="D3102" s="82" t="s">
        <v>3541</v>
      </c>
      <c r="E3102" s="83">
        <v>45352.0</v>
      </c>
      <c r="F3102" s="84" t="str">
        <f t="array" ref="F3102">XLOOKUP(G3102,Reference!$F:$F,Reference!$D:$D,"null")</f>
        <v>Pendidikan dan Kesehatan</v>
      </c>
      <c r="G3102" s="85" t="s">
        <v>95</v>
      </c>
      <c r="H3102" s="86">
        <v>100.44</v>
      </c>
      <c r="I3102" s="86">
        <v>100.44</v>
      </c>
      <c r="J3102" s="87">
        <f t="shared" si="2"/>
        <v>0</v>
      </c>
      <c r="K3102" s="84" t="str">
        <f t="shared" si="3"/>
        <v>Stabil</v>
      </c>
      <c r="L3102" s="84">
        <f t="shared" si="4"/>
        <v>0</v>
      </c>
      <c r="M3102" s="88" t="str">
        <f t="shared" si="5"/>
        <v>Perubahan Normal</v>
      </c>
    </row>
    <row r="3103" ht="18.75" customHeight="1">
      <c r="A3103" s="80" t="s">
        <v>512</v>
      </c>
      <c r="B3103" s="81" t="str">
        <f t="shared" si="6"/>
        <v>Kota Palu</v>
      </c>
      <c r="C3103" s="81" t="str">
        <f t="array" ref="C3103">XLOOKUP(B3103,Reference!$A$2:$A$152,Reference!$B$2:$B$152)</f>
        <v>Sulawesi Tengah</v>
      </c>
      <c r="D3103" s="82" t="s">
        <v>3542</v>
      </c>
      <c r="E3103" s="83">
        <v>45352.0</v>
      </c>
      <c r="F3103" s="84" t="str">
        <f t="array" ref="F3103">XLOOKUP(G3103,Reference!$F:$F,Reference!$D:$D,"null")</f>
        <v>Pendidikan dan Kesehatan</v>
      </c>
      <c r="G3103" s="85" t="s">
        <v>98</v>
      </c>
      <c r="H3103" s="86">
        <v>100.27</v>
      </c>
      <c r="I3103" s="86">
        <v>100.65</v>
      </c>
      <c r="J3103" s="87">
        <f t="shared" si="2"/>
        <v>-0.3775459513</v>
      </c>
      <c r="K3103" s="84" t="str">
        <f t="shared" si="3"/>
        <v>Deflasi</v>
      </c>
      <c r="L3103" s="84">
        <f t="shared" si="4"/>
        <v>-0.38</v>
      </c>
      <c r="M3103" s="88" t="str">
        <f t="shared" si="5"/>
        <v>Perubahan Normal</v>
      </c>
    </row>
    <row r="3104" ht="18.75" customHeight="1">
      <c r="A3104" s="80" t="s">
        <v>658</v>
      </c>
      <c r="B3104" s="81" t="str">
        <f t="shared" si="6"/>
        <v>Kota Mataram</v>
      </c>
      <c r="C3104" s="81" t="str">
        <f t="array" ref="C3104">XLOOKUP(B3104,Reference!$A$2:$A$152,Reference!$B$2:$B$152)</f>
        <v>Nusa Tenggara Barat (NTB)</v>
      </c>
      <c r="D3104" s="82" t="s">
        <v>3543</v>
      </c>
      <c r="E3104" s="83">
        <v>45352.0</v>
      </c>
      <c r="F3104" s="84" t="str">
        <f t="array" ref="F3104">XLOOKUP(G3104,Reference!$F:$F,Reference!$D:$D,"null")</f>
        <v>Rekreasi dan Kendaraan</v>
      </c>
      <c r="G3104" s="85" t="s">
        <v>105</v>
      </c>
      <c r="H3104" s="86">
        <v>105.72</v>
      </c>
      <c r="I3104" s="86">
        <v>105.72</v>
      </c>
      <c r="J3104" s="87">
        <f t="shared" si="2"/>
        <v>0</v>
      </c>
      <c r="K3104" s="84" t="str">
        <f t="shared" si="3"/>
        <v>Stabil</v>
      </c>
      <c r="L3104" s="84">
        <f t="shared" si="4"/>
        <v>0</v>
      </c>
      <c r="M3104" s="88" t="str">
        <f t="shared" si="5"/>
        <v>Perubahan Normal</v>
      </c>
    </row>
    <row r="3105" ht="18.75" customHeight="1">
      <c r="A3105" s="80" t="s">
        <v>333</v>
      </c>
      <c r="B3105" s="81" t="str">
        <f t="shared" si="6"/>
        <v>Kab Pasaman Barat</v>
      </c>
      <c r="C3105" s="81" t="str">
        <f t="array" ref="C3105">XLOOKUP(B3105,Reference!$A$2:$A$152,Reference!$B$2:$B$152)</f>
        <v>Sumatera Barat</v>
      </c>
      <c r="D3105" s="82" t="s">
        <v>3544</v>
      </c>
      <c r="E3105" s="83">
        <v>45352.0</v>
      </c>
      <c r="F3105" s="84" t="str">
        <f t="array" ref="F3105">XLOOKUP(G3105,Reference!$F:$F,Reference!$D:$D,"null")</f>
        <v>Rumah Tangga</v>
      </c>
      <c r="G3105" s="85" t="s">
        <v>80</v>
      </c>
      <c r="H3105" s="86">
        <v>100.29</v>
      </c>
      <c r="I3105" s="86">
        <v>100.29</v>
      </c>
      <c r="J3105" s="87">
        <f t="shared" si="2"/>
        <v>0</v>
      </c>
      <c r="K3105" s="84" t="str">
        <f t="shared" si="3"/>
        <v>Stabil</v>
      </c>
      <c r="L3105" s="84">
        <f t="shared" si="4"/>
        <v>0</v>
      </c>
      <c r="M3105" s="88" t="str">
        <f t="shared" si="5"/>
        <v>Perubahan Normal</v>
      </c>
    </row>
    <row r="3106" ht="18.75" customHeight="1">
      <c r="A3106" s="80" t="s">
        <v>399</v>
      </c>
      <c r="B3106" s="81" t="str">
        <f t="shared" si="6"/>
        <v>Sampit</v>
      </c>
      <c r="C3106" s="81" t="str">
        <f t="array" ref="C3106">XLOOKUP(B3106,Reference!$A$2:$A$152,Reference!$B$2:$B$152)</f>
        <v>Kalimantan Tengah</v>
      </c>
      <c r="D3106" s="82" t="s">
        <v>3545</v>
      </c>
      <c r="E3106" s="83">
        <v>45323.0</v>
      </c>
      <c r="F3106" s="84" t="str">
        <f t="array" ref="F3106">XLOOKUP(G3106,Reference!$F:$F,Reference!$D:$D,"null")</f>
        <v>Makanan dan Pakaian </v>
      </c>
      <c r="G3106" s="85" t="s">
        <v>72</v>
      </c>
      <c r="H3106" s="86">
        <v>100.4</v>
      </c>
      <c r="I3106" s="86">
        <v>100.4</v>
      </c>
      <c r="J3106" s="87">
        <f t="shared" si="2"/>
        <v>0</v>
      </c>
      <c r="K3106" s="84" t="str">
        <f t="shared" si="3"/>
        <v>Stabil</v>
      </c>
      <c r="L3106" s="84">
        <f t="shared" si="4"/>
        <v>0</v>
      </c>
      <c r="M3106" s="88" t="str">
        <f t="shared" si="5"/>
        <v>Perubahan Normal</v>
      </c>
    </row>
    <row r="3107" ht="18.75" customHeight="1">
      <c r="A3107" s="80" t="s">
        <v>431</v>
      </c>
      <c r="B3107" s="81" t="str">
        <f t="shared" si="6"/>
        <v>Kota Ternate</v>
      </c>
      <c r="C3107" s="81" t="str">
        <f t="array" ref="C3107">XLOOKUP(B3107,Reference!$A$2:$A$152,Reference!$B$2:$B$152)</f>
        <v>Maluku Utara</v>
      </c>
      <c r="D3107" s="82" t="s">
        <v>3546</v>
      </c>
      <c r="E3107" s="83">
        <v>45323.0</v>
      </c>
      <c r="F3107" s="84" t="str">
        <f t="array" ref="F3107">XLOOKUP(G3107,Reference!$F:$F,Reference!$D:$D,"null")</f>
        <v>Makanan dan Pakaian </v>
      </c>
      <c r="G3107" s="85" t="s">
        <v>72</v>
      </c>
      <c r="H3107" s="86">
        <v>104.45</v>
      </c>
      <c r="I3107" s="86">
        <v>104.45</v>
      </c>
      <c r="J3107" s="87">
        <f t="shared" si="2"/>
        <v>0</v>
      </c>
      <c r="K3107" s="84" t="str">
        <f t="shared" si="3"/>
        <v>Stabil</v>
      </c>
      <c r="L3107" s="84">
        <f t="shared" si="4"/>
        <v>0</v>
      </c>
      <c r="M3107" s="88" t="str">
        <f t="shared" si="5"/>
        <v>Perubahan Normal</v>
      </c>
    </row>
    <row r="3108" ht="18.75" customHeight="1">
      <c r="A3108" s="80" t="s">
        <v>298</v>
      </c>
      <c r="B3108" s="81" t="str">
        <f t="shared" si="6"/>
        <v>Kota Bekasi</v>
      </c>
      <c r="C3108" s="81" t="str">
        <f t="array" ref="C3108">XLOOKUP(B3108,Reference!$A$2:$A$152,Reference!$B$2:$B$152)</f>
        <v>Jawa Barat</v>
      </c>
      <c r="D3108" s="82" t="s">
        <v>3547</v>
      </c>
      <c r="E3108" s="83">
        <v>45323.0</v>
      </c>
      <c r="F3108" s="84" t="str">
        <f t="array" ref="F3108">XLOOKUP(G3108,Reference!$F:$F,Reference!$D:$D,"null")</f>
        <v>Makanan dan Pakaian </v>
      </c>
      <c r="G3108" s="85" t="s">
        <v>64</v>
      </c>
      <c r="H3108" s="86">
        <v>104.41</v>
      </c>
      <c r="I3108" s="86">
        <v>104.47</v>
      </c>
      <c r="J3108" s="87">
        <f t="shared" si="2"/>
        <v>-0.05743275582</v>
      </c>
      <c r="K3108" s="84" t="str">
        <f t="shared" si="3"/>
        <v>Deflasi</v>
      </c>
      <c r="L3108" s="84">
        <f t="shared" si="4"/>
        <v>-0.06</v>
      </c>
      <c r="M3108" s="88" t="str">
        <f t="shared" si="5"/>
        <v>Perubahan Normal</v>
      </c>
    </row>
    <row r="3109" ht="18.75" customHeight="1">
      <c r="A3109" s="80" t="s">
        <v>634</v>
      </c>
      <c r="B3109" s="81" t="str">
        <f t="shared" si="6"/>
        <v>Kota Depok</v>
      </c>
      <c r="C3109" s="81" t="str">
        <f t="array" ref="C3109">XLOOKUP(B3109,Reference!$A$2:$A$152,Reference!$B$2:$B$152)</f>
        <v>Jawa Barat</v>
      </c>
      <c r="D3109" s="82" t="s">
        <v>3548</v>
      </c>
      <c r="E3109" s="83">
        <v>45352.0</v>
      </c>
      <c r="F3109" s="84" t="str">
        <f t="array" ref="F3109">XLOOKUP(G3109,Reference!$F:$F,Reference!$D:$D,"null")</f>
        <v>Makanan dan Pakaian </v>
      </c>
      <c r="G3109" s="85" t="s">
        <v>48</v>
      </c>
      <c r="H3109" s="86">
        <v>112.15</v>
      </c>
      <c r="I3109" s="86">
        <v>110.25</v>
      </c>
      <c r="J3109" s="87">
        <f t="shared" si="2"/>
        <v>1.723356009</v>
      </c>
      <c r="K3109" s="84" t="str">
        <f t="shared" si="3"/>
        <v>Inflasi Tinggi</v>
      </c>
      <c r="L3109" s="84">
        <f t="shared" si="4"/>
        <v>1.9</v>
      </c>
      <c r="M3109" s="88" t="str">
        <f t="shared" si="5"/>
        <v>Akselerasi Persentase</v>
      </c>
    </row>
    <row r="3110" ht="18.75" customHeight="1">
      <c r="A3110" s="80" t="s">
        <v>438</v>
      </c>
      <c r="B3110" s="81" t="str">
        <f t="shared" si="6"/>
        <v>Kab Muara Enim</v>
      </c>
      <c r="C3110" s="81" t="str">
        <f t="array" ref="C3110">XLOOKUP(B3110,Reference!$A$2:$A$152,Reference!$B$2:$B$152)</f>
        <v>Sumatera Selatan</v>
      </c>
      <c r="D3110" s="82" t="s">
        <v>3549</v>
      </c>
      <c r="E3110" s="83">
        <v>45323.0</v>
      </c>
      <c r="F3110" s="84" t="str">
        <f t="array" ref="F3110">XLOOKUP(G3110,Reference!$F:$F,Reference!$D:$D,"null")</f>
        <v>Makanan dan Pakaian </v>
      </c>
      <c r="G3110" s="85" t="s">
        <v>72</v>
      </c>
      <c r="H3110" s="86">
        <v>103.33</v>
      </c>
      <c r="I3110" s="86">
        <v>105.19</v>
      </c>
      <c r="J3110" s="87">
        <f t="shared" si="2"/>
        <v>-1.768228919</v>
      </c>
      <c r="K3110" s="84" t="str">
        <f t="shared" si="3"/>
        <v>Deflasi</v>
      </c>
      <c r="L3110" s="84">
        <f t="shared" si="4"/>
        <v>-1.86</v>
      </c>
      <c r="M3110" s="88" t="str">
        <f t="shared" si="5"/>
        <v>Perubahan Normal</v>
      </c>
    </row>
    <row r="3111" ht="18.75" customHeight="1">
      <c r="A3111" s="80" t="s">
        <v>395</v>
      </c>
      <c r="B3111" s="81" t="str">
        <f t="shared" si="6"/>
        <v>Kota Bukittinggi</v>
      </c>
      <c r="C3111" s="81" t="str">
        <f t="array" ref="C3111">XLOOKUP(B3111,Reference!$A$2:$A$152,Reference!$B$2:$B$152)</f>
        <v>Sumatera Barat</v>
      </c>
      <c r="D3111" s="82" t="s">
        <v>3550</v>
      </c>
      <c r="E3111" s="83">
        <v>45352.0</v>
      </c>
      <c r="F3111" s="84" t="str">
        <f t="array" ref="F3111">XLOOKUP(G3111,Reference!$F:$F,Reference!$D:$D,"null")</f>
        <v>Pendidikan dan Kesehatan</v>
      </c>
      <c r="G3111" s="85" t="s">
        <v>98</v>
      </c>
      <c r="H3111" s="86">
        <v>105.17</v>
      </c>
      <c r="I3111" s="86">
        <v>105.17</v>
      </c>
      <c r="J3111" s="87">
        <f t="shared" si="2"/>
        <v>0</v>
      </c>
      <c r="K3111" s="84" t="str">
        <f t="shared" si="3"/>
        <v>Stabil</v>
      </c>
      <c r="L3111" s="84">
        <f t="shared" si="4"/>
        <v>0</v>
      </c>
      <c r="M3111" s="88" t="str">
        <f t="shared" si="5"/>
        <v>Perubahan Normal</v>
      </c>
    </row>
    <row r="3112" ht="18.75" customHeight="1">
      <c r="A3112" s="80" t="s">
        <v>410</v>
      </c>
      <c r="B3112" s="81" t="str">
        <f t="shared" si="6"/>
        <v>Meulaboh</v>
      </c>
      <c r="C3112" s="81" t="str">
        <f t="array" ref="C3112">XLOOKUP(B3112,Reference!$A$2:$A$152,Reference!$B$2:$B$152)</f>
        <v>Aceh</v>
      </c>
      <c r="D3112" s="82" t="s">
        <v>3551</v>
      </c>
      <c r="E3112" s="83">
        <v>45352.0</v>
      </c>
      <c r="F3112" s="84" t="str">
        <f t="array" ref="F3112">XLOOKUP(G3112,Reference!$F:$F,Reference!$D:$D,"null")</f>
        <v>Makanan dan Pakaian </v>
      </c>
      <c r="G3112" s="85" t="s">
        <v>64</v>
      </c>
      <c r="H3112" s="86">
        <v>101.97</v>
      </c>
      <c r="I3112" s="86">
        <v>101.92</v>
      </c>
      <c r="J3112" s="87">
        <f t="shared" si="2"/>
        <v>0.04905808477</v>
      </c>
      <c r="K3112" s="84" t="str">
        <f t="shared" si="3"/>
        <v>Inflasi Normal</v>
      </c>
      <c r="L3112" s="84">
        <f t="shared" si="4"/>
        <v>0.05</v>
      </c>
      <c r="M3112" s="88" t="str">
        <f t="shared" si="5"/>
        <v>Perubahan Normal</v>
      </c>
    </row>
    <row r="3113" ht="18.75" customHeight="1">
      <c r="A3113" s="80" t="s">
        <v>355</v>
      </c>
      <c r="B3113" s="81" t="str">
        <f t="shared" si="6"/>
        <v>Kota Gorontalo</v>
      </c>
      <c r="C3113" s="81" t="str">
        <f t="array" ref="C3113">XLOOKUP(B3113,Reference!$A$2:$A$152,Reference!$B$2:$B$152)</f>
        <v>Gorontalo</v>
      </c>
      <c r="D3113" s="82" t="s">
        <v>3552</v>
      </c>
      <c r="E3113" s="83">
        <v>45352.0</v>
      </c>
      <c r="F3113" s="84" t="str">
        <f t="array" ref="F3113">XLOOKUP(G3113,Reference!$F:$F,Reference!$D:$D,"null")</f>
        <v>Makanan dan Pakaian </v>
      </c>
      <c r="G3113" s="85" t="s">
        <v>56</v>
      </c>
      <c r="H3113" s="86">
        <v>103.39</v>
      </c>
      <c r="I3113" s="86">
        <v>103.39</v>
      </c>
      <c r="J3113" s="87">
        <f t="shared" si="2"/>
        <v>0</v>
      </c>
      <c r="K3113" s="84" t="str">
        <f t="shared" si="3"/>
        <v>Stabil</v>
      </c>
      <c r="L3113" s="84">
        <f t="shared" si="4"/>
        <v>0</v>
      </c>
      <c r="M3113" s="88" t="str">
        <f t="shared" si="5"/>
        <v>Perubahan Normal</v>
      </c>
    </row>
    <row r="3114" ht="18.75" customHeight="1">
      <c r="A3114" s="80" t="s">
        <v>492</v>
      </c>
      <c r="B3114" s="81" t="str">
        <f t="shared" si="6"/>
        <v>Kota Cilegon</v>
      </c>
      <c r="C3114" s="81" t="str">
        <f t="array" ref="C3114">XLOOKUP(B3114,Reference!$A$2:$A$152,Reference!$B$2:$B$152)</f>
        <v>Banten</v>
      </c>
      <c r="D3114" s="82" t="s">
        <v>3553</v>
      </c>
      <c r="E3114" s="83">
        <v>45323.0</v>
      </c>
      <c r="F3114" s="84" t="str">
        <f t="array" ref="F3114">XLOOKUP(G3114,Reference!$F:$F,Reference!$D:$D,"null")</f>
        <v>Rekreasi dan Kendaraan</v>
      </c>
      <c r="G3114" s="85" t="s">
        <v>105</v>
      </c>
      <c r="H3114" s="86">
        <v>103.76</v>
      </c>
      <c r="I3114" s="86">
        <v>103.76</v>
      </c>
      <c r="J3114" s="87">
        <f t="shared" si="2"/>
        <v>0</v>
      </c>
      <c r="K3114" s="84" t="str">
        <f t="shared" si="3"/>
        <v>Stabil</v>
      </c>
      <c r="L3114" s="84">
        <f t="shared" si="4"/>
        <v>0</v>
      </c>
      <c r="M3114" s="88" t="str">
        <f t="shared" si="5"/>
        <v>Perubahan Normal</v>
      </c>
    </row>
    <row r="3115" ht="18.75" customHeight="1">
      <c r="A3115" s="80" t="s">
        <v>669</v>
      </c>
      <c r="B3115" s="81" t="str">
        <f t="shared" si="6"/>
        <v>Kab Sidenreng Rappang</v>
      </c>
      <c r="C3115" s="81" t="str">
        <f t="array" ref="C3115">XLOOKUP(B3115,Reference!$A$2:$A$152,Reference!$B$2:$B$152)</f>
        <v>Sulawesi Selatan</v>
      </c>
      <c r="D3115" s="82" t="s">
        <v>3554</v>
      </c>
      <c r="E3115" s="83">
        <v>45323.0</v>
      </c>
      <c r="F3115" s="84" t="str">
        <f t="array" ref="F3115">XLOOKUP(G3115,Reference!$F:$F,Reference!$D:$D,"null")</f>
        <v>Pendidikan dan Kesehatan</v>
      </c>
      <c r="G3115" s="85" t="s">
        <v>98</v>
      </c>
      <c r="H3115" s="86">
        <v>101.58</v>
      </c>
      <c r="I3115" s="86">
        <v>101.68</v>
      </c>
      <c r="J3115" s="87">
        <f t="shared" si="2"/>
        <v>-0.09834775767</v>
      </c>
      <c r="K3115" s="84" t="str">
        <f t="shared" si="3"/>
        <v>Deflasi</v>
      </c>
      <c r="L3115" s="84">
        <f t="shared" si="4"/>
        <v>-0.1</v>
      </c>
      <c r="M3115" s="88" t="str">
        <f t="shared" si="5"/>
        <v>Perubahan Normal</v>
      </c>
    </row>
    <row r="3116" ht="18.75" customHeight="1">
      <c r="A3116" s="80" t="s">
        <v>492</v>
      </c>
      <c r="B3116" s="81" t="str">
        <f t="shared" si="6"/>
        <v>Kota Cilegon</v>
      </c>
      <c r="C3116" s="81" t="str">
        <f t="array" ref="C3116">XLOOKUP(B3116,Reference!$A$2:$A$152,Reference!$B$2:$B$152)</f>
        <v>Banten</v>
      </c>
      <c r="D3116" s="82" t="s">
        <v>3555</v>
      </c>
      <c r="E3116" s="83">
        <v>45323.0</v>
      </c>
      <c r="F3116" s="84" t="str">
        <f t="array" ref="F3116">XLOOKUP(G3116,Reference!$F:$F,Reference!$D:$D,"null")</f>
        <v>Rumah Tangga</v>
      </c>
      <c r="G3116" s="85" t="s">
        <v>84</v>
      </c>
      <c r="H3116" s="86">
        <v>100.34</v>
      </c>
      <c r="I3116" s="86">
        <v>100.35</v>
      </c>
      <c r="J3116" s="87">
        <f t="shared" si="2"/>
        <v>-0.009965122073</v>
      </c>
      <c r="K3116" s="84" t="str">
        <f t="shared" si="3"/>
        <v>Deflasi</v>
      </c>
      <c r="L3116" s="84">
        <f t="shared" si="4"/>
        <v>-0.01</v>
      </c>
      <c r="M3116" s="88" t="str">
        <f t="shared" si="5"/>
        <v>Perubahan Normal</v>
      </c>
    </row>
    <row r="3117" ht="18.75" customHeight="1">
      <c r="A3117" s="80" t="s">
        <v>376</v>
      </c>
      <c r="B3117" s="81" t="str">
        <f t="shared" si="6"/>
        <v>Bulukumba</v>
      </c>
      <c r="C3117" s="81" t="str">
        <f t="array" ref="C3117">XLOOKUP(B3117,Reference!$A$2:$A$152,Reference!$B$2:$B$152)</f>
        <v>Sulawesi Selatan</v>
      </c>
      <c r="D3117" s="82" t="s">
        <v>3556</v>
      </c>
      <c r="E3117" s="83">
        <v>45323.0</v>
      </c>
      <c r="F3117" s="84" t="str">
        <f t="array" ref="F3117">XLOOKUP(G3117,Reference!$F:$F,Reference!$D:$D,"null")</f>
        <v>Rekreasi dan Kendaraan</v>
      </c>
      <c r="G3117" s="85" t="s">
        <v>102</v>
      </c>
      <c r="H3117" s="86">
        <v>102.88</v>
      </c>
      <c r="I3117" s="86">
        <v>102.65</v>
      </c>
      <c r="J3117" s="87">
        <f t="shared" si="2"/>
        <v>0.2240623478</v>
      </c>
      <c r="K3117" s="84" t="str">
        <f t="shared" si="3"/>
        <v>Inflasi Normal</v>
      </c>
      <c r="L3117" s="84">
        <f t="shared" si="4"/>
        <v>0.23</v>
      </c>
      <c r="M3117" s="88" t="str">
        <f t="shared" si="5"/>
        <v>Perubahan Normal</v>
      </c>
    </row>
    <row r="3118" ht="18.75" customHeight="1">
      <c r="A3118" s="80" t="s">
        <v>925</v>
      </c>
      <c r="B3118" s="81" t="str">
        <f t="shared" si="6"/>
        <v>Kota Jakarta</v>
      </c>
      <c r="C3118" s="81" t="str">
        <f t="array" ref="C3118">XLOOKUP(B3118,Reference!$A$2:$A$152,Reference!$B$2:$B$152)</f>
        <v>DKI Jakarta</v>
      </c>
      <c r="D3118" s="82" t="s">
        <v>3557</v>
      </c>
      <c r="E3118" s="83">
        <v>45323.0</v>
      </c>
      <c r="F3118" s="84" t="str">
        <f t="array" ref="F3118">XLOOKUP(G3118,Reference!$F:$F,Reference!$D:$D,"null")</f>
        <v>Rumah Tangga</v>
      </c>
      <c r="G3118" s="85" t="s">
        <v>89</v>
      </c>
      <c r="H3118" s="86">
        <v>103.39</v>
      </c>
      <c r="I3118" s="86">
        <v>103.39</v>
      </c>
      <c r="J3118" s="87">
        <f t="shared" si="2"/>
        <v>0</v>
      </c>
      <c r="K3118" s="84" t="str">
        <f t="shared" si="3"/>
        <v>Stabil</v>
      </c>
      <c r="L3118" s="84">
        <f t="shared" si="4"/>
        <v>0</v>
      </c>
      <c r="M3118" s="88" t="str">
        <f t="shared" si="5"/>
        <v>Perubahan Normal</v>
      </c>
    </row>
    <row r="3119" ht="18.75" customHeight="1">
      <c r="A3119" s="80" t="s">
        <v>414</v>
      </c>
      <c r="B3119" s="81" t="str">
        <f t="shared" si="6"/>
        <v>Kota Bandung</v>
      </c>
      <c r="C3119" s="81" t="str">
        <f t="array" ref="C3119">XLOOKUP(B3119,Reference!$A$2:$A$152,Reference!$B$2:$B$152)</f>
        <v>Jawa Barat</v>
      </c>
      <c r="D3119" s="82" t="s">
        <v>3558</v>
      </c>
      <c r="E3119" s="83">
        <v>45352.0</v>
      </c>
      <c r="F3119" s="84" t="str">
        <f t="array" ref="F3119">XLOOKUP(G3119,Reference!$F:$F,Reference!$D:$D,"null")</f>
        <v>Pendidikan dan Kesehatan</v>
      </c>
      <c r="G3119" s="85" t="s">
        <v>98</v>
      </c>
      <c r="H3119" s="86">
        <v>105.41</v>
      </c>
      <c r="I3119" s="86">
        <v>104.93</v>
      </c>
      <c r="J3119" s="87">
        <f t="shared" si="2"/>
        <v>0.4574478224</v>
      </c>
      <c r="K3119" s="84" t="str">
        <f t="shared" si="3"/>
        <v>Inflasi Normal</v>
      </c>
      <c r="L3119" s="84">
        <f t="shared" si="4"/>
        <v>0.48</v>
      </c>
      <c r="M3119" s="88" t="str">
        <f t="shared" si="5"/>
        <v>Perubahan Normal</v>
      </c>
    </row>
    <row r="3120" ht="18.75" customHeight="1">
      <c r="A3120" s="80" t="s">
        <v>298</v>
      </c>
      <c r="B3120" s="81" t="str">
        <f t="shared" si="6"/>
        <v>Kota Bekasi</v>
      </c>
      <c r="C3120" s="81" t="str">
        <f t="array" ref="C3120">XLOOKUP(B3120,Reference!$A$2:$A$152,Reference!$B$2:$B$152)</f>
        <v>Jawa Barat</v>
      </c>
      <c r="D3120" s="82" t="s">
        <v>3559</v>
      </c>
      <c r="E3120" s="83">
        <v>45352.0</v>
      </c>
      <c r="F3120" s="84" t="str">
        <f t="array" ref="F3120">XLOOKUP(G3120,Reference!$F:$F,Reference!$D:$D,"null")</f>
        <v>Pendidikan dan Kesehatan</v>
      </c>
      <c r="G3120" s="89" t="s">
        <v>98</v>
      </c>
      <c r="H3120" s="90">
        <v>105.81</v>
      </c>
      <c r="I3120" s="90">
        <v>105.77</v>
      </c>
      <c r="J3120" s="87">
        <f t="shared" si="2"/>
        <v>0.03781790678</v>
      </c>
      <c r="K3120" s="84" t="str">
        <f t="shared" si="3"/>
        <v>Inflasi Normal</v>
      </c>
      <c r="L3120" s="91">
        <f t="shared" si="4"/>
        <v>0.04</v>
      </c>
      <c r="M3120" s="88" t="str">
        <f t="shared" si="5"/>
        <v>Perubahan Normal</v>
      </c>
    </row>
    <row r="3121" ht="18.75" customHeight="1">
      <c r="A3121" s="80" t="s">
        <v>404</v>
      </c>
      <c r="B3121" s="81" t="str">
        <f t="shared" si="6"/>
        <v>Kab Mesuji</v>
      </c>
      <c r="C3121" s="81" t="str">
        <f t="array" ref="C3121">XLOOKUP(B3121,Reference!$A$2:$A$152,Reference!$B$2:$B$152)</f>
        <v>Lampung</v>
      </c>
      <c r="D3121" s="82" t="s">
        <v>3560</v>
      </c>
      <c r="E3121" s="83">
        <v>45323.0</v>
      </c>
      <c r="F3121" s="84" t="str">
        <f t="array" ref="F3121">XLOOKUP(G3121,Reference!$F:$F,Reference!$D:$D,"null")</f>
        <v>Makanan dan Pakaian </v>
      </c>
      <c r="G3121" s="85" t="s">
        <v>64</v>
      </c>
      <c r="H3121" s="86">
        <v>114.66</v>
      </c>
      <c r="I3121" s="86">
        <v>114.66</v>
      </c>
      <c r="J3121" s="87">
        <f t="shared" si="2"/>
        <v>0</v>
      </c>
      <c r="K3121" s="84" t="str">
        <f t="shared" si="3"/>
        <v>Stabil</v>
      </c>
      <c r="L3121" s="84">
        <f t="shared" si="4"/>
        <v>0</v>
      </c>
      <c r="M3121" s="88" t="str">
        <f t="shared" si="5"/>
        <v>Perubahan Normal</v>
      </c>
    </row>
    <row r="3122" ht="18.75" customHeight="1">
      <c r="A3122" s="80" t="s">
        <v>495</v>
      </c>
      <c r="B3122" s="81" t="str">
        <f t="shared" si="6"/>
        <v>Kota Medan</v>
      </c>
      <c r="C3122" s="81" t="str">
        <f t="array" ref="C3122">XLOOKUP(B3122,Reference!$A$2:$A$152,Reference!$B$2:$B$152)</f>
        <v>Sumatera Utara</v>
      </c>
      <c r="D3122" s="82" t="s">
        <v>3561</v>
      </c>
      <c r="E3122" s="83">
        <v>45352.0</v>
      </c>
      <c r="F3122" s="84" t="str">
        <f t="array" ref="F3122">XLOOKUP(G3122,Reference!$F:$F,Reference!$D:$D,"null")</f>
        <v>Pendidikan dan Kesehatan</v>
      </c>
      <c r="G3122" s="85" t="s">
        <v>95</v>
      </c>
      <c r="H3122" s="86">
        <v>102.3</v>
      </c>
      <c r="I3122" s="86">
        <v>102.3</v>
      </c>
      <c r="J3122" s="87">
        <f t="shared" si="2"/>
        <v>0</v>
      </c>
      <c r="K3122" s="84" t="str">
        <f t="shared" si="3"/>
        <v>Stabil</v>
      </c>
      <c r="L3122" s="84">
        <f t="shared" si="4"/>
        <v>0</v>
      </c>
      <c r="M3122" s="88" t="str">
        <f t="shared" si="5"/>
        <v>Perubahan Normal</v>
      </c>
    </row>
    <row r="3123" ht="18.75" customHeight="1">
      <c r="A3123" s="80" t="s">
        <v>734</v>
      </c>
      <c r="B3123" s="81" t="str">
        <f t="shared" si="6"/>
        <v>Kota Tegal</v>
      </c>
      <c r="C3123" s="81" t="str">
        <f t="array" ref="C3123">XLOOKUP(B3123,Reference!$A$2:$A$152,Reference!$B$2:$B$152)</f>
        <v>Jawa Tengah</v>
      </c>
      <c r="D3123" s="82" t="s">
        <v>3562</v>
      </c>
      <c r="E3123" s="83">
        <v>45352.0</v>
      </c>
      <c r="F3123" s="84" t="str">
        <f t="array" ref="F3123">XLOOKUP(G3123,Reference!$F:$F,Reference!$D:$D,"null")</f>
        <v>Rekreasi dan Kendaraan</v>
      </c>
      <c r="G3123" s="85" t="s">
        <v>102</v>
      </c>
      <c r="H3123" s="86">
        <v>101.6</v>
      </c>
      <c r="I3123" s="86">
        <v>101.63</v>
      </c>
      <c r="J3123" s="87">
        <f t="shared" si="2"/>
        <v>-0.02951884286</v>
      </c>
      <c r="K3123" s="84" t="str">
        <f t="shared" si="3"/>
        <v>Deflasi</v>
      </c>
      <c r="L3123" s="84">
        <f t="shared" si="4"/>
        <v>-0.03</v>
      </c>
      <c r="M3123" s="88" t="str">
        <f t="shared" si="5"/>
        <v>Perubahan Normal</v>
      </c>
    </row>
    <row r="3124" ht="18.75" customHeight="1">
      <c r="A3124" s="80" t="s">
        <v>483</v>
      </c>
      <c r="B3124" s="81" t="str">
        <f t="shared" si="6"/>
        <v>Kota Padangsidimpuan</v>
      </c>
      <c r="C3124" s="81" t="str">
        <f t="array" ref="C3124">XLOOKUP(B3124,Reference!$A$2:$A$152,Reference!$B$2:$B$152)</f>
        <v>Sumatera Utara</v>
      </c>
      <c r="D3124" s="82" t="s">
        <v>3563</v>
      </c>
      <c r="E3124" s="83">
        <v>45352.0</v>
      </c>
      <c r="F3124" s="84" t="str">
        <f t="array" ref="F3124">XLOOKUP(G3124,Reference!$F:$F,Reference!$D:$D,"null")</f>
        <v>Makanan dan Pakaian </v>
      </c>
      <c r="G3124" s="89" t="s">
        <v>48</v>
      </c>
      <c r="H3124" s="90">
        <v>112.2</v>
      </c>
      <c r="I3124" s="90">
        <v>109.27</v>
      </c>
      <c r="J3124" s="87">
        <f t="shared" si="2"/>
        <v>2.681431317</v>
      </c>
      <c r="K3124" s="84" t="str">
        <f t="shared" si="3"/>
        <v>Inflasi Tinggi</v>
      </c>
      <c r="L3124" s="91">
        <f t="shared" si="4"/>
        <v>2.93</v>
      </c>
      <c r="M3124" s="88" t="str">
        <f t="shared" si="5"/>
        <v>Akselerasi Kuat</v>
      </c>
    </row>
    <row r="3125" ht="18.75" customHeight="1">
      <c r="A3125" s="80" t="s">
        <v>431</v>
      </c>
      <c r="B3125" s="81" t="str">
        <f t="shared" si="6"/>
        <v>Kota Ternate</v>
      </c>
      <c r="C3125" s="81" t="str">
        <f t="array" ref="C3125">XLOOKUP(B3125,Reference!$A$2:$A$152,Reference!$B$2:$B$152)</f>
        <v>Maluku Utara</v>
      </c>
      <c r="D3125" s="82" t="s">
        <v>3564</v>
      </c>
      <c r="E3125" s="83">
        <v>45352.0</v>
      </c>
      <c r="F3125" s="84" t="str">
        <f t="array" ref="F3125">XLOOKUP(G3125,Reference!$F:$F,Reference!$D:$D,"null")</f>
        <v>Makanan dan Pakaian </v>
      </c>
      <c r="G3125" s="85" t="s">
        <v>64</v>
      </c>
      <c r="H3125" s="86">
        <v>109.55</v>
      </c>
      <c r="I3125" s="86">
        <v>109.83</v>
      </c>
      <c r="J3125" s="87">
        <f t="shared" si="2"/>
        <v>-0.2549394519</v>
      </c>
      <c r="K3125" s="84" t="str">
        <f t="shared" si="3"/>
        <v>Deflasi</v>
      </c>
      <c r="L3125" s="84">
        <f t="shared" si="4"/>
        <v>-0.28</v>
      </c>
      <c r="M3125" s="88" t="str">
        <f t="shared" si="5"/>
        <v>Perubahan Normal</v>
      </c>
    </row>
    <row r="3126" ht="18.75" customHeight="1">
      <c r="A3126" s="80" t="s">
        <v>706</v>
      </c>
      <c r="B3126" s="81" t="str">
        <f t="shared" si="6"/>
        <v>Kota Makassar</v>
      </c>
      <c r="C3126" s="81" t="str">
        <f t="array" ref="C3126">XLOOKUP(B3126,Reference!$A$2:$A$152,Reference!$B$2:$B$152)</f>
        <v>Sulawesi Selatan</v>
      </c>
      <c r="D3126" s="82" t="s">
        <v>3565</v>
      </c>
      <c r="E3126" s="83">
        <v>45352.0</v>
      </c>
      <c r="F3126" s="84" t="str">
        <f t="array" ref="F3126">XLOOKUP(G3126,Reference!$F:$F,Reference!$D:$D,"null")</f>
        <v>Rumah Tangga</v>
      </c>
      <c r="G3126" s="85" t="s">
        <v>89</v>
      </c>
      <c r="H3126" s="86">
        <v>102.36</v>
      </c>
      <c r="I3126" s="86">
        <v>102.36</v>
      </c>
      <c r="J3126" s="87">
        <f t="shared" si="2"/>
        <v>0</v>
      </c>
      <c r="K3126" s="84" t="str">
        <f t="shared" si="3"/>
        <v>Stabil</v>
      </c>
      <c r="L3126" s="84">
        <f t="shared" si="4"/>
        <v>0</v>
      </c>
      <c r="M3126" s="88" t="str">
        <f t="shared" si="5"/>
        <v>Perubahan Normal</v>
      </c>
    </row>
    <row r="3127" ht="18.75" customHeight="1">
      <c r="A3127" s="80" t="s">
        <v>616</v>
      </c>
      <c r="B3127" s="81" t="str">
        <f t="shared" si="6"/>
        <v>Kab Sorong</v>
      </c>
      <c r="C3127" s="81" t="str">
        <f t="array" ref="C3127">XLOOKUP(B3127,Reference!$A$2:$A$152,Reference!$B$2:$B$152)</f>
        <v>Papua Barat Daya</v>
      </c>
      <c r="D3127" s="82" t="s">
        <v>3566</v>
      </c>
      <c r="E3127" s="83">
        <v>45352.0</v>
      </c>
      <c r="F3127" s="84" t="str">
        <f t="array" ref="F3127">XLOOKUP(G3127,Reference!$F:$F,Reference!$D:$D,"null")</f>
        <v>Makanan dan Pakaian </v>
      </c>
      <c r="G3127" s="85" t="s">
        <v>64</v>
      </c>
      <c r="H3127" s="86">
        <v>104.16</v>
      </c>
      <c r="I3127" s="86">
        <v>104.19</v>
      </c>
      <c r="J3127" s="87">
        <f t="shared" si="2"/>
        <v>-0.02879355024</v>
      </c>
      <c r="K3127" s="84" t="str">
        <f t="shared" si="3"/>
        <v>Deflasi</v>
      </c>
      <c r="L3127" s="84">
        <f t="shared" si="4"/>
        <v>-0.03</v>
      </c>
      <c r="M3127" s="88" t="str">
        <f t="shared" si="5"/>
        <v>Perubahan Normal</v>
      </c>
    </row>
    <row r="3128" ht="18.75" customHeight="1">
      <c r="A3128" s="80" t="s">
        <v>448</v>
      </c>
      <c r="B3128" s="81" t="str">
        <f t="shared" si="6"/>
        <v>Tanjung Selor</v>
      </c>
      <c r="C3128" s="81" t="str">
        <f t="array" ref="C3128">XLOOKUP(B3128,Reference!$A$2:$A$152,Reference!$B$2:$B$152)</f>
        <v>Kalimantan Utara</v>
      </c>
      <c r="D3128" s="82" t="s">
        <v>3567</v>
      </c>
      <c r="E3128" s="83">
        <v>45352.0</v>
      </c>
      <c r="F3128" s="84" t="str">
        <f t="array" ref="F3128">XLOOKUP(G3128,Reference!$F:$F,Reference!$D:$D,"null")</f>
        <v>Rekreasi dan Kendaraan</v>
      </c>
      <c r="G3128" s="85" t="s">
        <v>105</v>
      </c>
      <c r="H3128" s="86">
        <v>102.45</v>
      </c>
      <c r="I3128" s="86">
        <v>102.45</v>
      </c>
      <c r="J3128" s="87">
        <f t="shared" si="2"/>
        <v>0</v>
      </c>
      <c r="K3128" s="84" t="str">
        <f t="shared" si="3"/>
        <v>Stabil</v>
      </c>
      <c r="L3128" s="84">
        <f t="shared" si="4"/>
        <v>0</v>
      </c>
      <c r="M3128" s="88" t="str">
        <f t="shared" si="5"/>
        <v>Perubahan Normal</v>
      </c>
    </row>
    <row r="3129" ht="18.75" customHeight="1">
      <c r="A3129" s="80" t="s">
        <v>318</v>
      </c>
      <c r="B3129" s="81" t="str">
        <f t="shared" si="6"/>
        <v>Tanjung</v>
      </c>
      <c r="C3129" s="81" t="str">
        <f t="array" ref="C3129">XLOOKUP(B3129,Reference!$A$2:$A$152,Reference!$B$2:$B$152)</f>
        <v>Kalimantan Selatan</v>
      </c>
      <c r="D3129" s="82" t="s">
        <v>3568</v>
      </c>
      <c r="E3129" s="83">
        <v>45323.0</v>
      </c>
      <c r="F3129" s="84" t="str">
        <f t="array" ref="F3129">XLOOKUP(G3129,Reference!$F:$F,Reference!$D:$D,"null")</f>
        <v>Makanan dan Pakaian </v>
      </c>
      <c r="G3129" s="89" t="s">
        <v>48</v>
      </c>
      <c r="H3129" s="90">
        <v>104.11</v>
      </c>
      <c r="I3129" s="90">
        <v>104.69</v>
      </c>
      <c r="J3129" s="87">
        <f t="shared" si="2"/>
        <v>-0.5540166205</v>
      </c>
      <c r="K3129" s="84" t="str">
        <f t="shared" si="3"/>
        <v>Deflasi</v>
      </c>
      <c r="L3129" s="91">
        <f t="shared" si="4"/>
        <v>-0.58</v>
      </c>
      <c r="M3129" s="88" t="str">
        <f t="shared" si="5"/>
        <v>Perubahan Normal</v>
      </c>
    </row>
    <row r="3130" ht="18.75" customHeight="1">
      <c r="A3130" s="80" t="s">
        <v>333</v>
      </c>
      <c r="B3130" s="81" t="str">
        <f t="shared" si="6"/>
        <v>Kab Pasaman Barat</v>
      </c>
      <c r="C3130" s="81" t="str">
        <f t="array" ref="C3130">XLOOKUP(B3130,Reference!$A$2:$A$152,Reference!$B$2:$B$152)</f>
        <v>Sumatera Barat</v>
      </c>
      <c r="D3130" s="82" t="s">
        <v>3569</v>
      </c>
      <c r="E3130" s="83">
        <v>45323.0</v>
      </c>
      <c r="F3130" s="84" t="str">
        <f t="array" ref="F3130">XLOOKUP(G3130,Reference!$F:$F,Reference!$D:$D,"null")</f>
        <v>Makanan dan Pakaian </v>
      </c>
      <c r="G3130" s="85" t="s">
        <v>72</v>
      </c>
      <c r="H3130" s="86">
        <v>103.98</v>
      </c>
      <c r="I3130" s="86">
        <v>103.6</v>
      </c>
      <c r="J3130" s="87">
        <f t="shared" si="2"/>
        <v>0.3667953668</v>
      </c>
      <c r="K3130" s="84" t="str">
        <f t="shared" si="3"/>
        <v>Inflasi Normal</v>
      </c>
      <c r="L3130" s="84">
        <f t="shared" si="4"/>
        <v>0.38</v>
      </c>
      <c r="M3130" s="88" t="str">
        <f t="shared" si="5"/>
        <v>Perubahan Normal</v>
      </c>
    </row>
    <row r="3131" ht="18.75" customHeight="1">
      <c r="A3131" s="80" t="s">
        <v>387</v>
      </c>
      <c r="B3131" s="81" t="str">
        <f t="shared" si="6"/>
        <v>Kota Semarang</v>
      </c>
      <c r="C3131" s="81" t="str">
        <f t="array" ref="C3131">XLOOKUP(B3131,Reference!$A$2:$A$152,Reference!$B$2:$B$152)</f>
        <v>Jawa Tengah</v>
      </c>
      <c r="D3131" s="82" t="s">
        <v>3570</v>
      </c>
      <c r="E3131" s="83">
        <v>45323.0</v>
      </c>
      <c r="F3131" s="84" t="str">
        <f t="array" ref="F3131">XLOOKUP(G3131,Reference!$F:$F,Reference!$D:$D,"null")</f>
        <v>Rekreasi dan Kendaraan</v>
      </c>
      <c r="G3131" s="85" t="s">
        <v>105</v>
      </c>
      <c r="H3131" s="86">
        <v>104.6</v>
      </c>
      <c r="I3131" s="86">
        <v>104.35</v>
      </c>
      <c r="J3131" s="87">
        <f t="shared" si="2"/>
        <v>0.2395783421</v>
      </c>
      <c r="K3131" s="84" t="str">
        <f t="shared" si="3"/>
        <v>Inflasi Normal</v>
      </c>
      <c r="L3131" s="84">
        <f t="shared" si="4"/>
        <v>0.25</v>
      </c>
      <c r="M3131" s="88" t="str">
        <f t="shared" si="5"/>
        <v>Perubahan Normal</v>
      </c>
    </row>
    <row r="3132" ht="18.75" customHeight="1">
      <c r="A3132" s="80" t="s">
        <v>466</v>
      </c>
      <c r="B3132" s="81" t="str">
        <f t="shared" si="6"/>
        <v>Kota Surabaya</v>
      </c>
      <c r="C3132" s="81" t="str">
        <f t="array" ref="C3132">XLOOKUP(B3132,Reference!$A$2:$A$152,Reference!$B$2:$B$152)</f>
        <v>Jawa Timur</v>
      </c>
      <c r="D3132" s="82" t="s">
        <v>3571</v>
      </c>
      <c r="E3132" s="83">
        <v>45352.0</v>
      </c>
      <c r="F3132" s="84" t="str">
        <f t="array" ref="F3132">XLOOKUP(G3132,Reference!$F:$F,Reference!$D:$D,"null")</f>
        <v>Rumah Tangga</v>
      </c>
      <c r="G3132" s="85" t="s">
        <v>80</v>
      </c>
      <c r="H3132" s="86">
        <v>102.7</v>
      </c>
      <c r="I3132" s="86">
        <v>102.7</v>
      </c>
      <c r="J3132" s="87">
        <f t="shared" si="2"/>
        <v>0</v>
      </c>
      <c r="K3132" s="84" t="str">
        <f t="shared" si="3"/>
        <v>Stabil</v>
      </c>
      <c r="L3132" s="84">
        <f t="shared" si="4"/>
        <v>0</v>
      </c>
      <c r="M3132" s="88" t="str">
        <f t="shared" si="5"/>
        <v>Perubahan Normal</v>
      </c>
    </row>
    <row r="3133" ht="18.75" customHeight="1">
      <c r="A3133" s="80" t="s">
        <v>905</v>
      </c>
      <c r="B3133" s="81" t="str">
        <f t="shared" si="6"/>
        <v>Kota Ambon</v>
      </c>
      <c r="C3133" s="81" t="str">
        <f t="array" ref="C3133">XLOOKUP(B3133,Reference!$A$2:$A$152,Reference!$B$2:$B$152)</f>
        <v>Maluku</v>
      </c>
      <c r="D3133" s="82" t="s">
        <v>3572</v>
      </c>
      <c r="E3133" s="83">
        <v>45352.0</v>
      </c>
      <c r="F3133" s="84" t="str">
        <f t="array" ref="F3133">XLOOKUP(G3133,Reference!$F:$F,Reference!$D:$D,"null")</f>
        <v>Rumah Tangga</v>
      </c>
      <c r="G3133" s="85" t="s">
        <v>89</v>
      </c>
      <c r="H3133" s="86">
        <v>106.57</v>
      </c>
      <c r="I3133" s="86">
        <v>106.5</v>
      </c>
      <c r="J3133" s="87">
        <f t="shared" si="2"/>
        <v>0.06572769953</v>
      </c>
      <c r="K3133" s="84" t="str">
        <f t="shared" si="3"/>
        <v>Inflasi Normal</v>
      </c>
      <c r="L3133" s="84">
        <f t="shared" si="4"/>
        <v>0.07</v>
      </c>
      <c r="M3133" s="88" t="str">
        <f t="shared" si="5"/>
        <v>Perubahan Normal</v>
      </c>
    </row>
    <row r="3134" ht="18.75" customHeight="1">
      <c r="A3134" s="80" t="s">
        <v>663</v>
      </c>
      <c r="B3134" s="81" t="str">
        <f t="shared" si="6"/>
        <v>Kota Serang</v>
      </c>
      <c r="C3134" s="81" t="str">
        <f t="array" ref="C3134">XLOOKUP(B3134,Reference!$A$2:$A$152,Reference!$B$2:$B$152)</f>
        <v>Banten</v>
      </c>
      <c r="D3134" s="82" t="s">
        <v>3573</v>
      </c>
      <c r="E3134" s="83">
        <v>45352.0</v>
      </c>
      <c r="F3134" s="84" t="str">
        <f t="array" ref="F3134">XLOOKUP(G3134,Reference!$F:$F,Reference!$D:$D,"null")</f>
        <v>Makanan dan Pakaian </v>
      </c>
      <c r="G3134" s="85" t="s">
        <v>48</v>
      </c>
      <c r="H3134" s="86">
        <v>111.77</v>
      </c>
      <c r="I3134" s="86">
        <v>110.15</v>
      </c>
      <c r="J3134" s="87">
        <f t="shared" si="2"/>
        <v>1.470721743</v>
      </c>
      <c r="K3134" s="84" t="str">
        <f t="shared" si="3"/>
        <v>Inflasi Tinggi</v>
      </c>
      <c r="L3134" s="84">
        <f t="shared" si="4"/>
        <v>1.62</v>
      </c>
      <c r="M3134" s="88" t="str">
        <f t="shared" si="5"/>
        <v>Akselerasi Persentase</v>
      </c>
    </row>
    <row r="3135" ht="18.75" customHeight="1">
      <c r="A3135" s="80" t="s">
        <v>535</v>
      </c>
      <c r="B3135" s="81" t="str">
        <f t="shared" si="6"/>
        <v>Kota Tarakan</v>
      </c>
      <c r="C3135" s="81" t="str">
        <f t="array" ref="C3135">XLOOKUP(B3135,Reference!$A$2:$A$152,Reference!$B$2:$B$152)</f>
        <v>Kalimantan Utara</v>
      </c>
      <c r="D3135" s="82" t="s">
        <v>3574</v>
      </c>
      <c r="E3135" s="83">
        <v>45323.0</v>
      </c>
      <c r="F3135" s="84" t="str">
        <f t="array" ref="F3135">XLOOKUP(G3135,Reference!$F:$F,Reference!$D:$D,"null")</f>
        <v>Rumah Tangga</v>
      </c>
      <c r="G3135" s="85" t="s">
        <v>89</v>
      </c>
      <c r="H3135" s="86">
        <v>101.19</v>
      </c>
      <c r="I3135" s="86">
        <v>101.19</v>
      </c>
      <c r="J3135" s="87">
        <f t="shared" si="2"/>
        <v>0</v>
      </c>
      <c r="K3135" s="84" t="str">
        <f t="shared" si="3"/>
        <v>Stabil</v>
      </c>
      <c r="L3135" s="84">
        <f t="shared" si="4"/>
        <v>0</v>
      </c>
      <c r="M3135" s="88" t="str">
        <f t="shared" si="5"/>
        <v>Perubahan Normal</v>
      </c>
    </row>
    <row r="3136" ht="18.75" customHeight="1">
      <c r="A3136" s="80" t="s">
        <v>841</v>
      </c>
      <c r="B3136" s="81" t="str">
        <f t="shared" si="6"/>
        <v>Kab Morowali</v>
      </c>
      <c r="C3136" s="81" t="str">
        <f t="array" ref="C3136">XLOOKUP(B3136,Reference!$A$2:$A$152,Reference!$B$2:$B$152)</f>
        <v>Sulawesi Tengah</v>
      </c>
      <c r="D3136" s="82" t="s">
        <v>3575</v>
      </c>
      <c r="E3136" s="83">
        <v>45323.0</v>
      </c>
      <c r="F3136" s="84" t="str">
        <f t="array" ref="F3136">XLOOKUP(G3136,Reference!$F:$F,Reference!$D:$D,"null")</f>
        <v>Makanan dan Pakaian </v>
      </c>
      <c r="G3136" s="85" t="s">
        <v>64</v>
      </c>
      <c r="H3136" s="86">
        <v>102.37</v>
      </c>
      <c r="I3136" s="86">
        <v>102.37</v>
      </c>
      <c r="J3136" s="87">
        <f t="shared" si="2"/>
        <v>0</v>
      </c>
      <c r="K3136" s="84" t="str">
        <f t="shared" si="3"/>
        <v>Stabil</v>
      </c>
      <c r="L3136" s="84">
        <f t="shared" si="4"/>
        <v>0</v>
      </c>
      <c r="M3136" s="88" t="str">
        <f t="shared" si="5"/>
        <v>Perubahan Normal</v>
      </c>
    </row>
    <row r="3137" ht="18.75" customHeight="1">
      <c r="A3137" s="80" t="s">
        <v>526</v>
      </c>
      <c r="B3137" s="81" t="str">
        <f t="shared" si="6"/>
        <v>Maumere</v>
      </c>
      <c r="C3137" s="81" t="str">
        <f t="array" ref="C3137">XLOOKUP(B3137,Reference!$A$2:$A$152,Reference!$B$2:$B$152)</f>
        <v>Nusa Tenggara Timur (NTT)</v>
      </c>
      <c r="D3137" s="82" t="s">
        <v>3576</v>
      </c>
      <c r="E3137" s="83">
        <v>45323.0</v>
      </c>
      <c r="F3137" s="84" t="str">
        <f t="array" ref="F3137">XLOOKUP(G3137,Reference!$F:$F,Reference!$D:$D,"null")</f>
        <v>Rekreasi dan Kendaraan</v>
      </c>
      <c r="G3137" s="85" t="s">
        <v>102</v>
      </c>
      <c r="H3137" s="86">
        <v>96.99</v>
      </c>
      <c r="I3137" s="86">
        <v>96.99</v>
      </c>
      <c r="J3137" s="87">
        <f t="shared" si="2"/>
        <v>0</v>
      </c>
      <c r="K3137" s="84" t="str">
        <f t="shared" si="3"/>
        <v>Stabil</v>
      </c>
      <c r="L3137" s="84">
        <f t="shared" si="4"/>
        <v>0</v>
      </c>
      <c r="M3137" s="88" t="str">
        <f t="shared" si="5"/>
        <v>Perubahan Normal</v>
      </c>
    </row>
    <row r="3138" ht="18.75" customHeight="1">
      <c r="A3138" s="80" t="s">
        <v>524</v>
      </c>
      <c r="B3138" s="81" t="str">
        <f t="shared" si="6"/>
        <v>Kudus</v>
      </c>
      <c r="C3138" s="81" t="str">
        <f t="array" ref="C3138">XLOOKUP(B3138,Reference!$A$2:$A$152,Reference!$B$2:$B$152)</f>
        <v>Jawa Tengah</v>
      </c>
      <c r="D3138" s="82" t="s">
        <v>3577</v>
      </c>
      <c r="E3138" s="83">
        <v>45323.0</v>
      </c>
      <c r="F3138" s="84" t="str">
        <f t="array" ref="F3138">XLOOKUP(G3138,Reference!$F:$F,Reference!$D:$D,"null")</f>
        <v>Rumah Tangga</v>
      </c>
      <c r="G3138" s="85" t="s">
        <v>84</v>
      </c>
      <c r="H3138" s="86">
        <v>101.17</v>
      </c>
      <c r="I3138" s="86">
        <v>101.02</v>
      </c>
      <c r="J3138" s="87">
        <f t="shared" si="2"/>
        <v>0.1484854484</v>
      </c>
      <c r="K3138" s="84" t="str">
        <f t="shared" si="3"/>
        <v>Inflasi Normal</v>
      </c>
      <c r="L3138" s="84">
        <f t="shared" si="4"/>
        <v>0.15</v>
      </c>
      <c r="M3138" s="88" t="str">
        <f t="shared" si="5"/>
        <v>Perubahan Normal</v>
      </c>
    </row>
    <row r="3139" ht="18.75" customHeight="1">
      <c r="A3139" s="80" t="s">
        <v>320</v>
      </c>
      <c r="B3139" s="81" t="str">
        <f t="shared" si="6"/>
        <v>Kota Manado</v>
      </c>
      <c r="C3139" s="81" t="str">
        <f t="array" ref="C3139">XLOOKUP(B3139,Reference!$A$2:$A$152,Reference!$B$2:$B$152)</f>
        <v>Sulawesi Utara</v>
      </c>
      <c r="D3139" s="82" t="s">
        <v>3578</v>
      </c>
      <c r="E3139" s="83">
        <v>45323.0</v>
      </c>
      <c r="F3139" s="84" t="str">
        <f t="array" ref="F3139">XLOOKUP(G3139,Reference!$F:$F,Reference!$D:$D,"null")</f>
        <v>Rumah Tangga</v>
      </c>
      <c r="G3139" s="85" t="s">
        <v>89</v>
      </c>
      <c r="H3139" s="86">
        <v>104.66</v>
      </c>
      <c r="I3139" s="86">
        <v>104.66</v>
      </c>
      <c r="J3139" s="87">
        <f t="shared" si="2"/>
        <v>0</v>
      </c>
      <c r="K3139" s="84" t="str">
        <f t="shared" si="3"/>
        <v>Stabil</v>
      </c>
      <c r="L3139" s="84">
        <f t="shared" si="4"/>
        <v>0</v>
      </c>
      <c r="M3139" s="88" t="str">
        <f t="shared" si="5"/>
        <v>Perubahan Normal</v>
      </c>
    </row>
    <row r="3140" ht="18.75" customHeight="1">
      <c r="A3140" s="80" t="s">
        <v>331</v>
      </c>
      <c r="B3140" s="81" t="str">
        <f t="shared" si="6"/>
        <v>Kota Lhokseumawe</v>
      </c>
      <c r="C3140" s="81" t="str">
        <f t="array" ref="C3140">XLOOKUP(B3140,Reference!$A$2:$A$152,Reference!$B$2:$B$152)</f>
        <v>Aceh</v>
      </c>
      <c r="D3140" s="82" t="s">
        <v>3579</v>
      </c>
      <c r="E3140" s="83">
        <v>45352.0</v>
      </c>
      <c r="F3140" s="84" t="str">
        <f t="array" ref="F3140">XLOOKUP(G3140,Reference!$F:$F,Reference!$D:$D,"null")</f>
        <v>Rumah Tangga</v>
      </c>
      <c r="G3140" s="85" t="s">
        <v>84</v>
      </c>
      <c r="H3140" s="86">
        <v>101.48</v>
      </c>
      <c r="I3140" s="86">
        <v>101.45</v>
      </c>
      <c r="J3140" s="87">
        <f t="shared" si="2"/>
        <v>0.02957121735</v>
      </c>
      <c r="K3140" s="84" t="str">
        <f t="shared" si="3"/>
        <v>Inflasi Normal</v>
      </c>
      <c r="L3140" s="84">
        <f t="shared" si="4"/>
        <v>0.03</v>
      </c>
      <c r="M3140" s="88" t="str">
        <f t="shared" si="5"/>
        <v>Perubahan Normal</v>
      </c>
    </row>
    <row r="3141" ht="18.75" customHeight="1">
      <c r="A3141" s="80" t="s">
        <v>454</v>
      </c>
      <c r="B3141" s="81" t="str">
        <f t="shared" si="6"/>
        <v>Kab Ketapang</v>
      </c>
      <c r="C3141" s="81" t="str">
        <f t="array" ref="C3141">XLOOKUP(B3141,Reference!$A$2:$A$152,Reference!$B$2:$B$152)</f>
        <v>Kalimantan Barat</v>
      </c>
      <c r="D3141" s="82" t="s">
        <v>3580</v>
      </c>
      <c r="E3141" s="83">
        <v>45323.0</v>
      </c>
      <c r="F3141" s="84" t="str">
        <f t="array" ref="F3141">XLOOKUP(G3141,Reference!$F:$F,Reference!$D:$D,"null")</f>
        <v>Rekreasi dan Kendaraan</v>
      </c>
      <c r="G3141" s="85" t="s">
        <v>102</v>
      </c>
      <c r="H3141" s="86">
        <v>103.08</v>
      </c>
      <c r="I3141" s="86">
        <v>103.08</v>
      </c>
      <c r="J3141" s="87">
        <f t="shared" si="2"/>
        <v>0</v>
      </c>
      <c r="K3141" s="84" t="str">
        <f t="shared" si="3"/>
        <v>Stabil</v>
      </c>
      <c r="L3141" s="84">
        <f t="shared" si="4"/>
        <v>0</v>
      </c>
      <c r="M3141" s="88" t="str">
        <f t="shared" si="5"/>
        <v>Perubahan Normal</v>
      </c>
    </row>
    <row r="3142" ht="18.75" customHeight="1">
      <c r="A3142" s="80" t="s">
        <v>460</v>
      </c>
      <c r="B3142" s="81" t="str">
        <f t="shared" si="6"/>
        <v>Kab Kayong Utara</v>
      </c>
      <c r="C3142" s="81" t="str">
        <f t="array" ref="C3142">XLOOKUP(B3142,Reference!$A$2:$A$152,Reference!$B$2:$B$152)</f>
        <v>Kalimantan Barat</v>
      </c>
      <c r="D3142" s="82" t="s">
        <v>3581</v>
      </c>
      <c r="E3142" s="83">
        <v>45323.0</v>
      </c>
      <c r="F3142" s="84" t="str">
        <f t="array" ref="F3142">XLOOKUP(G3142,Reference!$F:$F,Reference!$D:$D,"null")</f>
        <v>Makanan dan Pakaian </v>
      </c>
      <c r="G3142" s="85" t="s">
        <v>64</v>
      </c>
      <c r="H3142" s="86">
        <v>106.11</v>
      </c>
      <c r="I3142" s="86">
        <v>106.11</v>
      </c>
      <c r="J3142" s="87">
        <f t="shared" si="2"/>
        <v>0</v>
      </c>
      <c r="K3142" s="84" t="str">
        <f t="shared" si="3"/>
        <v>Stabil</v>
      </c>
      <c r="L3142" s="84">
        <f t="shared" si="4"/>
        <v>0</v>
      </c>
      <c r="M3142" s="88" t="str">
        <f t="shared" si="5"/>
        <v>Perubahan Normal</v>
      </c>
    </row>
    <row r="3143" ht="18.75" customHeight="1">
      <c r="A3143" s="80" t="s">
        <v>762</v>
      </c>
      <c r="B3143" s="81" t="str">
        <f t="shared" si="6"/>
        <v>Kota Pangkal Pinang</v>
      </c>
      <c r="C3143" s="81" t="str">
        <f t="array" ref="C3143">XLOOKUP(B3143,Reference!$A$2:$A$152,Reference!$B$2:$B$152)</f>
        <v>Kepulauan Bangka Belitung</v>
      </c>
      <c r="D3143" s="82" t="s">
        <v>3582</v>
      </c>
      <c r="E3143" s="83">
        <v>45352.0</v>
      </c>
      <c r="F3143" s="84" t="str">
        <f t="array" ref="F3143">XLOOKUP(G3143,Reference!$F:$F,Reference!$D:$D,"null")</f>
        <v>Rumah Tangga</v>
      </c>
      <c r="G3143" s="89" t="s">
        <v>84</v>
      </c>
      <c r="H3143" s="90">
        <v>102.21</v>
      </c>
      <c r="I3143" s="90">
        <v>102.21</v>
      </c>
      <c r="J3143" s="87">
        <f t="shared" si="2"/>
        <v>0</v>
      </c>
      <c r="K3143" s="84" t="str">
        <f t="shared" si="3"/>
        <v>Stabil</v>
      </c>
      <c r="L3143" s="91">
        <f t="shared" si="4"/>
        <v>0</v>
      </c>
      <c r="M3143" s="88" t="str">
        <f t="shared" si="5"/>
        <v>Perubahan Normal</v>
      </c>
    </row>
    <row r="3144" ht="18.75" customHeight="1">
      <c r="A3144" s="80" t="s">
        <v>934</v>
      </c>
      <c r="B3144" s="81" t="str">
        <f t="shared" si="6"/>
        <v>Kab Kolaka</v>
      </c>
      <c r="C3144" s="81" t="str">
        <f t="array" ref="C3144">XLOOKUP(B3144,Reference!$A$2:$A$152,Reference!$B$2:$B$152)</f>
        <v>Sulawesi Tenggara</v>
      </c>
      <c r="D3144" s="82" t="s">
        <v>3583</v>
      </c>
      <c r="E3144" s="83">
        <v>45323.0</v>
      </c>
      <c r="F3144" s="84" t="str">
        <f t="array" ref="F3144">XLOOKUP(G3144,Reference!$F:$F,Reference!$D:$D,"null")</f>
        <v>Rekreasi dan Kendaraan</v>
      </c>
      <c r="G3144" s="89" t="s">
        <v>105</v>
      </c>
      <c r="H3144" s="90">
        <v>102.32</v>
      </c>
      <c r="I3144" s="90">
        <v>102.46</v>
      </c>
      <c r="J3144" s="87">
        <f t="shared" si="2"/>
        <v>-0.1366386883</v>
      </c>
      <c r="K3144" s="84" t="str">
        <f t="shared" si="3"/>
        <v>Deflasi</v>
      </c>
      <c r="L3144" s="91">
        <f t="shared" si="4"/>
        <v>-0.14</v>
      </c>
      <c r="M3144" s="88" t="str">
        <f t="shared" si="5"/>
        <v>Perubahan Normal</v>
      </c>
    </row>
    <row r="3145" ht="18.75" customHeight="1">
      <c r="A3145" s="80" t="s">
        <v>294</v>
      </c>
      <c r="B3145" s="81" t="str">
        <f t="shared" si="6"/>
        <v>Kab Labuhanbatu</v>
      </c>
      <c r="C3145" s="81" t="str">
        <f t="array" ref="C3145">XLOOKUP(B3145,Reference!$A$2:$A$152,Reference!$B$2:$B$152)</f>
        <v>Sumatera Utara</v>
      </c>
      <c r="D3145" s="82" t="s">
        <v>3584</v>
      </c>
      <c r="E3145" s="83">
        <v>45352.0</v>
      </c>
      <c r="F3145" s="84" t="str">
        <f t="array" ref="F3145">XLOOKUP(G3145,Reference!$F:$F,Reference!$D:$D,"null")</f>
        <v>Rumah Tangga</v>
      </c>
      <c r="G3145" s="85" t="s">
        <v>89</v>
      </c>
      <c r="H3145" s="86">
        <v>106.31</v>
      </c>
      <c r="I3145" s="86">
        <v>106.31</v>
      </c>
      <c r="J3145" s="87">
        <f t="shared" si="2"/>
        <v>0</v>
      </c>
      <c r="K3145" s="84" t="str">
        <f t="shared" si="3"/>
        <v>Stabil</v>
      </c>
      <c r="L3145" s="84">
        <f t="shared" si="4"/>
        <v>0</v>
      </c>
      <c r="M3145" s="88" t="str">
        <f t="shared" si="5"/>
        <v>Perubahan Normal</v>
      </c>
    </row>
    <row r="3146" ht="18.75" customHeight="1">
      <c r="A3146" s="80" t="s">
        <v>654</v>
      </c>
      <c r="B3146" s="81" t="str">
        <f t="shared" si="6"/>
        <v>Kab Aceh Tengah</v>
      </c>
      <c r="C3146" s="81" t="str">
        <f t="array" ref="C3146">XLOOKUP(B3146,Reference!$A$2:$A$152,Reference!$B$2:$B$152)</f>
        <v>Aceh</v>
      </c>
      <c r="D3146" s="82" t="s">
        <v>3585</v>
      </c>
      <c r="E3146" s="83">
        <v>45323.0</v>
      </c>
      <c r="F3146" s="84" t="str">
        <f t="array" ref="F3146">XLOOKUP(G3146,Reference!$F:$F,Reference!$D:$D,"null")</f>
        <v>Rumah Tangga</v>
      </c>
      <c r="G3146" s="85" t="s">
        <v>89</v>
      </c>
      <c r="H3146" s="86">
        <v>107.98</v>
      </c>
      <c r="I3146" s="86">
        <v>106.71</v>
      </c>
      <c r="J3146" s="87">
        <f t="shared" si="2"/>
        <v>1.190141505</v>
      </c>
      <c r="K3146" s="84" t="str">
        <f t="shared" si="3"/>
        <v>Inflasi Tinggi</v>
      </c>
      <c r="L3146" s="84">
        <f t="shared" si="4"/>
        <v>1.27</v>
      </c>
      <c r="M3146" s="88" t="str">
        <f t="shared" si="5"/>
        <v>Akselerasi Persentase</v>
      </c>
    </row>
    <row r="3147" ht="18.75" customHeight="1">
      <c r="A3147" s="80" t="s">
        <v>298</v>
      </c>
      <c r="B3147" s="81" t="str">
        <f t="shared" si="6"/>
        <v>Kota Bekasi</v>
      </c>
      <c r="C3147" s="81" t="str">
        <f t="array" ref="C3147">XLOOKUP(B3147,Reference!$A$2:$A$152,Reference!$B$2:$B$152)</f>
        <v>Jawa Barat</v>
      </c>
      <c r="D3147" s="82" t="s">
        <v>3586</v>
      </c>
      <c r="E3147" s="83">
        <v>45323.0</v>
      </c>
      <c r="F3147" s="84" t="str">
        <f t="array" ref="F3147">XLOOKUP(G3147,Reference!$F:$F,Reference!$D:$D,"null")</f>
        <v>Rekreasi dan Kendaraan</v>
      </c>
      <c r="G3147" s="85" t="s">
        <v>102</v>
      </c>
      <c r="H3147" s="86">
        <v>110.05</v>
      </c>
      <c r="I3147" s="86">
        <v>110.03</v>
      </c>
      <c r="J3147" s="87">
        <f t="shared" si="2"/>
        <v>0.01817686086</v>
      </c>
      <c r="K3147" s="84" t="str">
        <f t="shared" si="3"/>
        <v>Inflasi Normal</v>
      </c>
      <c r="L3147" s="84">
        <f t="shared" si="4"/>
        <v>0.02</v>
      </c>
      <c r="M3147" s="88" t="str">
        <f t="shared" si="5"/>
        <v>Perubahan Normal</v>
      </c>
    </row>
    <row r="3148" ht="18.75" customHeight="1">
      <c r="A3148" s="80" t="s">
        <v>326</v>
      </c>
      <c r="B3148" s="81" t="str">
        <f t="shared" si="6"/>
        <v>Luwuk</v>
      </c>
      <c r="C3148" s="81" t="str">
        <f t="array" ref="C3148">XLOOKUP(B3148,Reference!$A$2:$A$152,Reference!$B$2:$B$152)</f>
        <v>Sulawesi Tengah</v>
      </c>
      <c r="D3148" s="82" t="s">
        <v>3587</v>
      </c>
      <c r="E3148" s="83">
        <v>45352.0</v>
      </c>
      <c r="F3148" s="84" t="str">
        <f t="array" ref="F3148">XLOOKUP(G3148,Reference!$F:$F,Reference!$D:$D,"null")</f>
        <v>Rumah Tangga</v>
      </c>
      <c r="G3148" s="85" t="s">
        <v>84</v>
      </c>
      <c r="H3148" s="86">
        <v>106.77</v>
      </c>
      <c r="I3148" s="86">
        <v>106.77</v>
      </c>
      <c r="J3148" s="87">
        <f t="shared" si="2"/>
        <v>0</v>
      </c>
      <c r="K3148" s="84" t="str">
        <f t="shared" si="3"/>
        <v>Stabil</v>
      </c>
      <c r="L3148" s="84">
        <f t="shared" si="4"/>
        <v>0</v>
      </c>
      <c r="M3148" s="88" t="str">
        <f t="shared" si="5"/>
        <v>Perubahan Normal</v>
      </c>
    </row>
    <row r="3149" ht="18.75" customHeight="1">
      <c r="A3149" s="80" t="s">
        <v>600</v>
      </c>
      <c r="B3149" s="81" t="str">
        <f t="shared" si="6"/>
        <v>Kota Banda Aceh</v>
      </c>
      <c r="C3149" s="81" t="str">
        <f t="array" ref="C3149">XLOOKUP(B3149,Reference!$A$2:$A$152,Reference!$B$2:$B$152)</f>
        <v>Aceh</v>
      </c>
      <c r="D3149" s="82" t="s">
        <v>3588</v>
      </c>
      <c r="E3149" s="83">
        <v>45352.0</v>
      </c>
      <c r="F3149" s="84" t="str">
        <f t="array" ref="F3149">XLOOKUP(G3149,Reference!$F:$F,Reference!$D:$D,"null")</f>
        <v>Makanan dan Pakaian </v>
      </c>
      <c r="G3149" s="85" t="s">
        <v>72</v>
      </c>
      <c r="H3149" s="86">
        <v>102.0</v>
      </c>
      <c r="I3149" s="86">
        <v>101.89</v>
      </c>
      <c r="J3149" s="87">
        <f t="shared" si="2"/>
        <v>0.1079595642</v>
      </c>
      <c r="K3149" s="84" t="str">
        <f t="shared" si="3"/>
        <v>Inflasi Normal</v>
      </c>
      <c r="L3149" s="84">
        <f t="shared" si="4"/>
        <v>0.11</v>
      </c>
      <c r="M3149" s="88" t="str">
        <f t="shared" si="5"/>
        <v>Perubahan Normal</v>
      </c>
    </row>
    <row r="3150" ht="18.75" customHeight="1">
      <c r="A3150" s="80" t="s">
        <v>535</v>
      </c>
      <c r="B3150" s="81" t="str">
        <f t="shared" si="6"/>
        <v>Kota Tarakan</v>
      </c>
      <c r="C3150" s="81" t="str">
        <f t="array" ref="C3150">XLOOKUP(B3150,Reference!$A$2:$A$152,Reference!$B$2:$B$152)</f>
        <v>Kalimantan Utara</v>
      </c>
      <c r="D3150" s="82" t="s">
        <v>3589</v>
      </c>
      <c r="E3150" s="83">
        <v>45323.0</v>
      </c>
      <c r="F3150" s="84" t="str">
        <f t="array" ref="F3150">XLOOKUP(G3150,Reference!$F:$F,Reference!$D:$D,"null")</f>
        <v>Makanan dan Pakaian </v>
      </c>
      <c r="G3150" s="85" t="s">
        <v>48</v>
      </c>
      <c r="H3150" s="86">
        <v>105.96</v>
      </c>
      <c r="I3150" s="86">
        <v>104.23</v>
      </c>
      <c r="J3150" s="87">
        <f t="shared" si="2"/>
        <v>1.659790847</v>
      </c>
      <c r="K3150" s="84" t="str">
        <f t="shared" si="3"/>
        <v>Inflasi Tinggi</v>
      </c>
      <c r="L3150" s="84">
        <f t="shared" si="4"/>
        <v>1.73</v>
      </c>
      <c r="M3150" s="88" t="str">
        <f t="shared" si="5"/>
        <v>Akselerasi Persentase</v>
      </c>
    </row>
    <row r="3151" ht="18.75" customHeight="1">
      <c r="A3151" s="80" t="s">
        <v>337</v>
      </c>
      <c r="B3151" s="81" t="str">
        <f t="shared" si="6"/>
        <v>Merauke</v>
      </c>
      <c r="C3151" s="81" t="str">
        <f t="array" ref="C3151">XLOOKUP(B3151,Reference!$A$2:$A$152,Reference!$B$2:$B$152)</f>
        <v>Papua</v>
      </c>
      <c r="D3151" s="82" t="s">
        <v>3590</v>
      </c>
      <c r="E3151" s="83">
        <v>45352.0</v>
      </c>
      <c r="F3151" s="84" t="str">
        <f t="array" ref="F3151">XLOOKUP(G3151,Reference!$F:$F,Reference!$D:$D,"null")</f>
        <v>Makanan dan Pakaian </v>
      </c>
      <c r="G3151" s="85" t="s">
        <v>72</v>
      </c>
      <c r="H3151" s="86">
        <v>104.14</v>
      </c>
      <c r="I3151" s="86">
        <v>104.14</v>
      </c>
      <c r="J3151" s="87">
        <f t="shared" si="2"/>
        <v>0</v>
      </c>
      <c r="K3151" s="84" t="str">
        <f t="shared" si="3"/>
        <v>Stabil</v>
      </c>
      <c r="L3151" s="84">
        <f t="shared" si="4"/>
        <v>0</v>
      </c>
      <c r="M3151" s="88" t="str">
        <f t="shared" si="5"/>
        <v>Perubahan Normal</v>
      </c>
    </row>
    <row r="3152" ht="18.75" customHeight="1">
      <c r="A3152" s="80" t="s">
        <v>376</v>
      </c>
      <c r="B3152" s="81" t="str">
        <f t="shared" si="6"/>
        <v>Bulukumba</v>
      </c>
      <c r="C3152" s="81" t="str">
        <f t="array" ref="C3152">XLOOKUP(B3152,Reference!$A$2:$A$152,Reference!$B$2:$B$152)</f>
        <v>Sulawesi Selatan</v>
      </c>
      <c r="D3152" s="82" t="s">
        <v>3591</v>
      </c>
      <c r="E3152" s="83">
        <v>45352.0</v>
      </c>
      <c r="F3152" s="84" t="str">
        <f t="array" ref="F3152">XLOOKUP(G3152,Reference!$F:$F,Reference!$D:$D,"null")</f>
        <v>Makanan dan Pakaian </v>
      </c>
      <c r="G3152" s="85" t="s">
        <v>72</v>
      </c>
      <c r="H3152" s="86">
        <v>102.62</v>
      </c>
      <c r="I3152" s="86">
        <v>102.64</v>
      </c>
      <c r="J3152" s="87">
        <f t="shared" si="2"/>
        <v>-0.01948558067</v>
      </c>
      <c r="K3152" s="84" t="str">
        <f t="shared" si="3"/>
        <v>Deflasi</v>
      </c>
      <c r="L3152" s="84">
        <f t="shared" si="4"/>
        <v>-0.02</v>
      </c>
      <c r="M3152" s="88" t="str">
        <f t="shared" si="5"/>
        <v>Perubahan Normal</v>
      </c>
    </row>
    <row r="3153" ht="18.75" customHeight="1">
      <c r="A3153" s="80" t="s">
        <v>517</v>
      </c>
      <c r="B3153" s="81" t="str">
        <f t="shared" si="6"/>
        <v>Kota Kupang</v>
      </c>
      <c r="C3153" s="81" t="str">
        <f t="array" ref="C3153">XLOOKUP(B3153,Reference!$A$2:$A$152,Reference!$B$2:$B$152)</f>
        <v>Nusa Tenggara Timur (NTT)</v>
      </c>
      <c r="D3153" s="82" t="s">
        <v>3592</v>
      </c>
      <c r="E3153" s="83">
        <v>45323.0</v>
      </c>
      <c r="F3153" s="84" t="str">
        <f t="array" ref="F3153">XLOOKUP(G3153,Reference!$F:$F,Reference!$D:$D,"null")</f>
        <v>Rekreasi dan Kendaraan</v>
      </c>
      <c r="G3153" s="85" t="s">
        <v>105</v>
      </c>
      <c r="H3153" s="86">
        <v>105.37</v>
      </c>
      <c r="I3153" s="86">
        <v>105.3</v>
      </c>
      <c r="J3153" s="87">
        <f t="shared" si="2"/>
        <v>0.06647673314</v>
      </c>
      <c r="K3153" s="84" t="str">
        <f t="shared" si="3"/>
        <v>Inflasi Normal</v>
      </c>
      <c r="L3153" s="84">
        <f t="shared" si="4"/>
        <v>0.07</v>
      </c>
      <c r="M3153" s="88" t="str">
        <f t="shared" si="5"/>
        <v>Perubahan Normal</v>
      </c>
    </row>
    <row r="3154" ht="18.75" customHeight="1">
      <c r="A3154" s="80" t="s">
        <v>421</v>
      </c>
      <c r="B3154" s="81" t="str">
        <f t="shared" si="6"/>
        <v>Kab Halmahera Tengah</v>
      </c>
      <c r="C3154" s="81" t="str">
        <f t="array" ref="C3154">XLOOKUP(B3154,Reference!$A$2:$A$152,Reference!$B$2:$B$152)</f>
        <v>Maluku Utara</v>
      </c>
      <c r="D3154" s="82" t="s">
        <v>3593</v>
      </c>
      <c r="E3154" s="83">
        <v>45352.0</v>
      </c>
      <c r="F3154" s="84" t="str">
        <f t="array" ref="F3154">XLOOKUP(G3154,Reference!$F:$F,Reference!$D:$D,"null")</f>
        <v>Makanan dan Pakaian </v>
      </c>
      <c r="G3154" s="85" t="s">
        <v>56</v>
      </c>
      <c r="H3154" s="86">
        <v>106.01</v>
      </c>
      <c r="I3154" s="86">
        <v>106.01</v>
      </c>
      <c r="J3154" s="87">
        <f t="shared" si="2"/>
        <v>0</v>
      </c>
      <c r="K3154" s="84" t="str">
        <f t="shared" si="3"/>
        <v>Stabil</v>
      </c>
      <c r="L3154" s="84">
        <f t="shared" si="4"/>
        <v>0</v>
      </c>
      <c r="M3154" s="88" t="str">
        <f t="shared" si="5"/>
        <v>Perubahan Normal</v>
      </c>
    </row>
    <row r="3155" ht="18.75" customHeight="1">
      <c r="A3155" s="80" t="s">
        <v>598</v>
      </c>
      <c r="B3155" s="81" t="str">
        <f t="shared" si="6"/>
        <v>Kota Surakarta</v>
      </c>
      <c r="C3155" s="81" t="str">
        <f t="array" ref="C3155">XLOOKUP(B3155,Reference!$A$2:$A$152,Reference!$B$2:$B$152)</f>
        <v>Jawa Tengah</v>
      </c>
      <c r="D3155" s="82" t="s">
        <v>3594</v>
      </c>
      <c r="E3155" s="83">
        <v>45352.0</v>
      </c>
      <c r="F3155" s="84" t="str">
        <f t="array" ref="F3155">XLOOKUP(G3155,Reference!$F:$F,Reference!$D:$D,"null")</f>
        <v>Makanan dan Pakaian </v>
      </c>
      <c r="G3155" s="85" t="s">
        <v>56</v>
      </c>
      <c r="H3155" s="86">
        <v>108.6</v>
      </c>
      <c r="I3155" s="86">
        <v>108.93</v>
      </c>
      <c r="J3155" s="87">
        <f t="shared" si="2"/>
        <v>-0.3029468466</v>
      </c>
      <c r="K3155" s="84" t="str">
        <f t="shared" si="3"/>
        <v>Deflasi</v>
      </c>
      <c r="L3155" s="84">
        <f t="shared" si="4"/>
        <v>-0.33</v>
      </c>
      <c r="M3155" s="88" t="str">
        <f t="shared" si="5"/>
        <v>Perubahan Normal</v>
      </c>
    </row>
    <row r="3156" ht="18.75" customHeight="1">
      <c r="A3156" s="80" t="s">
        <v>367</v>
      </c>
      <c r="B3156" s="81" t="str">
        <f t="shared" si="6"/>
        <v>Kota Jambi</v>
      </c>
      <c r="C3156" s="81" t="str">
        <f t="array" ref="C3156">XLOOKUP(B3156,Reference!$A$2:$A$152,Reference!$B$2:$B$152)</f>
        <v>Jambi</v>
      </c>
      <c r="D3156" s="82" t="s">
        <v>3595</v>
      </c>
      <c r="E3156" s="83">
        <v>45323.0</v>
      </c>
      <c r="F3156" s="84" t="str">
        <f t="array" ref="F3156">XLOOKUP(G3156,Reference!$F:$F,Reference!$D:$D,"null")</f>
        <v>Rekreasi dan Kendaraan</v>
      </c>
      <c r="G3156" s="89" t="s">
        <v>105</v>
      </c>
      <c r="H3156" s="90">
        <v>103.41</v>
      </c>
      <c r="I3156" s="90">
        <v>103.41</v>
      </c>
      <c r="J3156" s="87">
        <f t="shared" si="2"/>
        <v>0</v>
      </c>
      <c r="K3156" s="84" t="str">
        <f t="shared" si="3"/>
        <v>Stabil</v>
      </c>
      <c r="L3156" s="91">
        <f t="shared" si="4"/>
        <v>0</v>
      </c>
      <c r="M3156" s="88" t="str">
        <f t="shared" si="5"/>
        <v>Perubahan Normal</v>
      </c>
    </row>
    <row r="3157" ht="18.75" customHeight="1">
      <c r="A3157" s="80" t="s">
        <v>367</v>
      </c>
      <c r="B3157" s="81" t="str">
        <f t="shared" si="6"/>
        <v>Kota Jambi</v>
      </c>
      <c r="C3157" s="81" t="str">
        <f t="array" ref="C3157">XLOOKUP(B3157,Reference!$A$2:$A$152,Reference!$B$2:$B$152)</f>
        <v>Jambi</v>
      </c>
      <c r="D3157" s="82" t="s">
        <v>3596</v>
      </c>
      <c r="E3157" s="83">
        <v>45323.0</v>
      </c>
      <c r="F3157" s="84" t="str">
        <f t="array" ref="F3157">XLOOKUP(G3157,Reference!$F:$F,Reference!$D:$D,"null")</f>
        <v>Rumah Tangga</v>
      </c>
      <c r="G3157" s="85" t="s">
        <v>89</v>
      </c>
      <c r="H3157" s="86">
        <v>104.42</v>
      </c>
      <c r="I3157" s="86">
        <v>104.42</v>
      </c>
      <c r="J3157" s="87">
        <f t="shared" si="2"/>
        <v>0</v>
      </c>
      <c r="K3157" s="84" t="str">
        <f t="shared" si="3"/>
        <v>Stabil</v>
      </c>
      <c r="L3157" s="84">
        <f t="shared" si="4"/>
        <v>0</v>
      </c>
      <c r="M3157" s="88" t="str">
        <f t="shared" si="5"/>
        <v>Perubahan Normal</v>
      </c>
    </row>
    <row r="3158" ht="18.75" customHeight="1">
      <c r="A3158" s="80" t="s">
        <v>483</v>
      </c>
      <c r="B3158" s="81" t="str">
        <f t="shared" si="6"/>
        <v>Kota Padangsidimpuan</v>
      </c>
      <c r="C3158" s="81" t="str">
        <f t="array" ref="C3158">XLOOKUP(B3158,Reference!$A$2:$A$152,Reference!$B$2:$B$152)</f>
        <v>Sumatera Utara</v>
      </c>
      <c r="D3158" s="82" t="s">
        <v>3597</v>
      </c>
      <c r="E3158" s="83">
        <v>45323.0</v>
      </c>
      <c r="F3158" s="84" t="str">
        <f t="array" ref="F3158">XLOOKUP(G3158,Reference!$F:$F,Reference!$D:$D,"null")</f>
        <v>Pendidikan dan Kesehatan</v>
      </c>
      <c r="G3158" s="85" t="s">
        <v>98</v>
      </c>
      <c r="H3158" s="86">
        <v>107.05</v>
      </c>
      <c r="I3158" s="86">
        <v>106.35</v>
      </c>
      <c r="J3158" s="87">
        <f t="shared" si="2"/>
        <v>0.6582040433</v>
      </c>
      <c r="K3158" s="84" t="str">
        <f t="shared" si="3"/>
        <v>Inflasi Tinggi</v>
      </c>
      <c r="L3158" s="84">
        <f t="shared" si="4"/>
        <v>0.7</v>
      </c>
      <c r="M3158" s="88" t="str">
        <f t="shared" si="5"/>
        <v>Akselerasi Persentase</v>
      </c>
    </row>
    <row r="3159" ht="18.75" customHeight="1">
      <c r="A3159" s="80" t="s">
        <v>353</v>
      </c>
      <c r="B3159" s="81" t="str">
        <f t="shared" si="6"/>
        <v>Kota Bau Bau</v>
      </c>
      <c r="C3159" s="81" t="str">
        <f t="array" ref="C3159">XLOOKUP(B3159,Reference!$A$2:$A$152,Reference!$B$2:$B$152)</f>
        <v>Sulawesi Tenggara</v>
      </c>
      <c r="D3159" s="82" t="s">
        <v>3598</v>
      </c>
      <c r="E3159" s="83">
        <v>45352.0</v>
      </c>
      <c r="F3159" s="84" t="str">
        <f t="array" ref="F3159">XLOOKUP(G3159,Reference!$F:$F,Reference!$D:$D,"null")</f>
        <v>Makanan dan Pakaian </v>
      </c>
      <c r="G3159" s="85" t="s">
        <v>48</v>
      </c>
      <c r="H3159" s="86">
        <v>108.44</v>
      </c>
      <c r="I3159" s="86">
        <v>111.45</v>
      </c>
      <c r="J3159" s="87">
        <f t="shared" si="2"/>
        <v>-2.700762674</v>
      </c>
      <c r="K3159" s="84" t="str">
        <f t="shared" si="3"/>
        <v>Deflasi</v>
      </c>
      <c r="L3159" s="84">
        <f t="shared" si="4"/>
        <v>-3.01</v>
      </c>
      <c r="M3159" s="88" t="str">
        <f t="shared" si="5"/>
        <v>Perubahan Normal</v>
      </c>
    </row>
    <row r="3160" ht="18.75" customHeight="1">
      <c r="A3160" s="80" t="s">
        <v>414</v>
      </c>
      <c r="B3160" s="81" t="str">
        <f t="shared" si="6"/>
        <v>Kota Bandung</v>
      </c>
      <c r="C3160" s="81" t="str">
        <f t="array" ref="C3160">XLOOKUP(B3160,Reference!$A$2:$A$152,Reference!$B$2:$B$152)</f>
        <v>Jawa Barat</v>
      </c>
      <c r="D3160" s="82" t="s">
        <v>3599</v>
      </c>
      <c r="E3160" s="83">
        <v>45323.0</v>
      </c>
      <c r="F3160" s="84" t="str">
        <f t="array" ref="F3160">XLOOKUP(G3160,Reference!$F:$F,Reference!$D:$D,"null")</f>
        <v>Rumah Tangga</v>
      </c>
      <c r="G3160" s="85" t="s">
        <v>89</v>
      </c>
      <c r="H3160" s="86">
        <v>99.95</v>
      </c>
      <c r="I3160" s="86">
        <v>99.95</v>
      </c>
      <c r="J3160" s="87">
        <f t="shared" si="2"/>
        <v>0</v>
      </c>
      <c r="K3160" s="84" t="str">
        <f t="shared" si="3"/>
        <v>Stabil</v>
      </c>
      <c r="L3160" s="84">
        <f t="shared" si="4"/>
        <v>0</v>
      </c>
      <c r="M3160" s="88" t="str">
        <f t="shared" si="5"/>
        <v>Perubahan Normal</v>
      </c>
    </row>
    <row r="3161" ht="18.75" customHeight="1">
      <c r="A3161" s="80" t="s">
        <v>558</v>
      </c>
      <c r="B3161" s="81" t="str">
        <f t="shared" si="6"/>
        <v>Kab Kapuas</v>
      </c>
      <c r="C3161" s="81" t="str">
        <f t="array" ref="C3161">XLOOKUP(B3161,Reference!$A$2:$A$152,Reference!$B$2:$B$152)</f>
        <v>Kalimantan Tengah</v>
      </c>
      <c r="D3161" s="82" t="s">
        <v>3600</v>
      </c>
      <c r="E3161" s="83">
        <v>45323.0</v>
      </c>
      <c r="F3161" s="84" t="str">
        <f t="array" ref="F3161">XLOOKUP(G3161,Reference!$F:$F,Reference!$D:$D,"null")</f>
        <v>Pendidikan dan Kesehatan</v>
      </c>
      <c r="G3161" s="85" t="s">
        <v>98</v>
      </c>
      <c r="H3161" s="86">
        <v>95.69</v>
      </c>
      <c r="I3161" s="86">
        <v>95.69</v>
      </c>
      <c r="J3161" s="87">
        <f t="shared" si="2"/>
        <v>0</v>
      </c>
      <c r="K3161" s="84" t="str">
        <f t="shared" si="3"/>
        <v>Stabil</v>
      </c>
      <c r="L3161" s="84">
        <f t="shared" si="4"/>
        <v>0</v>
      </c>
      <c r="M3161" s="88" t="str">
        <f t="shared" si="5"/>
        <v>Perubahan Normal</v>
      </c>
    </row>
    <row r="3162" ht="18.75" customHeight="1">
      <c r="A3162" s="80" t="s">
        <v>526</v>
      </c>
      <c r="B3162" s="81" t="str">
        <f t="shared" si="6"/>
        <v>Maumere</v>
      </c>
      <c r="C3162" s="81" t="str">
        <f t="array" ref="C3162">XLOOKUP(B3162,Reference!$A$2:$A$152,Reference!$B$2:$B$152)</f>
        <v>Nusa Tenggara Timur (NTT)</v>
      </c>
      <c r="D3162" s="82" t="s">
        <v>3601</v>
      </c>
      <c r="E3162" s="83">
        <v>45352.0</v>
      </c>
      <c r="F3162" s="84" t="str">
        <f t="array" ref="F3162">XLOOKUP(G3162,Reference!$F:$F,Reference!$D:$D,"null")</f>
        <v>Rekreasi dan Kendaraan</v>
      </c>
      <c r="G3162" s="85" t="s">
        <v>105</v>
      </c>
      <c r="H3162" s="86">
        <v>104.84</v>
      </c>
      <c r="I3162" s="86">
        <v>104.28</v>
      </c>
      <c r="J3162" s="87">
        <f t="shared" si="2"/>
        <v>0.5370157269</v>
      </c>
      <c r="K3162" s="84" t="str">
        <f t="shared" si="3"/>
        <v>Inflasi Tinggi</v>
      </c>
      <c r="L3162" s="84">
        <f t="shared" si="4"/>
        <v>0.56</v>
      </c>
      <c r="M3162" s="88" t="str">
        <f t="shared" si="5"/>
        <v>Akselerasi Persentase</v>
      </c>
    </row>
    <row r="3163" ht="18.75" customHeight="1">
      <c r="A3163" s="80" t="s">
        <v>340</v>
      </c>
      <c r="B3163" s="81" t="str">
        <f t="shared" si="6"/>
        <v>Kab Rembang</v>
      </c>
      <c r="C3163" s="81" t="str">
        <f t="array" ref="C3163">XLOOKUP(B3163,Reference!$A$2:$A$152,Reference!$B$2:$B$152)</f>
        <v>Jawa Tengah</v>
      </c>
      <c r="D3163" s="82" t="s">
        <v>3602</v>
      </c>
      <c r="E3163" s="83">
        <v>45352.0</v>
      </c>
      <c r="F3163" s="84" t="str">
        <f t="array" ref="F3163">XLOOKUP(G3163,Reference!$F:$F,Reference!$D:$D,"null")</f>
        <v>Rekreasi dan Kendaraan</v>
      </c>
      <c r="G3163" s="85" t="s">
        <v>105</v>
      </c>
      <c r="H3163" s="86">
        <v>101.9</v>
      </c>
      <c r="I3163" s="86">
        <v>101.58</v>
      </c>
      <c r="J3163" s="87">
        <f t="shared" si="2"/>
        <v>0.3150226423</v>
      </c>
      <c r="K3163" s="84" t="str">
        <f t="shared" si="3"/>
        <v>Inflasi Normal</v>
      </c>
      <c r="L3163" s="84">
        <f t="shared" si="4"/>
        <v>0.32</v>
      </c>
      <c r="M3163" s="88" t="str">
        <f t="shared" si="5"/>
        <v>Perubahan Normal</v>
      </c>
    </row>
    <row r="3164" ht="18.75" customHeight="1">
      <c r="A3164" s="80" t="s">
        <v>310</v>
      </c>
      <c r="B3164" s="81" t="str">
        <f t="shared" si="6"/>
        <v>Kab Kampar</v>
      </c>
      <c r="C3164" s="81" t="str">
        <f t="array" ref="C3164">XLOOKUP(B3164,Reference!$A$2:$A$152,Reference!$B$2:$B$152)</f>
        <v>Riau</v>
      </c>
      <c r="D3164" s="82" t="s">
        <v>3603</v>
      </c>
      <c r="E3164" s="83">
        <v>45352.0</v>
      </c>
      <c r="F3164" s="84" t="str">
        <f t="array" ref="F3164">XLOOKUP(G3164,Reference!$F:$F,Reference!$D:$D,"null")</f>
        <v>Pendidikan dan Kesehatan</v>
      </c>
      <c r="G3164" s="85" t="s">
        <v>98</v>
      </c>
      <c r="H3164" s="86">
        <v>107.7</v>
      </c>
      <c r="I3164" s="86">
        <v>112.74</v>
      </c>
      <c r="J3164" s="87">
        <f t="shared" si="2"/>
        <v>-4.470463012</v>
      </c>
      <c r="K3164" s="84" t="str">
        <f t="shared" si="3"/>
        <v>Deflasi</v>
      </c>
      <c r="L3164" s="84">
        <f t="shared" si="4"/>
        <v>-5.04</v>
      </c>
      <c r="M3164" s="88" t="str">
        <f t="shared" si="5"/>
        <v>Perubahan Normal</v>
      </c>
    </row>
    <row r="3165" ht="18.75" customHeight="1">
      <c r="A3165" s="80" t="s">
        <v>419</v>
      </c>
      <c r="B3165" s="81" t="str">
        <f t="shared" si="6"/>
        <v>Kota Singkawang</v>
      </c>
      <c r="C3165" s="81" t="str">
        <f t="array" ref="C3165">XLOOKUP(B3165,Reference!$A$2:$A$152,Reference!$B$2:$B$152)</f>
        <v>Kalimantan Barat</v>
      </c>
      <c r="D3165" s="82" t="s">
        <v>3604</v>
      </c>
      <c r="E3165" s="83">
        <v>45352.0</v>
      </c>
      <c r="F3165" s="84" t="str">
        <f t="array" ref="F3165">XLOOKUP(G3165,Reference!$F:$F,Reference!$D:$D,"null")</f>
        <v>Rumah Tangga</v>
      </c>
      <c r="G3165" s="85" t="s">
        <v>89</v>
      </c>
      <c r="H3165" s="86">
        <v>100.32</v>
      </c>
      <c r="I3165" s="86">
        <v>100.32</v>
      </c>
      <c r="J3165" s="87">
        <f t="shared" si="2"/>
        <v>0</v>
      </c>
      <c r="K3165" s="84" t="str">
        <f t="shared" si="3"/>
        <v>Stabil</v>
      </c>
      <c r="L3165" s="84">
        <f t="shared" si="4"/>
        <v>0</v>
      </c>
      <c r="M3165" s="88" t="str">
        <f t="shared" si="5"/>
        <v>Perubahan Normal</v>
      </c>
    </row>
    <row r="3166" ht="18.75" customHeight="1">
      <c r="A3166" s="80" t="s">
        <v>965</v>
      </c>
      <c r="B3166" s="81" t="str">
        <f t="shared" si="6"/>
        <v>Kab Konawe</v>
      </c>
      <c r="C3166" s="81" t="str">
        <f t="array" ref="C3166">XLOOKUP(B3166,Reference!$A$2:$A$152,Reference!$B$2:$B$152)</f>
        <v>Sulawesi Tenggara</v>
      </c>
      <c r="D3166" s="82" t="s">
        <v>3605</v>
      </c>
      <c r="E3166" s="83">
        <v>45323.0</v>
      </c>
      <c r="F3166" s="84" t="str">
        <f t="array" ref="F3166">XLOOKUP(G3166,Reference!$F:$F,Reference!$D:$D,"null")</f>
        <v>Pendidikan dan Kesehatan</v>
      </c>
      <c r="G3166" s="85" t="s">
        <v>95</v>
      </c>
      <c r="H3166" s="86">
        <v>100.0</v>
      </c>
      <c r="I3166" s="86">
        <v>100.0</v>
      </c>
      <c r="J3166" s="87">
        <f t="shared" si="2"/>
        <v>0</v>
      </c>
      <c r="K3166" s="84" t="str">
        <f t="shared" si="3"/>
        <v>Stabil</v>
      </c>
      <c r="L3166" s="84">
        <f t="shared" si="4"/>
        <v>0</v>
      </c>
      <c r="M3166" s="88" t="str">
        <f t="shared" si="5"/>
        <v>Perubahan Normal</v>
      </c>
    </row>
    <row r="3167" ht="18.75" customHeight="1">
      <c r="A3167" s="80" t="s">
        <v>669</v>
      </c>
      <c r="B3167" s="81" t="str">
        <f t="shared" si="6"/>
        <v>Kab Sidenreng Rappang</v>
      </c>
      <c r="C3167" s="81" t="str">
        <f t="array" ref="C3167">XLOOKUP(B3167,Reference!$A$2:$A$152,Reference!$B$2:$B$152)</f>
        <v>Sulawesi Selatan</v>
      </c>
      <c r="D3167" s="82" t="s">
        <v>3606</v>
      </c>
      <c r="E3167" s="83">
        <v>45352.0</v>
      </c>
      <c r="F3167" s="84" t="str">
        <f t="array" ref="F3167">XLOOKUP(G3167,Reference!$F:$F,Reference!$D:$D,"null")</f>
        <v>Makanan dan Pakaian </v>
      </c>
      <c r="G3167" s="89" t="s">
        <v>56</v>
      </c>
      <c r="H3167" s="90">
        <v>95.01</v>
      </c>
      <c r="I3167" s="90">
        <v>95.01</v>
      </c>
      <c r="J3167" s="87">
        <f t="shared" si="2"/>
        <v>0</v>
      </c>
      <c r="K3167" s="84" t="str">
        <f t="shared" si="3"/>
        <v>Stabil</v>
      </c>
      <c r="L3167" s="91">
        <f t="shared" si="4"/>
        <v>0</v>
      </c>
      <c r="M3167" s="88" t="str">
        <f t="shared" si="5"/>
        <v>Perubahan Normal</v>
      </c>
    </row>
    <row r="3168" ht="18.75" customHeight="1">
      <c r="A3168" s="80" t="s">
        <v>548</v>
      </c>
      <c r="B3168" s="81" t="str">
        <f t="shared" si="6"/>
        <v>Kota Metro</v>
      </c>
      <c r="C3168" s="81" t="str">
        <f t="array" ref="C3168">XLOOKUP(B3168,Reference!$A$2:$A$152,Reference!$B$2:$B$152)</f>
        <v>Lampung</v>
      </c>
      <c r="D3168" s="82" t="s">
        <v>3607</v>
      </c>
      <c r="E3168" s="83">
        <v>45352.0</v>
      </c>
      <c r="F3168" s="84" t="str">
        <f t="array" ref="F3168">XLOOKUP(G3168,Reference!$F:$F,Reference!$D:$D,"null")</f>
        <v>Rumah Tangga</v>
      </c>
      <c r="G3168" s="85" t="s">
        <v>89</v>
      </c>
      <c r="H3168" s="86">
        <v>100.97</v>
      </c>
      <c r="I3168" s="86">
        <v>101.02</v>
      </c>
      <c r="J3168" s="87">
        <f t="shared" si="2"/>
        <v>-0.04949514948</v>
      </c>
      <c r="K3168" s="84" t="str">
        <f t="shared" si="3"/>
        <v>Deflasi</v>
      </c>
      <c r="L3168" s="84">
        <f t="shared" si="4"/>
        <v>-0.05</v>
      </c>
      <c r="M3168" s="88" t="str">
        <f t="shared" si="5"/>
        <v>Perubahan Normal</v>
      </c>
    </row>
    <row r="3169" ht="18.75" customHeight="1">
      <c r="A3169" s="80" t="s">
        <v>460</v>
      </c>
      <c r="B3169" s="81" t="str">
        <f t="shared" si="6"/>
        <v>Kab Kayong Utara</v>
      </c>
      <c r="C3169" s="81" t="str">
        <f t="array" ref="C3169">XLOOKUP(B3169,Reference!$A$2:$A$152,Reference!$B$2:$B$152)</f>
        <v>Kalimantan Barat</v>
      </c>
      <c r="D3169" s="82" t="s">
        <v>3608</v>
      </c>
      <c r="E3169" s="83">
        <v>45323.0</v>
      </c>
      <c r="F3169" s="84" t="str">
        <f t="array" ref="F3169">XLOOKUP(G3169,Reference!$F:$F,Reference!$D:$D,"null")</f>
        <v>Rumah Tangga</v>
      </c>
      <c r="G3169" s="85" t="s">
        <v>80</v>
      </c>
      <c r="H3169" s="86">
        <v>101.38</v>
      </c>
      <c r="I3169" s="86">
        <v>101.38</v>
      </c>
      <c r="J3169" s="87">
        <f t="shared" si="2"/>
        <v>0</v>
      </c>
      <c r="K3169" s="84" t="str">
        <f t="shared" si="3"/>
        <v>Stabil</v>
      </c>
      <c r="L3169" s="84">
        <f t="shared" si="4"/>
        <v>0</v>
      </c>
      <c r="M3169" s="88" t="str">
        <f t="shared" si="5"/>
        <v>Perubahan Normal</v>
      </c>
    </row>
    <row r="3170" ht="18.75" customHeight="1">
      <c r="A3170" s="80" t="s">
        <v>298</v>
      </c>
      <c r="B3170" s="81" t="str">
        <f t="shared" si="6"/>
        <v>Kota Bekasi</v>
      </c>
      <c r="C3170" s="81" t="str">
        <f t="array" ref="C3170">XLOOKUP(B3170,Reference!$A$2:$A$152,Reference!$B$2:$B$152)</f>
        <v>Jawa Barat</v>
      </c>
      <c r="D3170" s="82" t="s">
        <v>3609</v>
      </c>
      <c r="E3170" s="83">
        <v>45352.0</v>
      </c>
      <c r="F3170" s="84" t="str">
        <f t="array" ref="F3170">XLOOKUP(G3170,Reference!$F:$F,Reference!$D:$D,"null")</f>
        <v>Makanan dan Pakaian </v>
      </c>
      <c r="G3170" s="89" t="s">
        <v>48</v>
      </c>
      <c r="H3170" s="90">
        <v>115.02</v>
      </c>
      <c r="I3170" s="90">
        <v>111.99</v>
      </c>
      <c r="J3170" s="87">
        <f t="shared" si="2"/>
        <v>2.705598714</v>
      </c>
      <c r="K3170" s="84" t="str">
        <f t="shared" si="3"/>
        <v>Inflasi Tinggi</v>
      </c>
      <c r="L3170" s="91">
        <f t="shared" si="4"/>
        <v>3.03</v>
      </c>
      <c r="M3170" s="88" t="str">
        <f t="shared" si="5"/>
        <v>Akselerasi Kuat</v>
      </c>
    </row>
    <row r="3171" ht="18.75" customHeight="1">
      <c r="A3171" s="80" t="s">
        <v>669</v>
      </c>
      <c r="B3171" s="81" t="str">
        <f t="shared" si="6"/>
        <v>Kab Sidenreng Rappang</v>
      </c>
      <c r="C3171" s="81" t="str">
        <f t="array" ref="C3171">XLOOKUP(B3171,Reference!$A$2:$A$152,Reference!$B$2:$B$152)</f>
        <v>Sulawesi Selatan</v>
      </c>
      <c r="D3171" s="82" t="s">
        <v>3610</v>
      </c>
      <c r="E3171" s="83">
        <v>45323.0</v>
      </c>
      <c r="F3171" s="84" t="str">
        <f t="array" ref="F3171">XLOOKUP(G3171,Reference!$F:$F,Reference!$D:$D,"null")</f>
        <v>Makanan dan Pakaian </v>
      </c>
      <c r="G3171" s="85" t="s">
        <v>64</v>
      </c>
      <c r="H3171" s="86">
        <v>104.55</v>
      </c>
      <c r="I3171" s="86">
        <v>104.55</v>
      </c>
      <c r="J3171" s="87">
        <f t="shared" si="2"/>
        <v>0</v>
      </c>
      <c r="K3171" s="84" t="str">
        <f t="shared" si="3"/>
        <v>Stabil</v>
      </c>
      <c r="L3171" s="84">
        <f t="shared" si="4"/>
        <v>0</v>
      </c>
      <c r="M3171" s="88" t="str">
        <f t="shared" si="5"/>
        <v>Perubahan Normal</v>
      </c>
    </row>
    <row r="3172" ht="18.75" customHeight="1">
      <c r="A3172" s="80" t="s">
        <v>335</v>
      </c>
      <c r="B3172" s="81" t="str">
        <f t="shared" si="6"/>
        <v>Kab Wonogiri</v>
      </c>
      <c r="C3172" s="81" t="str">
        <f t="array" ref="C3172">XLOOKUP(B3172,Reference!$A$2:$A$152,Reference!$B$2:$B$152)</f>
        <v>Jawa Tengah</v>
      </c>
      <c r="D3172" s="82" t="s">
        <v>3611</v>
      </c>
      <c r="E3172" s="83">
        <v>45323.0</v>
      </c>
      <c r="F3172" s="84" t="str">
        <f t="array" ref="F3172">XLOOKUP(G3172,Reference!$F:$F,Reference!$D:$D,"null")</f>
        <v>Makanan dan Pakaian </v>
      </c>
      <c r="G3172" s="85" t="s">
        <v>72</v>
      </c>
      <c r="H3172" s="86">
        <v>104.2</v>
      </c>
      <c r="I3172" s="86">
        <v>104.08</v>
      </c>
      <c r="J3172" s="87">
        <f t="shared" si="2"/>
        <v>0.1152959262</v>
      </c>
      <c r="K3172" s="84" t="str">
        <f t="shared" si="3"/>
        <v>Inflasi Normal</v>
      </c>
      <c r="L3172" s="84">
        <f t="shared" si="4"/>
        <v>0.12</v>
      </c>
      <c r="M3172" s="88" t="str">
        <f t="shared" si="5"/>
        <v>Perubahan Normal</v>
      </c>
    </row>
    <row r="3173" ht="18.75" customHeight="1">
      <c r="A3173" s="80" t="s">
        <v>442</v>
      </c>
      <c r="B3173" s="81" t="str">
        <f t="shared" si="6"/>
        <v>Kota Cirebon</v>
      </c>
      <c r="C3173" s="81" t="str">
        <f t="array" ref="C3173">XLOOKUP(B3173,Reference!$A$2:$A$152,Reference!$B$2:$B$152)</f>
        <v>Jawa Barat</v>
      </c>
      <c r="D3173" s="82" t="s">
        <v>3612</v>
      </c>
      <c r="E3173" s="83">
        <v>45352.0</v>
      </c>
      <c r="F3173" s="84" t="str">
        <f t="array" ref="F3173">XLOOKUP(G3173,Reference!$F:$F,Reference!$D:$D,"null")</f>
        <v>Makanan dan Pakaian </v>
      </c>
      <c r="G3173" s="89" t="s">
        <v>48</v>
      </c>
      <c r="H3173" s="90">
        <v>108.54</v>
      </c>
      <c r="I3173" s="90">
        <v>106.42</v>
      </c>
      <c r="J3173" s="87">
        <f t="shared" si="2"/>
        <v>1.992106747</v>
      </c>
      <c r="K3173" s="84" t="str">
        <f t="shared" si="3"/>
        <v>Inflasi Tinggi</v>
      </c>
      <c r="L3173" s="91">
        <f t="shared" si="4"/>
        <v>2.12</v>
      </c>
      <c r="M3173" s="88" t="str">
        <f t="shared" si="5"/>
        <v>Akselerasi Kuat</v>
      </c>
    </row>
    <row r="3174" ht="18.75" customHeight="1">
      <c r="A3174" s="80" t="s">
        <v>294</v>
      </c>
      <c r="B3174" s="81" t="str">
        <f t="shared" si="6"/>
        <v>Kab Labuhanbatu</v>
      </c>
      <c r="C3174" s="81" t="str">
        <f t="array" ref="C3174">XLOOKUP(B3174,Reference!$A$2:$A$152,Reference!$B$2:$B$152)</f>
        <v>Sumatera Utara</v>
      </c>
      <c r="D3174" s="82" t="s">
        <v>3613</v>
      </c>
      <c r="E3174" s="83">
        <v>45352.0</v>
      </c>
      <c r="F3174" s="84" t="str">
        <f t="array" ref="F3174">XLOOKUP(G3174,Reference!$F:$F,Reference!$D:$D,"null")</f>
        <v>Makanan dan Pakaian </v>
      </c>
      <c r="G3174" s="85" t="s">
        <v>48</v>
      </c>
      <c r="H3174" s="86">
        <v>112.41</v>
      </c>
      <c r="I3174" s="86">
        <v>108.28</v>
      </c>
      <c r="J3174" s="87">
        <f t="shared" si="2"/>
        <v>3.814185445</v>
      </c>
      <c r="K3174" s="84" t="str">
        <f t="shared" si="3"/>
        <v>Inflasi Tinggi</v>
      </c>
      <c r="L3174" s="84">
        <f t="shared" si="4"/>
        <v>4.13</v>
      </c>
      <c r="M3174" s="88" t="str">
        <f t="shared" si="5"/>
        <v>Akselerasi Kuat</v>
      </c>
    </row>
    <row r="3175" ht="18.75" customHeight="1">
      <c r="A3175" s="80" t="s">
        <v>539</v>
      </c>
      <c r="B3175" s="81" t="str">
        <f t="shared" si="6"/>
        <v>Kab Sorong Selatan</v>
      </c>
      <c r="C3175" s="81" t="str">
        <f t="array" ref="C3175">XLOOKUP(B3175,Reference!$A$2:$A$152,Reference!$B$2:$B$152)</f>
        <v>Papua Barat Daya</v>
      </c>
      <c r="D3175" s="82" t="s">
        <v>3614</v>
      </c>
      <c r="E3175" s="83">
        <v>45352.0</v>
      </c>
      <c r="F3175" s="84" t="str">
        <f t="array" ref="F3175">XLOOKUP(G3175,Reference!$F:$F,Reference!$D:$D,"null")</f>
        <v>Pendidikan dan Kesehatan</v>
      </c>
      <c r="G3175" s="85" t="s">
        <v>98</v>
      </c>
      <c r="H3175" s="86">
        <v>107.3</v>
      </c>
      <c r="I3175" s="86">
        <v>107.3</v>
      </c>
      <c r="J3175" s="87">
        <f t="shared" si="2"/>
        <v>0</v>
      </c>
      <c r="K3175" s="84" t="str">
        <f t="shared" si="3"/>
        <v>Stabil</v>
      </c>
      <c r="L3175" s="84">
        <f t="shared" si="4"/>
        <v>0</v>
      </c>
      <c r="M3175" s="88" t="str">
        <f t="shared" si="5"/>
        <v>Perubahan Normal</v>
      </c>
    </row>
    <row r="3176" ht="18.75" customHeight="1">
      <c r="A3176" s="80" t="s">
        <v>391</v>
      </c>
      <c r="B3176" s="81" t="str">
        <f t="shared" si="6"/>
        <v>Kota Batam</v>
      </c>
      <c r="C3176" s="81" t="str">
        <f t="array" ref="C3176">XLOOKUP(B3176,Reference!$A$2:$A$152,Reference!$B$2:$B$152)</f>
        <v>Kepulauan Riau</v>
      </c>
      <c r="D3176" s="82" t="s">
        <v>3615</v>
      </c>
      <c r="E3176" s="83">
        <v>45352.0</v>
      </c>
      <c r="F3176" s="84" t="str">
        <f t="array" ref="F3176">XLOOKUP(G3176,Reference!$F:$F,Reference!$D:$D,"null")</f>
        <v>Rekreasi dan Kendaraan</v>
      </c>
      <c r="G3176" s="85" t="s">
        <v>105</v>
      </c>
      <c r="H3176" s="86">
        <v>102.41</v>
      </c>
      <c r="I3176" s="86">
        <v>101.81</v>
      </c>
      <c r="J3176" s="87">
        <f t="shared" si="2"/>
        <v>0.5893330714</v>
      </c>
      <c r="K3176" s="84" t="str">
        <f t="shared" si="3"/>
        <v>Inflasi Tinggi</v>
      </c>
      <c r="L3176" s="84">
        <f t="shared" si="4"/>
        <v>0.6</v>
      </c>
      <c r="M3176" s="88" t="str">
        <f t="shared" si="5"/>
        <v>Akselerasi Persentase</v>
      </c>
    </row>
    <row r="3177" ht="18.75" customHeight="1">
      <c r="A3177" s="80" t="s">
        <v>669</v>
      </c>
      <c r="B3177" s="81" t="str">
        <f t="shared" si="6"/>
        <v>Kab Sidenreng Rappang</v>
      </c>
      <c r="C3177" s="81" t="str">
        <f t="array" ref="C3177">XLOOKUP(B3177,Reference!$A$2:$A$152,Reference!$B$2:$B$152)</f>
        <v>Sulawesi Selatan</v>
      </c>
      <c r="D3177" s="82" t="s">
        <v>3616</v>
      </c>
      <c r="E3177" s="83">
        <v>45323.0</v>
      </c>
      <c r="F3177" s="84" t="str">
        <f t="array" ref="F3177">XLOOKUP(G3177,Reference!$F:$F,Reference!$D:$D,"null")</f>
        <v>Rumah Tangga</v>
      </c>
      <c r="G3177" s="85" t="s">
        <v>80</v>
      </c>
      <c r="H3177" s="86">
        <v>101.58</v>
      </c>
      <c r="I3177" s="86">
        <v>101.58</v>
      </c>
      <c r="J3177" s="87">
        <f t="shared" si="2"/>
        <v>0</v>
      </c>
      <c r="K3177" s="84" t="str">
        <f t="shared" si="3"/>
        <v>Stabil</v>
      </c>
      <c r="L3177" s="84">
        <f t="shared" si="4"/>
        <v>0</v>
      </c>
      <c r="M3177" s="88" t="str">
        <f t="shared" si="5"/>
        <v>Perubahan Normal</v>
      </c>
    </row>
    <row r="3178" ht="18.75" customHeight="1">
      <c r="A3178" s="80" t="s">
        <v>300</v>
      </c>
      <c r="B3178" s="81" t="str">
        <f t="shared" si="6"/>
        <v>Sintang</v>
      </c>
      <c r="C3178" s="81" t="str">
        <f t="array" ref="C3178">XLOOKUP(B3178,Reference!$A$2:$A$152,Reference!$B$2:$B$152)</f>
        <v>Kalimantan Barat</v>
      </c>
      <c r="D3178" s="82" t="s">
        <v>3617</v>
      </c>
      <c r="E3178" s="83">
        <v>45323.0</v>
      </c>
      <c r="F3178" s="84" t="str">
        <f t="array" ref="F3178">XLOOKUP(G3178,Reference!$F:$F,Reference!$D:$D,"null")</f>
        <v>Makanan dan Pakaian </v>
      </c>
      <c r="G3178" s="85" t="s">
        <v>64</v>
      </c>
      <c r="H3178" s="86">
        <v>100.61</v>
      </c>
      <c r="I3178" s="86">
        <v>100.61</v>
      </c>
      <c r="J3178" s="87">
        <f t="shared" si="2"/>
        <v>0</v>
      </c>
      <c r="K3178" s="84" t="str">
        <f t="shared" si="3"/>
        <v>Stabil</v>
      </c>
      <c r="L3178" s="84">
        <f t="shared" si="4"/>
        <v>0</v>
      </c>
      <c r="M3178" s="88" t="str">
        <f t="shared" si="5"/>
        <v>Perubahan Normal</v>
      </c>
    </row>
    <row r="3179" ht="18.75" customHeight="1">
      <c r="A3179" s="80" t="s">
        <v>990</v>
      </c>
      <c r="B3179" s="81" t="str">
        <f t="shared" si="6"/>
        <v>Kab Pandeglang</v>
      </c>
      <c r="C3179" s="81" t="str">
        <f t="array" ref="C3179">XLOOKUP(B3179,Reference!$A$2:$A$152,Reference!$B$2:$B$152)</f>
        <v>Banten</v>
      </c>
      <c r="D3179" s="82" t="s">
        <v>3618</v>
      </c>
      <c r="E3179" s="83">
        <v>45352.0</v>
      </c>
      <c r="F3179" s="84" t="str">
        <f t="array" ref="F3179">XLOOKUP(G3179,Reference!$F:$F,Reference!$D:$D,"null")</f>
        <v>Makanan dan Pakaian </v>
      </c>
      <c r="G3179" s="85" t="s">
        <v>72</v>
      </c>
      <c r="H3179" s="86">
        <v>104.81</v>
      </c>
      <c r="I3179" s="86">
        <v>104.23</v>
      </c>
      <c r="J3179" s="87">
        <f t="shared" si="2"/>
        <v>0.5564616713</v>
      </c>
      <c r="K3179" s="84" t="str">
        <f t="shared" si="3"/>
        <v>Inflasi Tinggi</v>
      </c>
      <c r="L3179" s="84">
        <f t="shared" si="4"/>
        <v>0.58</v>
      </c>
      <c r="M3179" s="88" t="str">
        <f t="shared" si="5"/>
        <v>Akselerasi Persentase</v>
      </c>
    </row>
    <row r="3180" ht="18.75" customHeight="1">
      <c r="A3180" s="80" t="s">
        <v>296</v>
      </c>
      <c r="B3180" s="81" t="str">
        <f t="shared" si="6"/>
        <v>Kota Bogor</v>
      </c>
      <c r="C3180" s="81" t="str">
        <f t="array" ref="C3180">XLOOKUP(B3180,Reference!$A$2:$A$152,Reference!$B$2:$B$152)</f>
        <v>Jawa Barat</v>
      </c>
      <c r="D3180" s="82" t="s">
        <v>3619</v>
      </c>
      <c r="E3180" s="83">
        <v>45323.0</v>
      </c>
      <c r="F3180" s="84" t="str">
        <f t="array" ref="F3180">XLOOKUP(G3180,Reference!$F:$F,Reference!$D:$D,"null")</f>
        <v>Rumah Tangga</v>
      </c>
      <c r="G3180" s="85" t="s">
        <v>89</v>
      </c>
      <c r="H3180" s="86">
        <v>105.05</v>
      </c>
      <c r="I3180" s="86">
        <v>105.05</v>
      </c>
      <c r="J3180" s="87">
        <f t="shared" si="2"/>
        <v>0</v>
      </c>
      <c r="K3180" s="84" t="str">
        <f t="shared" si="3"/>
        <v>Stabil</v>
      </c>
      <c r="L3180" s="84">
        <f t="shared" si="4"/>
        <v>0</v>
      </c>
      <c r="M3180" s="88" t="str">
        <f t="shared" si="5"/>
        <v>Perubahan Normal</v>
      </c>
    </row>
    <row r="3181" ht="18.75" customHeight="1">
      <c r="A3181" s="80" t="s">
        <v>337</v>
      </c>
      <c r="B3181" s="81" t="str">
        <f t="shared" si="6"/>
        <v>Merauke</v>
      </c>
      <c r="C3181" s="81" t="str">
        <f t="array" ref="C3181">XLOOKUP(B3181,Reference!$A$2:$A$152,Reference!$B$2:$B$152)</f>
        <v>Papua</v>
      </c>
      <c r="D3181" s="82" t="s">
        <v>3620</v>
      </c>
      <c r="E3181" s="83">
        <v>45323.0</v>
      </c>
      <c r="F3181" s="84" t="str">
        <f t="array" ref="F3181">XLOOKUP(G3181,Reference!$F:$F,Reference!$D:$D,"null")</f>
        <v>Pendidikan dan Kesehatan</v>
      </c>
      <c r="G3181" s="85" t="s">
        <v>98</v>
      </c>
      <c r="H3181" s="86">
        <v>109.23</v>
      </c>
      <c r="I3181" s="86">
        <v>109.23</v>
      </c>
      <c r="J3181" s="87">
        <f t="shared" si="2"/>
        <v>0</v>
      </c>
      <c r="K3181" s="84" t="str">
        <f t="shared" si="3"/>
        <v>Stabil</v>
      </c>
      <c r="L3181" s="84">
        <f t="shared" si="4"/>
        <v>0</v>
      </c>
      <c r="M3181" s="88" t="str">
        <f t="shared" si="5"/>
        <v>Perubahan Normal</v>
      </c>
    </row>
    <row r="3182" ht="18.75" customHeight="1">
      <c r="A3182" s="80" t="s">
        <v>384</v>
      </c>
      <c r="B3182" s="81" t="str">
        <f t="shared" si="6"/>
        <v>Kab Lebak</v>
      </c>
      <c r="C3182" s="81" t="str">
        <f t="array" ref="C3182">XLOOKUP(B3182,Reference!$A$2:$A$152,Reference!$B$2:$B$152)</f>
        <v>Banten</v>
      </c>
      <c r="D3182" s="82" t="s">
        <v>3621</v>
      </c>
      <c r="E3182" s="83">
        <v>45323.0</v>
      </c>
      <c r="F3182" s="84" t="str">
        <f t="array" ref="F3182">XLOOKUP(G3182,Reference!$F:$F,Reference!$D:$D,"null")</f>
        <v>Rumah Tangga</v>
      </c>
      <c r="G3182" s="85" t="s">
        <v>89</v>
      </c>
      <c r="H3182" s="86">
        <v>103.83</v>
      </c>
      <c r="I3182" s="86">
        <v>103.83</v>
      </c>
      <c r="J3182" s="87">
        <f t="shared" si="2"/>
        <v>0</v>
      </c>
      <c r="K3182" s="84" t="str">
        <f t="shared" si="3"/>
        <v>Stabil</v>
      </c>
      <c r="L3182" s="84">
        <f t="shared" si="4"/>
        <v>0</v>
      </c>
      <c r="M3182" s="88" t="str">
        <f t="shared" si="5"/>
        <v>Perubahan Normal</v>
      </c>
    </row>
    <row r="3183" ht="18.75" customHeight="1">
      <c r="A3183" s="80" t="s">
        <v>358</v>
      </c>
      <c r="B3183" s="81" t="str">
        <f t="shared" si="6"/>
        <v>Kab Minahasa Utara</v>
      </c>
      <c r="C3183" s="81" t="str">
        <f t="array" ref="C3183">XLOOKUP(B3183,Reference!$A$2:$A$152,Reference!$B$2:$B$152)</f>
        <v>Sulawesi Utara</v>
      </c>
      <c r="D3183" s="82" t="s">
        <v>3622</v>
      </c>
      <c r="E3183" s="83">
        <v>45352.0</v>
      </c>
      <c r="F3183" s="84" t="str">
        <f t="array" ref="F3183">XLOOKUP(G3183,Reference!$F:$F,Reference!$D:$D,"null")</f>
        <v>Makanan dan Pakaian </v>
      </c>
      <c r="G3183" s="85" t="s">
        <v>56</v>
      </c>
      <c r="H3183" s="86">
        <v>99.11</v>
      </c>
      <c r="I3183" s="86">
        <v>99.11</v>
      </c>
      <c r="J3183" s="87">
        <f t="shared" si="2"/>
        <v>0</v>
      </c>
      <c r="K3183" s="84" t="str">
        <f t="shared" si="3"/>
        <v>Stabil</v>
      </c>
      <c r="L3183" s="84">
        <f t="shared" si="4"/>
        <v>0</v>
      </c>
      <c r="M3183" s="88" t="str">
        <f t="shared" si="5"/>
        <v>Perubahan Normal</v>
      </c>
    </row>
    <row r="3184" ht="18.75" customHeight="1">
      <c r="A3184" s="80" t="s">
        <v>581</v>
      </c>
      <c r="B3184" s="81" t="str">
        <f t="shared" si="6"/>
        <v>Kab Dharmasraya</v>
      </c>
      <c r="C3184" s="81" t="str">
        <f t="array" ref="C3184">XLOOKUP(B3184,Reference!$A$2:$A$152,Reference!$B$2:$B$152)</f>
        <v>Sumatera Barat</v>
      </c>
      <c r="D3184" s="82" t="s">
        <v>3623</v>
      </c>
      <c r="E3184" s="83">
        <v>45323.0</v>
      </c>
      <c r="F3184" s="84" t="str">
        <f t="array" ref="F3184">XLOOKUP(G3184,Reference!$F:$F,Reference!$D:$D,"null")</f>
        <v>Makanan dan Pakaian </v>
      </c>
      <c r="G3184" s="85" t="s">
        <v>72</v>
      </c>
      <c r="H3184" s="86">
        <v>99.88</v>
      </c>
      <c r="I3184" s="86">
        <v>99.88</v>
      </c>
      <c r="J3184" s="87">
        <f t="shared" si="2"/>
        <v>0</v>
      </c>
      <c r="K3184" s="84" t="str">
        <f t="shared" si="3"/>
        <v>Stabil</v>
      </c>
      <c r="L3184" s="84">
        <f t="shared" si="4"/>
        <v>0</v>
      </c>
      <c r="M3184" s="88" t="str">
        <f t="shared" si="5"/>
        <v>Perubahan Normal</v>
      </c>
    </row>
    <row r="3185" ht="18.75" customHeight="1">
      <c r="A3185" s="80" t="s">
        <v>306</v>
      </c>
      <c r="B3185" s="81" t="str">
        <f t="shared" si="6"/>
        <v>Kota Padang</v>
      </c>
      <c r="C3185" s="81" t="str">
        <f t="array" ref="C3185">XLOOKUP(B3185,Reference!$A$2:$A$152,Reference!$B$2:$B$152)</f>
        <v>Sumatera Barat</v>
      </c>
      <c r="D3185" s="82" t="s">
        <v>3624</v>
      </c>
      <c r="E3185" s="83">
        <v>45352.0</v>
      </c>
      <c r="F3185" s="84" t="str">
        <f t="array" ref="F3185">XLOOKUP(G3185,Reference!$F:$F,Reference!$D:$D,"null")</f>
        <v>Rumah Tangga</v>
      </c>
      <c r="G3185" s="85" t="s">
        <v>84</v>
      </c>
      <c r="H3185" s="86">
        <v>99.84</v>
      </c>
      <c r="I3185" s="86">
        <v>100.12</v>
      </c>
      <c r="J3185" s="87">
        <f t="shared" si="2"/>
        <v>-0.2796644027</v>
      </c>
      <c r="K3185" s="84" t="str">
        <f t="shared" si="3"/>
        <v>Deflasi</v>
      </c>
      <c r="L3185" s="84">
        <f t="shared" si="4"/>
        <v>-0.28</v>
      </c>
      <c r="M3185" s="88" t="str">
        <f t="shared" si="5"/>
        <v>Perubahan Normal</v>
      </c>
    </row>
    <row r="3186" ht="18.75" customHeight="1">
      <c r="A3186" s="80" t="s">
        <v>1282</v>
      </c>
      <c r="B3186" s="81" t="str">
        <f t="shared" si="6"/>
        <v>Kota Bima</v>
      </c>
      <c r="C3186" s="81" t="str">
        <f t="array" ref="C3186">XLOOKUP(B3186,Reference!$A$2:$A$152,Reference!$B$2:$B$152)</f>
        <v>Nusa Tenggara Barat (NTB)</v>
      </c>
      <c r="D3186" s="82" t="s">
        <v>3625</v>
      </c>
      <c r="E3186" s="83">
        <v>45352.0</v>
      </c>
      <c r="F3186" s="84" t="str">
        <f t="array" ref="F3186">XLOOKUP(G3186,Reference!$F:$F,Reference!$D:$D,"null")</f>
        <v>Makanan dan Pakaian </v>
      </c>
      <c r="G3186" s="85" t="s">
        <v>48</v>
      </c>
      <c r="H3186" s="86">
        <v>108.69</v>
      </c>
      <c r="I3186" s="86">
        <v>107.13</v>
      </c>
      <c r="J3186" s="87">
        <f t="shared" si="2"/>
        <v>1.456174741</v>
      </c>
      <c r="K3186" s="84" t="str">
        <f t="shared" si="3"/>
        <v>Inflasi Tinggi</v>
      </c>
      <c r="L3186" s="84">
        <f t="shared" si="4"/>
        <v>1.56</v>
      </c>
      <c r="M3186" s="88" t="str">
        <f t="shared" si="5"/>
        <v>Akselerasi Persentase</v>
      </c>
    </row>
    <row r="3187" ht="18.75" customHeight="1">
      <c r="A3187" s="80" t="s">
        <v>532</v>
      </c>
      <c r="B3187" s="81" t="str">
        <f t="shared" si="6"/>
        <v>Kota Palembang</v>
      </c>
      <c r="C3187" s="81" t="str">
        <f t="array" ref="C3187">XLOOKUP(B3187,Reference!$A$2:$A$152,Reference!$B$2:$B$152)</f>
        <v>Sumatera Selatan</v>
      </c>
      <c r="D3187" s="82" t="s">
        <v>3626</v>
      </c>
      <c r="E3187" s="83">
        <v>45323.0</v>
      </c>
      <c r="F3187" s="84" t="str">
        <f t="array" ref="F3187">XLOOKUP(G3187,Reference!$F:$F,Reference!$D:$D,"null")</f>
        <v>Pendidikan dan Kesehatan</v>
      </c>
      <c r="G3187" s="85" t="s">
        <v>98</v>
      </c>
      <c r="H3187" s="86">
        <v>102.41</v>
      </c>
      <c r="I3187" s="86">
        <v>102.2</v>
      </c>
      <c r="J3187" s="87">
        <f t="shared" si="2"/>
        <v>0.2054794521</v>
      </c>
      <c r="K3187" s="84" t="str">
        <f t="shared" si="3"/>
        <v>Inflasi Normal</v>
      </c>
      <c r="L3187" s="84">
        <f t="shared" si="4"/>
        <v>0.21</v>
      </c>
      <c r="M3187" s="88" t="str">
        <f t="shared" si="5"/>
        <v>Perubahan Normal</v>
      </c>
    </row>
    <row r="3188" ht="18.75" customHeight="1">
      <c r="A3188" s="80" t="s">
        <v>495</v>
      </c>
      <c r="B3188" s="81" t="str">
        <f t="shared" si="6"/>
        <v>Kota Medan</v>
      </c>
      <c r="C3188" s="81" t="str">
        <f t="array" ref="C3188">XLOOKUP(B3188,Reference!$A$2:$A$152,Reference!$B$2:$B$152)</f>
        <v>Sumatera Utara</v>
      </c>
      <c r="D3188" s="82" t="s">
        <v>3627</v>
      </c>
      <c r="E3188" s="83">
        <v>45323.0</v>
      </c>
      <c r="F3188" s="84" t="str">
        <f t="array" ref="F3188">XLOOKUP(G3188,Reference!$F:$F,Reference!$D:$D,"null")</f>
        <v>Rumah Tangga</v>
      </c>
      <c r="G3188" s="85" t="s">
        <v>84</v>
      </c>
      <c r="H3188" s="86">
        <v>101.51</v>
      </c>
      <c r="I3188" s="86">
        <v>101.53</v>
      </c>
      <c r="J3188" s="87">
        <f t="shared" si="2"/>
        <v>-0.01969861125</v>
      </c>
      <c r="K3188" s="84" t="str">
        <f t="shared" si="3"/>
        <v>Deflasi</v>
      </c>
      <c r="L3188" s="84">
        <f t="shared" si="4"/>
        <v>-0.02</v>
      </c>
      <c r="M3188" s="88" t="str">
        <f t="shared" si="5"/>
        <v>Perubahan Normal</v>
      </c>
    </row>
    <row r="3189" ht="18.75" customHeight="1">
      <c r="A3189" s="80" t="s">
        <v>905</v>
      </c>
      <c r="B3189" s="81" t="str">
        <f t="shared" si="6"/>
        <v>Kota Ambon</v>
      </c>
      <c r="C3189" s="81" t="str">
        <f t="array" ref="C3189">XLOOKUP(B3189,Reference!$A$2:$A$152,Reference!$B$2:$B$152)</f>
        <v>Maluku</v>
      </c>
      <c r="D3189" s="82" t="s">
        <v>3628</v>
      </c>
      <c r="E3189" s="83">
        <v>45352.0</v>
      </c>
      <c r="F3189" s="84" t="str">
        <f t="array" ref="F3189">XLOOKUP(G3189,Reference!$F:$F,Reference!$D:$D,"null")</f>
        <v>Pendidikan dan Kesehatan</v>
      </c>
      <c r="G3189" s="85" t="s">
        <v>95</v>
      </c>
      <c r="H3189" s="86">
        <v>102.77</v>
      </c>
      <c r="I3189" s="86">
        <v>102.77</v>
      </c>
      <c r="J3189" s="87">
        <f t="shared" si="2"/>
        <v>0</v>
      </c>
      <c r="K3189" s="84" t="str">
        <f t="shared" si="3"/>
        <v>Stabil</v>
      </c>
      <c r="L3189" s="84">
        <f t="shared" si="4"/>
        <v>0</v>
      </c>
      <c r="M3189" s="88" t="str">
        <f t="shared" si="5"/>
        <v>Perubahan Normal</v>
      </c>
    </row>
    <row r="3190" ht="18.75" customHeight="1">
      <c r="A3190" s="80" t="s">
        <v>529</v>
      </c>
      <c r="B3190" s="81" t="str">
        <f t="shared" si="6"/>
        <v>Kota Yogyakarta</v>
      </c>
      <c r="C3190" s="81" t="str">
        <f t="array" ref="C3190">XLOOKUP(B3190,Reference!$A$2:$A$152,Reference!$B$2:$B$152)</f>
        <v>D.I. Yogyakarta</v>
      </c>
      <c r="D3190" s="82" t="s">
        <v>3629</v>
      </c>
      <c r="E3190" s="83">
        <v>45323.0</v>
      </c>
      <c r="F3190" s="84" t="str">
        <f t="array" ref="F3190">XLOOKUP(G3190,Reference!$F:$F,Reference!$D:$D,"null")</f>
        <v>Makanan dan Pakaian </v>
      </c>
      <c r="G3190" s="85" t="s">
        <v>56</v>
      </c>
      <c r="H3190" s="86">
        <v>107.1</v>
      </c>
      <c r="I3190" s="86">
        <v>106.91</v>
      </c>
      <c r="J3190" s="87">
        <f t="shared" si="2"/>
        <v>0.1777195772</v>
      </c>
      <c r="K3190" s="84" t="str">
        <f t="shared" si="3"/>
        <v>Inflasi Normal</v>
      </c>
      <c r="L3190" s="84">
        <f t="shared" si="4"/>
        <v>0.19</v>
      </c>
      <c r="M3190" s="88" t="str">
        <f t="shared" si="5"/>
        <v>Perubahan Normal</v>
      </c>
    </row>
    <row r="3191" ht="18.75" customHeight="1">
      <c r="A3191" s="80" t="s">
        <v>965</v>
      </c>
      <c r="B3191" s="81" t="str">
        <f t="shared" si="6"/>
        <v>Kab Konawe</v>
      </c>
      <c r="C3191" s="81" t="str">
        <f t="array" ref="C3191">XLOOKUP(B3191,Reference!$A$2:$A$152,Reference!$B$2:$B$152)</f>
        <v>Sulawesi Tenggara</v>
      </c>
      <c r="D3191" s="82" t="s">
        <v>3630</v>
      </c>
      <c r="E3191" s="83">
        <v>45352.0</v>
      </c>
      <c r="F3191" s="84" t="str">
        <f t="array" ref="F3191">XLOOKUP(G3191,Reference!$F:$F,Reference!$D:$D,"null")</f>
        <v>Rumah Tangga</v>
      </c>
      <c r="G3191" s="85" t="s">
        <v>84</v>
      </c>
      <c r="H3191" s="86">
        <v>101.26</v>
      </c>
      <c r="I3191" s="86">
        <v>102.61</v>
      </c>
      <c r="J3191" s="87">
        <f t="shared" si="2"/>
        <v>-1.315661242</v>
      </c>
      <c r="K3191" s="84" t="str">
        <f t="shared" si="3"/>
        <v>Deflasi</v>
      </c>
      <c r="L3191" s="84">
        <f t="shared" si="4"/>
        <v>-1.35</v>
      </c>
      <c r="M3191" s="88" t="str">
        <f t="shared" si="5"/>
        <v>Perubahan Normal</v>
      </c>
    </row>
    <row r="3192" ht="18.75" customHeight="1">
      <c r="A3192" s="80" t="s">
        <v>460</v>
      </c>
      <c r="B3192" s="81" t="str">
        <f t="shared" si="6"/>
        <v>Kab Kayong Utara</v>
      </c>
      <c r="C3192" s="81" t="str">
        <f t="array" ref="C3192">XLOOKUP(B3192,Reference!$A$2:$A$152,Reference!$B$2:$B$152)</f>
        <v>Kalimantan Barat</v>
      </c>
      <c r="D3192" s="82" t="s">
        <v>3631</v>
      </c>
      <c r="E3192" s="83">
        <v>45323.0</v>
      </c>
      <c r="F3192" s="84" t="str">
        <f t="array" ref="F3192">XLOOKUP(G3192,Reference!$F:$F,Reference!$D:$D,"null")</f>
        <v>Makanan dan Pakaian </v>
      </c>
      <c r="G3192" s="85" t="s">
        <v>56</v>
      </c>
      <c r="H3192" s="86">
        <v>92.5</v>
      </c>
      <c r="I3192" s="86">
        <v>92.5</v>
      </c>
      <c r="J3192" s="87">
        <f t="shared" si="2"/>
        <v>0</v>
      </c>
      <c r="K3192" s="84" t="str">
        <f t="shared" si="3"/>
        <v>Stabil</v>
      </c>
      <c r="L3192" s="84">
        <f t="shared" si="4"/>
        <v>0</v>
      </c>
      <c r="M3192" s="88" t="str">
        <f t="shared" si="5"/>
        <v>Perubahan Normal</v>
      </c>
    </row>
    <row r="3193" ht="18.75" customHeight="1">
      <c r="A3193" s="80" t="s">
        <v>423</v>
      </c>
      <c r="B3193" s="81" t="str">
        <f t="shared" si="6"/>
        <v>Kota Kotamobagu</v>
      </c>
      <c r="C3193" s="81" t="str">
        <f t="array" ref="C3193">XLOOKUP(B3193,Reference!$A$2:$A$152,Reference!$B$2:$B$152)</f>
        <v>Sulawesi Utara</v>
      </c>
      <c r="D3193" s="82" t="s">
        <v>3632</v>
      </c>
      <c r="E3193" s="83">
        <v>45352.0</v>
      </c>
      <c r="F3193" s="84" t="str">
        <f t="array" ref="F3193">XLOOKUP(G3193,Reference!$F:$F,Reference!$D:$D,"null")</f>
        <v>Pendidikan dan Kesehatan</v>
      </c>
      <c r="G3193" s="85" t="s">
        <v>98</v>
      </c>
      <c r="H3193" s="86">
        <v>105.87</v>
      </c>
      <c r="I3193" s="86">
        <v>105.87</v>
      </c>
      <c r="J3193" s="87">
        <f t="shared" si="2"/>
        <v>0</v>
      </c>
      <c r="K3193" s="84" t="str">
        <f t="shared" si="3"/>
        <v>Stabil</v>
      </c>
      <c r="L3193" s="84">
        <f t="shared" si="4"/>
        <v>0</v>
      </c>
      <c r="M3193" s="88" t="str">
        <f t="shared" si="5"/>
        <v>Perubahan Normal</v>
      </c>
    </row>
    <row r="3194" ht="18.75" customHeight="1">
      <c r="A3194" s="80" t="s">
        <v>483</v>
      </c>
      <c r="B3194" s="81" t="str">
        <f t="shared" si="6"/>
        <v>Kota Padangsidimpuan</v>
      </c>
      <c r="C3194" s="81" t="str">
        <f t="array" ref="C3194">XLOOKUP(B3194,Reference!$A$2:$A$152,Reference!$B$2:$B$152)</f>
        <v>Sumatera Utara</v>
      </c>
      <c r="D3194" s="82" t="s">
        <v>3633</v>
      </c>
      <c r="E3194" s="83">
        <v>45323.0</v>
      </c>
      <c r="F3194" s="84" t="str">
        <f t="array" ref="F3194">XLOOKUP(G3194,Reference!$F:$F,Reference!$D:$D,"null")</f>
        <v>Rumah Tangga</v>
      </c>
      <c r="G3194" s="85" t="s">
        <v>84</v>
      </c>
      <c r="H3194" s="86">
        <v>102.54</v>
      </c>
      <c r="I3194" s="86">
        <v>102.58</v>
      </c>
      <c r="J3194" s="87">
        <f t="shared" si="2"/>
        <v>-0.03899395594</v>
      </c>
      <c r="K3194" s="84" t="str">
        <f t="shared" si="3"/>
        <v>Deflasi</v>
      </c>
      <c r="L3194" s="84">
        <f t="shared" si="4"/>
        <v>-0.04</v>
      </c>
      <c r="M3194" s="88" t="str">
        <f t="shared" si="5"/>
        <v>Perubahan Normal</v>
      </c>
    </row>
    <row r="3195" ht="18.75" customHeight="1">
      <c r="A3195" s="80" t="s">
        <v>468</v>
      </c>
      <c r="B3195" s="81" t="str">
        <f t="shared" si="6"/>
        <v>Timika</v>
      </c>
      <c r="C3195" s="81" t="str">
        <f t="array" ref="C3195">XLOOKUP(B3195,Reference!$A$2:$A$152,Reference!$B$2:$B$152)</f>
        <v>Papua</v>
      </c>
      <c r="D3195" s="82" t="s">
        <v>3634</v>
      </c>
      <c r="E3195" s="83">
        <v>45323.0</v>
      </c>
      <c r="F3195" s="84" t="str">
        <f t="array" ref="F3195">XLOOKUP(G3195,Reference!$F:$F,Reference!$D:$D,"null")</f>
        <v>Rumah Tangga</v>
      </c>
      <c r="G3195" s="85" t="s">
        <v>89</v>
      </c>
      <c r="H3195" s="86">
        <v>106.24</v>
      </c>
      <c r="I3195" s="86">
        <v>108.93</v>
      </c>
      <c r="J3195" s="87">
        <f t="shared" si="2"/>
        <v>-2.46947581</v>
      </c>
      <c r="K3195" s="84" t="str">
        <f t="shared" si="3"/>
        <v>Deflasi</v>
      </c>
      <c r="L3195" s="84">
        <f t="shared" si="4"/>
        <v>-2.69</v>
      </c>
      <c r="M3195" s="88" t="str">
        <f t="shared" si="5"/>
        <v>Perubahan Normal</v>
      </c>
    </row>
    <row r="3196" ht="18.75" customHeight="1">
      <c r="A3196" s="80" t="s">
        <v>397</v>
      </c>
      <c r="B3196" s="81" t="str">
        <f t="shared" si="6"/>
        <v>Kota Pematangsiantar</v>
      </c>
      <c r="C3196" s="81" t="str">
        <f t="array" ref="C3196">XLOOKUP(B3196,Reference!$A$2:$A$152,Reference!$B$2:$B$152)</f>
        <v>Sumatera Utara</v>
      </c>
      <c r="D3196" s="82" t="s">
        <v>3635</v>
      </c>
      <c r="E3196" s="83">
        <v>45323.0</v>
      </c>
      <c r="F3196" s="84" t="str">
        <f t="array" ref="F3196">XLOOKUP(G3196,Reference!$F:$F,Reference!$D:$D,"null")</f>
        <v>Pendidikan dan Kesehatan</v>
      </c>
      <c r="G3196" s="89" t="s">
        <v>98</v>
      </c>
      <c r="H3196" s="90">
        <v>106.26</v>
      </c>
      <c r="I3196" s="90">
        <v>105.87</v>
      </c>
      <c r="J3196" s="87">
        <f t="shared" si="2"/>
        <v>0.3683763106</v>
      </c>
      <c r="K3196" s="84" t="str">
        <f t="shared" si="3"/>
        <v>Inflasi Normal</v>
      </c>
      <c r="L3196" s="91">
        <f t="shared" si="4"/>
        <v>0.39</v>
      </c>
      <c r="M3196" s="88" t="str">
        <f t="shared" si="5"/>
        <v>Perubahan Normal</v>
      </c>
    </row>
    <row r="3197" ht="18.75" customHeight="1">
      <c r="A3197" s="80" t="s">
        <v>395</v>
      </c>
      <c r="B3197" s="81" t="str">
        <f t="shared" si="6"/>
        <v>Kota Bukittinggi</v>
      </c>
      <c r="C3197" s="81" t="str">
        <f t="array" ref="C3197">XLOOKUP(B3197,Reference!$A$2:$A$152,Reference!$B$2:$B$152)</f>
        <v>Sumatera Barat</v>
      </c>
      <c r="D3197" s="82" t="s">
        <v>3636</v>
      </c>
      <c r="E3197" s="83">
        <v>45352.0</v>
      </c>
      <c r="F3197" s="84" t="str">
        <f t="array" ref="F3197">XLOOKUP(G3197,Reference!$F:$F,Reference!$D:$D,"null")</f>
        <v>Makanan dan Pakaian </v>
      </c>
      <c r="G3197" s="85" t="s">
        <v>48</v>
      </c>
      <c r="H3197" s="86">
        <v>112.14</v>
      </c>
      <c r="I3197" s="86">
        <v>108.62</v>
      </c>
      <c r="J3197" s="87">
        <f t="shared" si="2"/>
        <v>3.240655496</v>
      </c>
      <c r="K3197" s="84" t="str">
        <f t="shared" si="3"/>
        <v>Inflasi Tinggi</v>
      </c>
      <c r="L3197" s="84">
        <f t="shared" si="4"/>
        <v>3.52</v>
      </c>
      <c r="M3197" s="88" t="str">
        <f t="shared" si="5"/>
        <v>Akselerasi Kuat</v>
      </c>
    </row>
    <row r="3198" ht="18.75" customHeight="1">
      <c r="A3198" s="80" t="s">
        <v>920</v>
      </c>
      <c r="B3198" s="81" t="str">
        <f t="shared" si="6"/>
        <v>Kab Deli Serdang</v>
      </c>
      <c r="C3198" s="81" t="str">
        <f t="array" ref="C3198">XLOOKUP(B3198,Reference!$A$2:$A$152,Reference!$B$2:$B$152)</f>
        <v>Sumatera Utara</v>
      </c>
      <c r="D3198" s="82" t="s">
        <v>3637</v>
      </c>
      <c r="E3198" s="83">
        <v>45352.0</v>
      </c>
      <c r="F3198" s="84" t="str">
        <f t="array" ref="F3198">XLOOKUP(G3198,Reference!$F:$F,Reference!$D:$D,"null")</f>
        <v>Pendidikan dan Kesehatan</v>
      </c>
      <c r="G3198" s="89" t="s">
        <v>95</v>
      </c>
      <c r="H3198" s="90">
        <v>100.0</v>
      </c>
      <c r="I3198" s="90">
        <v>100.0</v>
      </c>
      <c r="J3198" s="87">
        <f t="shared" si="2"/>
        <v>0</v>
      </c>
      <c r="K3198" s="84" t="str">
        <f t="shared" si="3"/>
        <v>Stabil</v>
      </c>
      <c r="L3198" s="91">
        <f t="shared" si="4"/>
        <v>0</v>
      </c>
      <c r="M3198" s="88" t="str">
        <f t="shared" si="5"/>
        <v>Perubahan Normal</v>
      </c>
    </row>
    <row r="3199" ht="18.75" customHeight="1">
      <c r="A3199" s="80" t="s">
        <v>837</v>
      </c>
      <c r="B3199" s="81" t="str">
        <f t="shared" si="6"/>
        <v>Kab Luwu Timur</v>
      </c>
      <c r="C3199" s="81" t="str">
        <f t="array" ref="C3199">XLOOKUP(B3199,Reference!$A$2:$A$152,Reference!$B$2:$B$152)</f>
        <v>Sulawesi Selatan</v>
      </c>
      <c r="D3199" s="82" t="s">
        <v>3638</v>
      </c>
      <c r="E3199" s="83">
        <v>45352.0</v>
      </c>
      <c r="F3199" s="84" t="str">
        <f t="array" ref="F3199">XLOOKUP(G3199,Reference!$F:$F,Reference!$D:$D,"null")</f>
        <v>Rumah Tangga</v>
      </c>
      <c r="G3199" s="85" t="s">
        <v>80</v>
      </c>
      <c r="H3199" s="86">
        <v>100.0</v>
      </c>
      <c r="I3199" s="86">
        <v>100.0</v>
      </c>
      <c r="J3199" s="87">
        <f t="shared" si="2"/>
        <v>0</v>
      </c>
      <c r="K3199" s="84" t="str">
        <f t="shared" si="3"/>
        <v>Stabil</v>
      </c>
      <c r="L3199" s="84">
        <f t="shared" si="4"/>
        <v>0</v>
      </c>
      <c r="M3199" s="88" t="str">
        <f t="shared" si="5"/>
        <v>Perubahan Normal</v>
      </c>
    </row>
    <row r="3200" ht="18.75" customHeight="1">
      <c r="A3200" s="80" t="s">
        <v>372</v>
      </c>
      <c r="B3200" s="81" t="str">
        <f t="shared" si="6"/>
        <v>Kota Tanjung Pinang</v>
      </c>
      <c r="C3200" s="81" t="str">
        <f t="array" ref="C3200">XLOOKUP(B3200,Reference!$A$2:$A$152,Reference!$B$2:$B$152)</f>
        <v>Kepulauan Riau</v>
      </c>
      <c r="D3200" s="82" t="s">
        <v>3639</v>
      </c>
      <c r="E3200" s="83">
        <v>45352.0</v>
      </c>
      <c r="F3200" s="84" t="str">
        <f t="array" ref="F3200">XLOOKUP(G3200,Reference!$F:$F,Reference!$D:$D,"null")</f>
        <v>Rekreasi dan Kendaraan</v>
      </c>
      <c r="G3200" s="85" t="s">
        <v>102</v>
      </c>
      <c r="H3200" s="86">
        <v>100.74</v>
      </c>
      <c r="I3200" s="86">
        <v>100.74</v>
      </c>
      <c r="J3200" s="87">
        <f t="shared" si="2"/>
        <v>0</v>
      </c>
      <c r="K3200" s="84" t="str">
        <f t="shared" si="3"/>
        <v>Stabil</v>
      </c>
      <c r="L3200" s="84">
        <f t="shared" si="4"/>
        <v>0</v>
      </c>
      <c r="M3200" s="88" t="str">
        <f t="shared" si="5"/>
        <v>Perubahan Normal</v>
      </c>
    </row>
    <row r="3201" ht="18.75" customHeight="1">
      <c r="A3201" s="80" t="s">
        <v>314</v>
      </c>
      <c r="B3201" s="81" t="str">
        <f t="shared" si="6"/>
        <v>Kota Jayapura</v>
      </c>
      <c r="C3201" s="81" t="str">
        <f t="array" ref="C3201">XLOOKUP(B3201,Reference!$A$2:$A$152,Reference!$B$2:$B$152)</f>
        <v>Papua</v>
      </c>
      <c r="D3201" s="82" t="s">
        <v>3640</v>
      </c>
      <c r="E3201" s="83">
        <v>45323.0</v>
      </c>
      <c r="F3201" s="84" t="str">
        <f t="array" ref="F3201">XLOOKUP(G3201,Reference!$F:$F,Reference!$D:$D,"null")</f>
        <v>Rumah Tangga</v>
      </c>
      <c r="G3201" s="85" t="s">
        <v>89</v>
      </c>
      <c r="H3201" s="86">
        <v>102.74</v>
      </c>
      <c r="I3201" s="86">
        <v>101.88</v>
      </c>
      <c r="J3201" s="87">
        <f t="shared" si="2"/>
        <v>0.8441303494</v>
      </c>
      <c r="K3201" s="84" t="str">
        <f t="shared" si="3"/>
        <v>Inflasi Tinggi</v>
      </c>
      <c r="L3201" s="84">
        <f t="shared" si="4"/>
        <v>0.86</v>
      </c>
      <c r="M3201" s="88" t="str">
        <f t="shared" si="5"/>
        <v>Akselerasi Persentase</v>
      </c>
    </row>
    <row r="3202" ht="18.75" customHeight="1">
      <c r="A3202" s="80" t="s">
        <v>814</v>
      </c>
      <c r="B3202" s="81" t="str">
        <f t="shared" si="6"/>
        <v>Kota Samarinda</v>
      </c>
      <c r="C3202" s="81" t="str">
        <f t="array" ref="C3202">XLOOKUP(B3202,Reference!$A$2:$A$152,Reference!$B$2:$B$152)</f>
        <v>Kalimantan Timur</v>
      </c>
      <c r="D3202" s="82" t="s">
        <v>3641</v>
      </c>
      <c r="E3202" s="83">
        <v>45352.0</v>
      </c>
      <c r="F3202" s="84" t="str">
        <f t="array" ref="F3202">XLOOKUP(G3202,Reference!$F:$F,Reference!$D:$D,"null")</f>
        <v>Pendidikan dan Kesehatan</v>
      </c>
      <c r="G3202" s="85" t="s">
        <v>95</v>
      </c>
      <c r="H3202" s="86">
        <v>102.05</v>
      </c>
      <c r="I3202" s="86">
        <v>102.05</v>
      </c>
      <c r="J3202" s="87">
        <f t="shared" si="2"/>
        <v>0</v>
      </c>
      <c r="K3202" s="84" t="str">
        <f t="shared" si="3"/>
        <v>Stabil</v>
      </c>
      <c r="L3202" s="84">
        <f t="shared" si="4"/>
        <v>0</v>
      </c>
      <c r="M3202" s="88" t="str">
        <f t="shared" si="5"/>
        <v>Perubahan Normal</v>
      </c>
    </row>
    <row r="3203" ht="18.75" customHeight="1">
      <c r="A3203" s="80" t="s">
        <v>380</v>
      </c>
      <c r="B3203" s="81" t="str">
        <f t="shared" si="6"/>
        <v>Kota Bengkulu</v>
      </c>
      <c r="C3203" s="81" t="str">
        <f t="array" ref="C3203">XLOOKUP(B3203,Reference!$A$2:$A$152,Reference!$B$2:$B$152)</f>
        <v>Bengkulu</v>
      </c>
      <c r="D3203" s="82" t="s">
        <v>3642</v>
      </c>
      <c r="E3203" s="83">
        <v>45323.0</v>
      </c>
      <c r="F3203" s="84" t="str">
        <f t="array" ref="F3203">XLOOKUP(G3203,Reference!$F:$F,Reference!$D:$D,"null")</f>
        <v>Makanan dan Pakaian </v>
      </c>
      <c r="G3203" s="85" t="s">
        <v>64</v>
      </c>
      <c r="H3203" s="86">
        <v>103.45</v>
      </c>
      <c r="I3203" s="86">
        <v>103.6</v>
      </c>
      <c r="J3203" s="87">
        <f t="shared" si="2"/>
        <v>-0.1447876448</v>
      </c>
      <c r="K3203" s="84" t="str">
        <f t="shared" si="3"/>
        <v>Deflasi</v>
      </c>
      <c r="L3203" s="84">
        <f t="shared" si="4"/>
        <v>-0.15</v>
      </c>
      <c r="M3203" s="88" t="str">
        <f t="shared" si="5"/>
        <v>Perubahan Normal</v>
      </c>
    </row>
    <row r="3204" ht="18.75" customHeight="1">
      <c r="A3204" s="80" t="s">
        <v>727</v>
      </c>
      <c r="B3204" s="81" t="str">
        <f t="shared" si="6"/>
        <v>Kab Badung</v>
      </c>
      <c r="C3204" s="81" t="str">
        <f t="array" ref="C3204">XLOOKUP(B3204,Reference!$A$2:$A$152,Reference!$B$2:$B$152)</f>
        <v>Bali</v>
      </c>
      <c r="D3204" s="82" t="s">
        <v>3643</v>
      </c>
      <c r="E3204" s="83">
        <v>45323.0</v>
      </c>
      <c r="F3204" s="84" t="str">
        <f t="array" ref="F3204">XLOOKUP(G3204,Reference!$F:$F,Reference!$D:$D,"null")</f>
        <v>Rumah Tangga</v>
      </c>
      <c r="G3204" s="85" t="s">
        <v>84</v>
      </c>
      <c r="H3204" s="86">
        <v>103.77</v>
      </c>
      <c r="I3204" s="86">
        <v>103.9</v>
      </c>
      <c r="J3204" s="87">
        <f t="shared" si="2"/>
        <v>-0.125120308</v>
      </c>
      <c r="K3204" s="84" t="str">
        <f t="shared" si="3"/>
        <v>Deflasi</v>
      </c>
      <c r="L3204" s="84">
        <f t="shared" si="4"/>
        <v>-0.13</v>
      </c>
      <c r="M3204" s="88" t="str">
        <f t="shared" si="5"/>
        <v>Perubahan Normal</v>
      </c>
    </row>
    <row r="3205" ht="18.75" customHeight="1">
      <c r="A3205" s="80" t="s">
        <v>905</v>
      </c>
      <c r="B3205" s="81" t="str">
        <f t="shared" si="6"/>
        <v>Kota Ambon</v>
      </c>
      <c r="C3205" s="81" t="str">
        <f t="array" ref="C3205">XLOOKUP(B3205,Reference!$A$2:$A$152,Reference!$B$2:$B$152)</f>
        <v>Maluku</v>
      </c>
      <c r="D3205" s="82" t="s">
        <v>3644</v>
      </c>
      <c r="E3205" s="83">
        <v>45352.0</v>
      </c>
      <c r="F3205" s="84" t="str">
        <f t="array" ref="F3205">XLOOKUP(G3205,Reference!$F:$F,Reference!$D:$D,"null")</f>
        <v>Rekreasi dan Kendaraan</v>
      </c>
      <c r="G3205" s="85" t="s">
        <v>102</v>
      </c>
      <c r="H3205" s="86">
        <v>104.7</v>
      </c>
      <c r="I3205" s="86">
        <v>104.12</v>
      </c>
      <c r="J3205" s="87">
        <f t="shared" si="2"/>
        <v>0.5570495582</v>
      </c>
      <c r="K3205" s="84" t="str">
        <f t="shared" si="3"/>
        <v>Inflasi Tinggi</v>
      </c>
      <c r="L3205" s="84">
        <f t="shared" si="4"/>
        <v>0.58</v>
      </c>
      <c r="M3205" s="88" t="str">
        <f t="shared" si="5"/>
        <v>Akselerasi Persentase</v>
      </c>
    </row>
    <row r="3206" ht="18.75" customHeight="1">
      <c r="A3206" s="80" t="s">
        <v>529</v>
      </c>
      <c r="B3206" s="81" t="str">
        <f t="shared" si="6"/>
        <v>Kota Yogyakarta</v>
      </c>
      <c r="C3206" s="81" t="str">
        <f t="array" ref="C3206">XLOOKUP(B3206,Reference!$A$2:$A$152,Reference!$B$2:$B$152)</f>
        <v>D.I. Yogyakarta</v>
      </c>
      <c r="D3206" s="82" t="s">
        <v>3645</v>
      </c>
      <c r="E3206" s="83">
        <v>45352.0</v>
      </c>
      <c r="F3206" s="84" t="str">
        <f t="array" ref="F3206">XLOOKUP(G3206,Reference!$F:$F,Reference!$D:$D,"null")</f>
        <v>Makanan dan Pakaian </v>
      </c>
      <c r="G3206" s="85" t="s">
        <v>64</v>
      </c>
      <c r="H3206" s="86">
        <v>102.7</v>
      </c>
      <c r="I3206" s="86">
        <v>102.49</v>
      </c>
      <c r="J3206" s="87">
        <f t="shared" si="2"/>
        <v>0.2048980388</v>
      </c>
      <c r="K3206" s="84" t="str">
        <f t="shared" si="3"/>
        <v>Inflasi Normal</v>
      </c>
      <c r="L3206" s="84">
        <f t="shared" si="4"/>
        <v>0.21</v>
      </c>
      <c r="M3206" s="88" t="str">
        <f t="shared" si="5"/>
        <v>Perubahan Normal</v>
      </c>
    </row>
    <row r="3207" ht="18.75" customHeight="1">
      <c r="A3207" s="80" t="s">
        <v>734</v>
      </c>
      <c r="B3207" s="81" t="str">
        <f t="shared" si="6"/>
        <v>Kota Tegal</v>
      </c>
      <c r="C3207" s="81" t="str">
        <f t="array" ref="C3207">XLOOKUP(B3207,Reference!$A$2:$A$152,Reference!$B$2:$B$152)</f>
        <v>Jawa Tengah</v>
      </c>
      <c r="D3207" s="82" t="s">
        <v>3646</v>
      </c>
      <c r="E3207" s="83">
        <v>45323.0</v>
      </c>
      <c r="F3207" s="84" t="str">
        <f t="array" ref="F3207">XLOOKUP(G3207,Reference!$F:$F,Reference!$D:$D,"null")</f>
        <v>Makanan dan Pakaian </v>
      </c>
      <c r="G3207" s="85" t="s">
        <v>48</v>
      </c>
      <c r="H3207" s="86">
        <v>112.34</v>
      </c>
      <c r="I3207" s="86">
        <v>109.27</v>
      </c>
      <c r="J3207" s="87">
        <f t="shared" si="2"/>
        <v>2.809554315</v>
      </c>
      <c r="K3207" s="84" t="str">
        <f t="shared" si="3"/>
        <v>Inflasi Tinggi</v>
      </c>
      <c r="L3207" s="84">
        <f t="shared" si="4"/>
        <v>3.07</v>
      </c>
      <c r="M3207" s="88" t="str">
        <f t="shared" si="5"/>
        <v>Akselerasi Kuat</v>
      </c>
    </row>
    <row r="3208" ht="18.75" customHeight="1">
      <c r="A3208" s="80" t="s">
        <v>814</v>
      </c>
      <c r="B3208" s="81" t="str">
        <f t="shared" si="6"/>
        <v>Kota Samarinda</v>
      </c>
      <c r="C3208" s="81" t="str">
        <f t="array" ref="C3208">XLOOKUP(B3208,Reference!$A$2:$A$152,Reference!$B$2:$B$152)</f>
        <v>Kalimantan Timur</v>
      </c>
      <c r="D3208" s="82" t="s">
        <v>3647</v>
      </c>
      <c r="E3208" s="83">
        <v>45323.0</v>
      </c>
      <c r="F3208" s="84" t="str">
        <f t="array" ref="F3208">XLOOKUP(G3208,Reference!$F:$F,Reference!$D:$D,"null")</f>
        <v>Rekreasi dan Kendaraan</v>
      </c>
      <c r="G3208" s="85" t="s">
        <v>105</v>
      </c>
      <c r="H3208" s="86">
        <v>106.87</v>
      </c>
      <c r="I3208" s="86">
        <v>106.87</v>
      </c>
      <c r="J3208" s="87">
        <f t="shared" si="2"/>
        <v>0</v>
      </c>
      <c r="K3208" s="84" t="str">
        <f t="shared" si="3"/>
        <v>Stabil</v>
      </c>
      <c r="L3208" s="84">
        <f t="shared" si="4"/>
        <v>0</v>
      </c>
      <c r="M3208" s="88" t="str">
        <f t="shared" si="5"/>
        <v>Perubahan Normal</v>
      </c>
    </row>
    <row r="3209" ht="18.75" customHeight="1">
      <c r="A3209" s="80" t="s">
        <v>417</v>
      </c>
      <c r="B3209" s="81" t="str">
        <f t="shared" si="6"/>
        <v>Kotabaru</v>
      </c>
      <c r="C3209" s="81" t="str">
        <f t="array" ref="C3209">XLOOKUP(B3209,Reference!$A$2:$A$152,Reference!$B$2:$B$152)</f>
        <v>Kalimantan Selatan</v>
      </c>
      <c r="D3209" s="82" t="s">
        <v>3648</v>
      </c>
      <c r="E3209" s="83">
        <v>45323.0</v>
      </c>
      <c r="F3209" s="84" t="str">
        <f t="array" ref="F3209">XLOOKUP(G3209,Reference!$F:$F,Reference!$D:$D,"null")</f>
        <v>Pendidikan dan Kesehatan</v>
      </c>
      <c r="G3209" s="85" t="s">
        <v>98</v>
      </c>
      <c r="H3209" s="86">
        <v>109.41</v>
      </c>
      <c r="I3209" s="86">
        <v>109.41</v>
      </c>
      <c r="J3209" s="87">
        <f t="shared" si="2"/>
        <v>0</v>
      </c>
      <c r="K3209" s="84" t="str">
        <f t="shared" si="3"/>
        <v>Stabil</v>
      </c>
      <c r="L3209" s="84">
        <f t="shared" si="4"/>
        <v>0</v>
      </c>
      <c r="M3209" s="88" t="str">
        <f t="shared" si="5"/>
        <v>Perubahan Normal</v>
      </c>
    </row>
    <row r="3210" ht="18.75" customHeight="1">
      <c r="A3210" s="80" t="s">
        <v>397</v>
      </c>
      <c r="B3210" s="81" t="str">
        <f t="shared" si="6"/>
        <v>Kota Pematangsiantar</v>
      </c>
      <c r="C3210" s="81" t="str">
        <f t="array" ref="C3210">XLOOKUP(B3210,Reference!$A$2:$A$152,Reference!$B$2:$B$152)</f>
        <v>Sumatera Utara</v>
      </c>
      <c r="D3210" s="82" t="s">
        <v>3649</v>
      </c>
      <c r="E3210" s="83">
        <v>45323.0</v>
      </c>
      <c r="F3210" s="84" t="str">
        <f t="array" ref="F3210">XLOOKUP(G3210,Reference!$F:$F,Reference!$D:$D,"null")</f>
        <v>Makanan dan Pakaian </v>
      </c>
      <c r="G3210" s="85" t="s">
        <v>64</v>
      </c>
      <c r="H3210" s="86">
        <v>101.85</v>
      </c>
      <c r="I3210" s="86">
        <v>101.85</v>
      </c>
      <c r="J3210" s="87">
        <f t="shared" si="2"/>
        <v>0</v>
      </c>
      <c r="K3210" s="84" t="str">
        <f t="shared" si="3"/>
        <v>Stabil</v>
      </c>
      <c r="L3210" s="84">
        <f t="shared" si="4"/>
        <v>0</v>
      </c>
      <c r="M3210" s="88" t="str">
        <f t="shared" si="5"/>
        <v>Perubahan Normal</v>
      </c>
    </row>
    <row r="3211" ht="18.75" customHeight="1">
      <c r="A3211" s="80" t="s">
        <v>478</v>
      </c>
      <c r="B3211" s="81" t="str">
        <f t="shared" si="6"/>
        <v>Kab Maluku Tengah</v>
      </c>
      <c r="C3211" s="81" t="str">
        <f t="array" ref="C3211">XLOOKUP(B3211,Reference!$A$2:$A$152,Reference!$B$2:$B$152)</f>
        <v>Maluku</v>
      </c>
      <c r="D3211" s="82" t="s">
        <v>3650</v>
      </c>
      <c r="E3211" s="83">
        <v>45323.0</v>
      </c>
      <c r="F3211" s="84" t="str">
        <f t="array" ref="F3211">XLOOKUP(G3211,Reference!$F:$F,Reference!$D:$D,"null")</f>
        <v>Rekreasi dan Kendaraan</v>
      </c>
      <c r="G3211" s="85" t="s">
        <v>102</v>
      </c>
      <c r="H3211" s="86">
        <v>99.79</v>
      </c>
      <c r="I3211" s="86">
        <v>110.86</v>
      </c>
      <c r="J3211" s="87">
        <f t="shared" si="2"/>
        <v>-9.985567382</v>
      </c>
      <c r="K3211" s="84" t="str">
        <f t="shared" si="3"/>
        <v>Deflasi</v>
      </c>
      <c r="L3211" s="84">
        <f t="shared" si="4"/>
        <v>-11.07</v>
      </c>
      <c r="M3211" s="88" t="str">
        <f t="shared" si="5"/>
        <v>Perubahan Normal</v>
      </c>
    </row>
    <row r="3212" ht="18.75" customHeight="1">
      <c r="A3212" s="80" t="s">
        <v>485</v>
      </c>
      <c r="B3212" s="81" t="str">
        <f t="shared" si="6"/>
        <v>Banyuwangi</v>
      </c>
      <c r="C3212" s="81" t="str">
        <f t="array" ref="C3212">XLOOKUP(B3212,Reference!$A$2:$A$152,Reference!$B$2:$B$152)</f>
        <v>Jawa Timur</v>
      </c>
      <c r="D3212" s="82" t="s">
        <v>3651</v>
      </c>
      <c r="E3212" s="83">
        <v>45323.0</v>
      </c>
      <c r="F3212" s="84" t="str">
        <f t="array" ref="F3212">XLOOKUP(G3212,Reference!$F:$F,Reference!$D:$D,"null")</f>
        <v>Rekreasi dan Kendaraan</v>
      </c>
      <c r="G3212" s="85" t="s">
        <v>102</v>
      </c>
      <c r="H3212" s="86">
        <v>102.98</v>
      </c>
      <c r="I3212" s="86">
        <v>102.98</v>
      </c>
      <c r="J3212" s="87">
        <f t="shared" si="2"/>
        <v>0</v>
      </c>
      <c r="K3212" s="84" t="str">
        <f t="shared" si="3"/>
        <v>Stabil</v>
      </c>
      <c r="L3212" s="84">
        <f t="shared" si="4"/>
        <v>0</v>
      </c>
      <c r="M3212" s="88" t="str">
        <f t="shared" si="5"/>
        <v>Perubahan Normal</v>
      </c>
    </row>
    <row r="3213" ht="18.75" customHeight="1">
      <c r="A3213" s="80" t="s">
        <v>1282</v>
      </c>
      <c r="B3213" s="81" t="str">
        <f t="shared" si="6"/>
        <v>Kota Bima</v>
      </c>
      <c r="C3213" s="81" t="str">
        <f t="array" ref="C3213">XLOOKUP(B3213,Reference!$A$2:$A$152,Reference!$B$2:$B$152)</f>
        <v>Nusa Tenggara Barat (NTB)</v>
      </c>
      <c r="D3213" s="82" t="s">
        <v>3652</v>
      </c>
      <c r="E3213" s="83">
        <v>45352.0</v>
      </c>
      <c r="F3213" s="84" t="str">
        <f t="array" ref="F3213">XLOOKUP(G3213,Reference!$F:$F,Reference!$D:$D,"null")</f>
        <v>Rumah Tangga</v>
      </c>
      <c r="G3213" s="85" t="s">
        <v>84</v>
      </c>
      <c r="H3213" s="86">
        <v>102.64</v>
      </c>
      <c r="I3213" s="86">
        <v>102.09</v>
      </c>
      <c r="J3213" s="87">
        <f t="shared" si="2"/>
        <v>0.5387403272</v>
      </c>
      <c r="K3213" s="84" t="str">
        <f t="shared" si="3"/>
        <v>Inflasi Tinggi</v>
      </c>
      <c r="L3213" s="84">
        <f t="shared" si="4"/>
        <v>0.55</v>
      </c>
      <c r="M3213" s="88" t="str">
        <f t="shared" si="5"/>
        <v>Akselerasi Persentase</v>
      </c>
    </row>
    <row r="3214" ht="18.75" customHeight="1">
      <c r="A3214" s="80" t="s">
        <v>308</v>
      </c>
      <c r="B3214" s="81" t="str">
        <f t="shared" si="6"/>
        <v>Kab Sukamara</v>
      </c>
      <c r="C3214" s="81" t="str">
        <f t="array" ref="C3214">XLOOKUP(B3214,Reference!$A$2:$A$152,Reference!$B$2:$B$152)</f>
        <v>Kalimantan Tengah</v>
      </c>
      <c r="D3214" s="82" t="s">
        <v>3653</v>
      </c>
      <c r="E3214" s="83">
        <v>45323.0</v>
      </c>
      <c r="F3214" s="84" t="str">
        <f t="array" ref="F3214">XLOOKUP(G3214,Reference!$F:$F,Reference!$D:$D,"null")</f>
        <v>Rekreasi dan Kendaraan</v>
      </c>
      <c r="G3214" s="85" t="s">
        <v>105</v>
      </c>
      <c r="H3214" s="86">
        <v>101.22</v>
      </c>
      <c r="I3214" s="86">
        <v>101.22</v>
      </c>
      <c r="J3214" s="87">
        <f t="shared" si="2"/>
        <v>0</v>
      </c>
      <c r="K3214" s="84" t="str">
        <f t="shared" si="3"/>
        <v>Stabil</v>
      </c>
      <c r="L3214" s="84">
        <f t="shared" si="4"/>
        <v>0</v>
      </c>
      <c r="M3214" s="88" t="str">
        <f t="shared" si="5"/>
        <v>Perubahan Normal</v>
      </c>
    </row>
    <row r="3215" ht="18.75" customHeight="1">
      <c r="A3215" s="80" t="s">
        <v>296</v>
      </c>
      <c r="B3215" s="81" t="str">
        <f t="shared" si="6"/>
        <v>Kota Bogor</v>
      </c>
      <c r="C3215" s="81" t="str">
        <f t="array" ref="C3215">XLOOKUP(B3215,Reference!$A$2:$A$152,Reference!$B$2:$B$152)</f>
        <v>Jawa Barat</v>
      </c>
      <c r="D3215" s="82" t="s">
        <v>3654</v>
      </c>
      <c r="E3215" s="83">
        <v>45352.0</v>
      </c>
      <c r="F3215" s="84" t="str">
        <f t="array" ref="F3215">XLOOKUP(G3215,Reference!$F:$F,Reference!$D:$D,"null")</f>
        <v>Pendidikan dan Kesehatan</v>
      </c>
      <c r="G3215" s="85" t="s">
        <v>98</v>
      </c>
      <c r="H3215" s="86">
        <v>105.91</v>
      </c>
      <c r="I3215" s="86">
        <v>105.38</v>
      </c>
      <c r="J3215" s="87">
        <f t="shared" si="2"/>
        <v>0.5029417347</v>
      </c>
      <c r="K3215" s="84" t="str">
        <f t="shared" si="3"/>
        <v>Inflasi Normal</v>
      </c>
      <c r="L3215" s="84">
        <f t="shared" si="4"/>
        <v>0.53</v>
      </c>
      <c r="M3215" s="88" t="str">
        <f t="shared" si="5"/>
        <v>Akselerasi Persentase</v>
      </c>
    </row>
    <row r="3216" ht="18.75" customHeight="1">
      <c r="A3216" s="80" t="s">
        <v>618</v>
      </c>
      <c r="B3216" s="81" t="str">
        <f t="shared" si="6"/>
        <v>Kota Tangerang</v>
      </c>
      <c r="C3216" s="81" t="str">
        <f t="array" ref="C3216">XLOOKUP(B3216,Reference!$A$2:$A$152,Reference!$B$2:$B$152)</f>
        <v>Banten</v>
      </c>
      <c r="D3216" s="82" t="s">
        <v>3655</v>
      </c>
      <c r="E3216" s="83">
        <v>45323.0</v>
      </c>
      <c r="F3216" s="84" t="str">
        <f t="array" ref="F3216">XLOOKUP(G3216,Reference!$F:$F,Reference!$D:$D,"null")</f>
        <v>Rekreasi dan Kendaraan</v>
      </c>
      <c r="G3216" s="85" t="s">
        <v>105</v>
      </c>
      <c r="H3216" s="86">
        <v>101.47</v>
      </c>
      <c r="I3216" s="86">
        <v>101.47</v>
      </c>
      <c r="J3216" s="87">
        <f t="shared" si="2"/>
        <v>0</v>
      </c>
      <c r="K3216" s="84" t="str">
        <f t="shared" si="3"/>
        <v>Stabil</v>
      </c>
      <c r="L3216" s="84">
        <f t="shared" si="4"/>
        <v>0</v>
      </c>
      <c r="M3216" s="88" t="str">
        <f t="shared" si="5"/>
        <v>Perubahan Normal</v>
      </c>
    </row>
    <row r="3217" ht="18.75" customHeight="1">
      <c r="A3217" s="80" t="s">
        <v>306</v>
      </c>
      <c r="B3217" s="81" t="str">
        <f t="shared" si="6"/>
        <v>Kota Padang</v>
      </c>
      <c r="C3217" s="81" t="str">
        <f t="array" ref="C3217">XLOOKUP(B3217,Reference!$A$2:$A$152,Reference!$B$2:$B$152)</f>
        <v>Sumatera Barat</v>
      </c>
      <c r="D3217" s="82" t="s">
        <v>3656</v>
      </c>
      <c r="E3217" s="83">
        <v>45352.0</v>
      </c>
      <c r="F3217" s="84" t="str">
        <f t="array" ref="F3217">XLOOKUP(G3217,Reference!$F:$F,Reference!$D:$D,"null")</f>
        <v>Makanan dan Pakaian </v>
      </c>
      <c r="G3217" s="85" t="s">
        <v>56</v>
      </c>
      <c r="H3217" s="86">
        <v>103.22</v>
      </c>
      <c r="I3217" s="86">
        <v>103.28</v>
      </c>
      <c r="J3217" s="87">
        <f t="shared" si="2"/>
        <v>-0.05809450039</v>
      </c>
      <c r="K3217" s="84" t="str">
        <f t="shared" si="3"/>
        <v>Deflasi</v>
      </c>
      <c r="L3217" s="84">
        <f t="shared" si="4"/>
        <v>-0.06</v>
      </c>
      <c r="M3217" s="88" t="str">
        <f t="shared" si="5"/>
        <v>Perubahan Normal</v>
      </c>
    </row>
    <row r="3218" ht="18.75" customHeight="1">
      <c r="A3218" s="80" t="s">
        <v>478</v>
      </c>
      <c r="B3218" s="81" t="str">
        <f t="shared" si="6"/>
        <v>Kab Maluku Tengah</v>
      </c>
      <c r="C3218" s="81" t="str">
        <f t="array" ref="C3218">XLOOKUP(B3218,Reference!$A$2:$A$152,Reference!$B$2:$B$152)</f>
        <v>Maluku</v>
      </c>
      <c r="D3218" s="82" t="s">
        <v>3657</v>
      </c>
      <c r="E3218" s="83">
        <v>45323.0</v>
      </c>
      <c r="F3218" s="84" t="str">
        <f t="array" ref="F3218">XLOOKUP(G3218,Reference!$F:$F,Reference!$D:$D,"null")</f>
        <v>Rumah Tangga</v>
      </c>
      <c r="G3218" s="85" t="s">
        <v>89</v>
      </c>
      <c r="H3218" s="86">
        <v>101.25</v>
      </c>
      <c r="I3218" s="86">
        <v>102.25</v>
      </c>
      <c r="J3218" s="87">
        <f t="shared" si="2"/>
        <v>-0.97799511</v>
      </c>
      <c r="K3218" s="84" t="str">
        <f t="shared" si="3"/>
        <v>Deflasi</v>
      </c>
      <c r="L3218" s="84">
        <f t="shared" si="4"/>
        <v>-1</v>
      </c>
      <c r="M3218" s="88" t="str">
        <f t="shared" si="5"/>
        <v>Perubahan Normal</v>
      </c>
    </row>
    <row r="3219" ht="18.75" customHeight="1">
      <c r="A3219" s="80" t="s">
        <v>433</v>
      </c>
      <c r="B3219" s="81" t="str">
        <f t="shared" si="6"/>
        <v>Kab Tulungagung</v>
      </c>
      <c r="C3219" s="81" t="str">
        <f t="array" ref="C3219">XLOOKUP(B3219,Reference!$A$2:$A$152,Reference!$B$2:$B$152)</f>
        <v>Jawa Timur</v>
      </c>
      <c r="D3219" s="82" t="s">
        <v>3658</v>
      </c>
      <c r="E3219" s="83">
        <v>45323.0</v>
      </c>
      <c r="F3219" s="84" t="str">
        <f t="array" ref="F3219">XLOOKUP(G3219,Reference!$F:$F,Reference!$D:$D,"null")</f>
        <v>Makanan dan Pakaian </v>
      </c>
      <c r="G3219" s="85" t="s">
        <v>48</v>
      </c>
      <c r="H3219" s="86">
        <v>113.46</v>
      </c>
      <c r="I3219" s="86">
        <v>111.38</v>
      </c>
      <c r="J3219" s="87">
        <f t="shared" si="2"/>
        <v>1.867480697</v>
      </c>
      <c r="K3219" s="84" t="str">
        <f t="shared" si="3"/>
        <v>Inflasi Tinggi</v>
      </c>
      <c r="L3219" s="84">
        <f t="shared" si="4"/>
        <v>2.08</v>
      </c>
      <c r="M3219" s="88" t="str">
        <f t="shared" si="5"/>
        <v>Akselerasi Kuat</v>
      </c>
    </row>
    <row r="3220" ht="18.75" customHeight="1">
      <c r="A3220" s="80" t="s">
        <v>490</v>
      </c>
      <c r="B3220" s="81" t="str">
        <f t="shared" si="6"/>
        <v>Kab Kerinci</v>
      </c>
      <c r="C3220" s="81" t="str">
        <f t="array" ref="C3220">XLOOKUP(B3220,Reference!$A$2:$A$152,Reference!$B$2:$B$152)</f>
        <v>Jambi</v>
      </c>
      <c r="D3220" s="82" t="s">
        <v>3659</v>
      </c>
      <c r="E3220" s="83">
        <v>45352.0</v>
      </c>
      <c r="F3220" s="84" t="str">
        <f t="array" ref="F3220">XLOOKUP(G3220,Reference!$F:$F,Reference!$D:$D,"null")</f>
        <v>Rumah Tangga</v>
      </c>
      <c r="G3220" s="85" t="s">
        <v>89</v>
      </c>
      <c r="H3220" s="86">
        <v>108.98</v>
      </c>
      <c r="I3220" s="86">
        <v>108.98</v>
      </c>
      <c r="J3220" s="87">
        <f t="shared" si="2"/>
        <v>0</v>
      </c>
      <c r="K3220" s="84" t="str">
        <f t="shared" si="3"/>
        <v>Stabil</v>
      </c>
      <c r="L3220" s="84">
        <f t="shared" si="4"/>
        <v>0</v>
      </c>
      <c r="M3220" s="88" t="str">
        <f t="shared" si="5"/>
        <v>Perubahan Normal</v>
      </c>
    </row>
    <row r="3221" ht="18.75" customHeight="1">
      <c r="A3221" s="80" t="s">
        <v>485</v>
      </c>
      <c r="B3221" s="81" t="str">
        <f t="shared" si="6"/>
        <v>Banyuwangi</v>
      </c>
      <c r="C3221" s="81" t="str">
        <f t="array" ref="C3221">XLOOKUP(B3221,Reference!$A$2:$A$152,Reference!$B$2:$B$152)</f>
        <v>Jawa Timur</v>
      </c>
      <c r="D3221" s="82" t="s">
        <v>3660</v>
      </c>
      <c r="E3221" s="83">
        <v>45323.0</v>
      </c>
      <c r="F3221" s="84" t="str">
        <f t="array" ref="F3221">XLOOKUP(G3221,Reference!$F:$F,Reference!$D:$D,"null")</f>
        <v>Makanan dan Pakaian </v>
      </c>
      <c r="G3221" s="85" t="s">
        <v>64</v>
      </c>
      <c r="H3221" s="86">
        <v>103.02</v>
      </c>
      <c r="I3221" s="86">
        <v>103.02</v>
      </c>
      <c r="J3221" s="87">
        <f t="shared" si="2"/>
        <v>0</v>
      </c>
      <c r="K3221" s="84" t="str">
        <f t="shared" si="3"/>
        <v>Stabil</v>
      </c>
      <c r="L3221" s="84">
        <f t="shared" si="4"/>
        <v>0</v>
      </c>
      <c r="M3221" s="88" t="str">
        <f t="shared" si="5"/>
        <v>Perubahan Normal</v>
      </c>
    </row>
    <row r="3222" ht="18.75" customHeight="1">
      <c r="A3222" s="80" t="s">
        <v>965</v>
      </c>
      <c r="B3222" s="81" t="str">
        <f t="shared" si="6"/>
        <v>Kab Konawe</v>
      </c>
      <c r="C3222" s="81" t="str">
        <f t="array" ref="C3222">XLOOKUP(B3222,Reference!$A$2:$A$152,Reference!$B$2:$B$152)</f>
        <v>Sulawesi Tenggara</v>
      </c>
      <c r="D3222" s="82" t="s">
        <v>3661</v>
      </c>
      <c r="E3222" s="83">
        <v>45352.0</v>
      </c>
      <c r="F3222" s="84" t="str">
        <f t="array" ref="F3222">XLOOKUP(G3222,Reference!$F:$F,Reference!$D:$D,"null")</f>
        <v>Pendidikan dan Kesehatan</v>
      </c>
      <c r="G3222" s="85" t="s">
        <v>95</v>
      </c>
      <c r="H3222" s="86">
        <v>100.0</v>
      </c>
      <c r="I3222" s="86">
        <v>100.0</v>
      </c>
      <c r="J3222" s="87">
        <f t="shared" si="2"/>
        <v>0</v>
      </c>
      <c r="K3222" s="84" t="str">
        <f t="shared" si="3"/>
        <v>Stabil</v>
      </c>
      <c r="L3222" s="84">
        <f t="shared" si="4"/>
        <v>0</v>
      </c>
      <c r="M3222" s="88" t="str">
        <f t="shared" si="5"/>
        <v>Perubahan Normal</v>
      </c>
    </row>
    <row r="3223" ht="18.75" customHeight="1">
      <c r="A3223" s="80" t="s">
        <v>535</v>
      </c>
      <c r="B3223" s="81" t="str">
        <f t="shared" si="6"/>
        <v>Kota Tarakan</v>
      </c>
      <c r="C3223" s="81" t="str">
        <f t="array" ref="C3223">XLOOKUP(B3223,Reference!$A$2:$A$152,Reference!$B$2:$B$152)</f>
        <v>Kalimantan Utara</v>
      </c>
      <c r="D3223" s="82" t="s">
        <v>3662</v>
      </c>
      <c r="E3223" s="83">
        <v>45323.0</v>
      </c>
      <c r="F3223" s="84" t="str">
        <f t="array" ref="F3223">XLOOKUP(G3223,Reference!$F:$F,Reference!$D:$D,"null")</f>
        <v>Makanan dan Pakaian </v>
      </c>
      <c r="G3223" s="85" t="s">
        <v>64</v>
      </c>
      <c r="H3223" s="86">
        <v>100.06</v>
      </c>
      <c r="I3223" s="86">
        <v>100.06</v>
      </c>
      <c r="J3223" s="87">
        <f t="shared" si="2"/>
        <v>0</v>
      </c>
      <c r="K3223" s="84" t="str">
        <f t="shared" si="3"/>
        <v>Stabil</v>
      </c>
      <c r="L3223" s="84">
        <f t="shared" si="4"/>
        <v>0</v>
      </c>
      <c r="M3223" s="88" t="str">
        <f t="shared" si="5"/>
        <v>Perubahan Normal</v>
      </c>
    </row>
    <row r="3224" ht="18.75" customHeight="1">
      <c r="A3224" s="80" t="s">
        <v>438</v>
      </c>
      <c r="B3224" s="81" t="str">
        <f t="shared" si="6"/>
        <v>Kab Muara Enim</v>
      </c>
      <c r="C3224" s="81" t="str">
        <f t="array" ref="C3224">XLOOKUP(B3224,Reference!$A$2:$A$152,Reference!$B$2:$B$152)</f>
        <v>Sumatera Selatan</v>
      </c>
      <c r="D3224" s="82" t="s">
        <v>3663</v>
      </c>
      <c r="E3224" s="83">
        <v>45323.0</v>
      </c>
      <c r="F3224" s="84" t="str">
        <f t="array" ref="F3224">XLOOKUP(G3224,Reference!$F:$F,Reference!$D:$D,"null")</f>
        <v>Rumah Tangga</v>
      </c>
      <c r="G3224" s="85" t="s">
        <v>89</v>
      </c>
      <c r="H3224" s="86">
        <v>105.86</v>
      </c>
      <c r="I3224" s="86">
        <v>105.85</v>
      </c>
      <c r="J3224" s="87">
        <f t="shared" si="2"/>
        <v>0.009447331129</v>
      </c>
      <c r="K3224" s="84" t="str">
        <f t="shared" si="3"/>
        <v>Inflasi Normal</v>
      </c>
      <c r="L3224" s="84">
        <f t="shared" si="4"/>
        <v>0.01</v>
      </c>
      <c r="M3224" s="88" t="str">
        <f t="shared" si="5"/>
        <v>Perubahan Normal</v>
      </c>
    </row>
    <row r="3225" ht="18.75" customHeight="1">
      <c r="A3225" s="80" t="s">
        <v>573</v>
      </c>
      <c r="B3225" s="81" t="str">
        <f t="shared" si="6"/>
        <v>Kota Palangkaraya</v>
      </c>
      <c r="C3225" s="81" t="str">
        <f t="array" ref="C3225">XLOOKUP(B3225,Reference!$A$2:$A$152,Reference!$B$2:$B$152)</f>
        <v>Kalimantan Tengah</v>
      </c>
      <c r="D3225" s="82" t="s">
        <v>3664</v>
      </c>
      <c r="E3225" s="83">
        <v>45323.0</v>
      </c>
      <c r="F3225" s="84" t="str">
        <f t="array" ref="F3225">XLOOKUP(G3225,Reference!$F:$F,Reference!$D:$D,"null")</f>
        <v>Pendidikan dan Kesehatan</v>
      </c>
      <c r="G3225" s="85" t="s">
        <v>98</v>
      </c>
      <c r="H3225" s="86">
        <v>102.05</v>
      </c>
      <c r="I3225" s="86">
        <v>102.09</v>
      </c>
      <c r="J3225" s="87">
        <f t="shared" si="2"/>
        <v>-0.0391811147</v>
      </c>
      <c r="K3225" s="84" t="str">
        <f t="shared" si="3"/>
        <v>Deflasi</v>
      </c>
      <c r="L3225" s="84">
        <f t="shared" si="4"/>
        <v>-0.04</v>
      </c>
      <c r="M3225" s="88" t="str">
        <f t="shared" si="5"/>
        <v>Perubahan Normal</v>
      </c>
    </row>
    <row r="3226" ht="18.75" customHeight="1">
      <c r="A3226" s="80" t="s">
        <v>331</v>
      </c>
      <c r="B3226" s="81" t="str">
        <f t="shared" si="6"/>
        <v>Kota Lhokseumawe</v>
      </c>
      <c r="C3226" s="81" t="str">
        <f t="array" ref="C3226">XLOOKUP(B3226,Reference!$A$2:$A$152,Reference!$B$2:$B$152)</f>
        <v>Aceh</v>
      </c>
      <c r="D3226" s="82" t="s">
        <v>3665</v>
      </c>
      <c r="E3226" s="83">
        <v>45323.0</v>
      </c>
      <c r="F3226" s="84" t="str">
        <f t="array" ref="F3226">XLOOKUP(G3226,Reference!$F:$F,Reference!$D:$D,"null")</f>
        <v>Rekreasi dan Kendaraan</v>
      </c>
      <c r="G3226" s="85" t="s">
        <v>105</v>
      </c>
      <c r="H3226" s="86">
        <v>105.3</v>
      </c>
      <c r="I3226" s="86">
        <v>105.3</v>
      </c>
      <c r="J3226" s="87">
        <f t="shared" si="2"/>
        <v>0</v>
      </c>
      <c r="K3226" s="84" t="str">
        <f t="shared" si="3"/>
        <v>Stabil</v>
      </c>
      <c r="L3226" s="84">
        <f t="shared" si="4"/>
        <v>0</v>
      </c>
      <c r="M3226" s="88" t="str">
        <f t="shared" si="5"/>
        <v>Perubahan Normal</v>
      </c>
    </row>
    <row r="3227" ht="18.75" customHeight="1">
      <c r="A3227" s="80" t="s">
        <v>483</v>
      </c>
      <c r="B3227" s="81" t="str">
        <f t="shared" si="6"/>
        <v>Kota Padangsidimpuan</v>
      </c>
      <c r="C3227" s="81" t="str">
        <f t="array" ref="C3227">XLOOKUP(B3227,Reference!$A$2:$A$152,Reference!$B$2:$B$152)</f>
        <v>Sumatera Utara</v>
      </c>
      <c r="D3227" s="82" t="s">
        <v>3666</v>
      </c>
      <c r="E3227" s="83">
        <v>45323.0</v>
      </c>
      <c r="F3227" s="84" t="str">
        <f t="array" ref="F3227">XLOOKUP(G3227,Reference!$F:$F,Reference!$D:$D,"null")</f>
        <v>Rumah Tangga</v>
      </c>
      <c r="G3227" s="85" t="s">
        <v>80</v>
      </c>
      <c r="H3227" s="86">
        <v>100.94</v>
      </c>
      <c r="I3227" s="86">
        <v>100.94</v>
      </c>
      <c r="J3227" s="87">
        <f t="shared" si="2"/>
        <v>0</v>
      </c>
      <c r="K3227" s="84" t="str">
        <f t="shared" si="3"/>
        <v>Stabil</v>
      </c>
      <c r="L3227" s="84">
        <f t="shared" si="4"/>
        <v>0</v>
      </c>
      <c r="M3227" s="88" t="str">
        <f t="shared" si="5"/>
        <v>Perubahan Normal</v>
      </c>
    </row>
    <row r="3228" ht="18.75" customHeight="1">
      <c r="A3228" s="80" t="s">
        <v>445</v>
      </c>
      <c r="B3228" s="81" t="str">
        <f t="shared" si="6"/>
        <v>Kab Bangka Barat</v>
      </c>
      <c r="C3228" s="81" t="str">
        <f t="array" ref="C3228">XLOOKUP(B3228,Reference!$A$2:$A$152,Reference!$B$2:$B$152)</f>
        <v>Kepulauan Bangka Belitung</v>
      </c>
      <c r="D3228" s="82" t="s">
        <v>3667</v>
      </c>
      <c r="E3228" s="83">
        <v>45323.0</v>
      </c>
      <c r="F3228" s="84" t="str">
        <f t="array" ref="F3228">XLOOKUP(G3228,Reference!$F:$F,Reference!$D:$D,"null")</f>
        <v>Rekreasi dan Kendaraan</v>
      </c>
      <c r="G3228" s="85" t="s">
        <v>105</v>
      </c>
      <c r="H3228" s="86">
        <v>100.38</v>
      </c>
      <c r="I3228" s="86">
        <v>99.8</v>
      </c>
      <c r="J3228" s="87">
        <f t="shared" si="2"/>
        <v>0.5811623246</v>
      </c>
      <c r="K3228" s="84" t="str">
        <f t="shared" si="3"/>
        <v>Inflasi Tinggi</v>
      </c>
      <c r="L3228" s="84">
        <f t="shared" si="4"/>
        <v>0.58</v>
      </c>
      <c r="M3228" s="88" t="str">
        <f t="shared" si="5"/>
        <v>Akselerasi Persentase</v>
      </c>
    </row>
    <row r="3229" ht="18.75" customHeight="1">
      <c r="A3229" s="80" t="s">
        <v>508</v>
      </c>
      <c r="B3229" s="81" t="str">
        <f t="shared" si="6"/>
        <v>Kab Minahasa Selatan</v>
      </c>
      <c r="C3229" s="81" t="str">
        <f t="array" ref="C3229">XLOOKUP(B3229,Reference!$A$2:$A$152,Reference!$B$2:$B$152)</f>
        <v>Sulawesi Utara</v>
      </c>
      <c r="D3229" s="82" t="s">
        <v>3668</v>
      </c>
      <c r="E3229" s="83">
        <v>45323.0</v>
      </c>
      <c r="F3229" s="84" t="str">
        <f t="array" ref="F3229">XLOOKUP(G3229,Reference!$F:$F,Reference!$D:$D,"null")</f>
        <v>Rumah Tangga</v>
      </c>
      <c r="G3229" s="85" t="s">
        <v>80</v>
      </c>
      <c r="H3229" s="86">
        <v>100.37</v>
      </c>
      <c r="I3229" s="86">
        <v>100.37</v>
      </c>
      <c r="J3229" s="87">
        <f t="shared" si="2"/>
        <v>0</v>
      </c>
      <c r="K3229" s="84" t="str">
        <f t="shared" si="3"/>
        <v>Stabil</v>
      </c>
      <c r="L3229" s="84">
        <f t="shared" si="4"/>
        <v>0</v>
      </c>
      <c r="M3229" s="88" t="str">
        <f t="shared" si="5"/>
        <v>Perubahan Normal</v>
      </c>
    </row>
    <row r="3230" ht="18.75" customHeight="1">
      <c r="A3230" s="80" t="s">
        <v>294</v>
      </c>
      <c r="B3230" s="81" t="str">
        <f t="shared" si="6"/>
        <v>Kab Labuhanbatu</v>
      </c>
      <c r="C3230" s="81" t="str">
        <f t="array" ref="C3230">XLOOKUP(B3230,Reference!$A$2:$A$152,Reference!$B$2:$B$152)</f>
        <v>Sumatera Utara</v>
      </c>
      <c r="D3230" s="82" t="s">
        <v>3669</v>
      </c>
      <c r="E3230" s="83">
        <v>45323.0</v>
      </c>
      <c r="F3230" s="84" t="str">
        <f t="array" ref="F3230">XLOOKUP(G3230,Reference!$F:$F,Reference!$D:$D,"null")</f>
        <v>Pendidikan dan Kesehatan</v>
      </c>
      <c r="G3230" s="85" t="s">
        <v>98</v>
      </c>
      <c r="H3230" s="86">
        <v>118.97</v>
      </c>
      <c r="I3230" s="86">
        <v>118.97</v>
      </c>
      <c r="J3230" s="87">
        <f t="shared" si="2"/>
        <v>0</v>
      </c>
      <c r="K3230" s="84" t="str">
        <f t="shared" si="3"/>
        <v>Stabil</v>
      </c>
      <c r="L3230" s="84">
        <f t="shared" si="4"/>
        <v>0</v>
      </c>
      <c r="M3230" s="88" t="str">
        <f t="shared" si="5"/>
        <v>Perubahan Normal</v>
      </c>
    </row>
    <row r="3231" ht="18.75" customHeight="1">
      <c r="A3231" s="80" t="s">
        <v>598</v>
      </c>
      <c r="B3231" s="81" t="str">
        <f t="shared" si="6"/>
        <v>Kota Surakarta</v>
      </c>
      <c r="C3231" s="81" t="str">
        <f t="array" ref="C3231">XLOOKUP(B3231,Reference!$A$2:$A$152,Reference!$B$2:$B$152)</f>
        <v>Jawa Tengah</v>
      </c>
      <c r="D3231" s="82" t="s">
        <v>3670</v>
      </c>
      <c r="E3231" s="83">
        <v>45323.0</v>
      </c>
      <c r="F3231" s="84" t="str">
        <f t="array" ref="F3231">XLOOKUP(G3231,Reference!$F:$F,Reference!$D:$D,"null")</f>
        <v>Rekreasi dan Kendaraan</v>
      </c>
      <c r="G3231" s="85" t="s">
        <v>102</v>
      </c>
      <c r="H3231" s="86">
        <v>105.79</v>
      </c>
      <c r="I3231" s="86">
        <v>105.8</v>
      </c>
      <c r="J3231" s="87">
        <f t="shared" si="2"/>
        <v>-0.009451795841</v>
      </c>
      <c r="K3231" s="84" t="str">
        <f t="shared" si="3"/>
        <v>Deflasi</v>
      </c>
      <c r="L3231" s="84">
        <f t="shared" si="4"/>
        <v>-0.01</v>
      </c>
      <c r="M3231" s="88" t="str">
        <f t="shared" si="5"/>
        <v>Perubahan Normal</v>
      </c>
    </row>
    <row r="3232" ht="18.75" customHeight="1">
      <c r="A3232" s="80" t="s">
        <v>401</v>
      </c>
      <c r="B3232" s="81" t="str">
        <f t="shared" si="6"/>
        <v>Kota Tual</v>
      </c>
      <c r="C3232" s="81" t="str">
        <f t="array" ref="C3232">XLOOKUP(B3232,Reference!$A$2:$A$152,Reference!$B$2:$B$152)</f>
        <v>Maluku</v>
      </c>
      <c r="D3232" s="82" t="s">
        <v>3671</v>
      </c>
      <c r="E3232" s="83">
        <v>45323.0</v>
      </c>
      <c r="F3232" s="84" t="str">
        <f t="array" ref="F3232">XLOOKUP(G3232,Reference!$F:$F,Reference!$D:$D,"null")</f>
        <v>Rumah Tangga</v>
      </c>
      <c r="G3232" s="85" t="s">
        <v>89</v>
      </c>
      <c r="H3232" s="86">
        <v>91.71</v>
      </c>
      <c r="I3232" s="86">
        <v>93.52</v>
      </c>
      <c r="J3232" s="87">
        <f t="shared" si="2"/>
        <v>-1.935414885</v>
      </c>
      <c r="K3232" s="84" t="str">
        <f t="shared" si="3"/>
        <v>Deflasi</v>
      </c>
      <c r="L3232" s="84">
        <f t="shared" si="4"/>
        <v>-1.81</v>
      </c>
      <c r="M3232" s="88" t="str">
        <f t="shared" si="5"/>
        <v>Perubahan Normal</v>
      </c>
    </row>
    <row r="3233" ht="18.75" customHeight="1">
      <c r="A3233" s="80" t="s">
        <v>417</v>
      </c>
      <c r="B3233" s="81" t="str">
        <f t="shared" si="6"/>
        <v>Kotabaru</v>
      </c>
      <c r="C3233" s="81" t="str">
        <f t="array" ref="C3233">XLOOKUP(B3233,Reference!$A$2:$A$152,Reference!$B$2:$B$152)</f>
        <v>Kalimantan Selatan</v>
      </c>
      <c r="D3233" s="82" t="s">
        <v>3672</v>
      </c>
      <c r="E3233" s="83">
        <v>45323.0</v>
      </c>
      <c r="F3233" s="84" t="str">
        <f t="array" ref="F3233">XLOOKUP(G3233,Reference!$F:$F,Reference!$D:$D,"null")</f>
        <v>Rumah Tangga</v>
      </c>
      <c r="G3233" s="85" t="s">
        <v>89</v>
      </c>
      <c r="H3233" s="86">
        <v>105.68</v>
      </c>
      <c r="I3233" s="86">
        <v>105.68</v>
      </c>
      <c r="J3233" s="87">
        <f t="shared" si="2"/>
        <v>0</v>
      </c>
      <c r="K3233" s="84" t="str">
        <f t="shared" si="3"/>
        <v>Stabil</v>
      </c>
      <c r="L3233" s="84">
        <f t="shared" si="4"/>
        <v>0</v>
      </c>
      <c r="M3233" s="88" t="str">
        <f t="shared" si="5"/>
        <v>Perubahan Normal</v>
      </c>
    </row>
    <row r="3234" ht="18.75" customHeight="1">
      <c r="A3234" s="80" t="s">
        <v>410</v>
      </c>
      <c r="B3234" s="81" t="str">
        <f t="shared" si="6"/>
        <v>Meulaboh</v>
      </c>
      <c r="C3234" s="81" t="str">
        <f t="array" ref="C3234">XLOOKUP(B3234,Reference!$A$2:$A$152,Reference!$B$2:$B$152)</f>
        <v>Aceh</v>
      </c>
      <c r="D3234" s="82" t="s">
        <v>3673</v>
      </c>
      <c r="E3234" s="83">
        <v>45323.0</v>
      </c>
      <c r="F3234" s="84" t="str">
        <f t="array" ref="F3234">XLOOKUP(G3234,Reference!$F:$F,Reference!$D:$D,"null")</f>
        <v>Pendidikan dan Kesehatan</v>
      </c>
      <c r="G3234" s="89" t="s">
        <v>98</v>
      </c>
      <c r="H3234" s="90">
        <v>111.93</v>
      </c>
      <c r="I3234" s="90">
        <v>111.93</v>
      </c>
      <c r="J3234" s="87">
        <f t="shared" si="2"/>
        <v>0</v>
      </c>
      <c r="K3234" s="84" t="str">
        <f t="shared" si="3"/>
        <v>Stabil</v>
      </c>
      <c r="L3234" s="91">
        <f t="shared" si="4"/>
        <v>0</v>
      </c>
      <c r="M3234" s="88" t="str">
        <f t="shared" si="5"/>
        <v>Perubahan Normal</v>
      </c>
    </row>
    <row r="3235" ht="18.75" customHeight="1">
      <c r="A3235" s="80" t="s">
        <v>529</v>
      </c>
      <c r="B3235" s="81" t="str">
        <f t="shared" si="6"/>
        <v>Kota Yogyakarta</v>
      </c>
      <c r="C3235" s="81" t="str">
        <f t="array" ref="C3235">XLOOKUP(B3235,Reference!$A$2:$A$152,Reference!$B$2:$B$152)</f>
        <v>D.I. Yogyakarta</v>
      </c>
      <c r="D3235" s="82" t="s">
        <v>3674</v>
      </c>
      <c r="E3235" s="83">
        <v>45352.0</v>
      </c>
      <c r="F3235" s="84" t="str">
        <f t="array" ref="F3235">XLOOKUP(G3235,Reference!$F:$F,Reference!$D:$D,"null")</f>
        <v>Rekreasi dan Kendaraan</v>
      </c>
      <c r="G3235" s="89" t="s">
        <v>102</v>
      </c>
      <c r="H3235" s="90">
        <v>103.09</v>
      </c>
      <c r="I3235" s="90">
        <v>102.79</v>
      </c>
      <c r="J3235" s="87">
        <f t="shared" si="2"/>
        <v>0.2918571846</v>
      </c>
      <c r="K3235" s="84" t="str">
        <f t="shared" si="3"/>
        <v>Inflasi Normal</v>
      </c>
      <c r="L3235" s="91">
        <f t="shared" si="4"/>
        <v>0.3</v>
      </c>
      <c r="M3235" s="88" t="str">
        <f t="shared" si="5"/>
        <v>Perubahan Normal</v>
      </c>
    </row>
    <row r="3236" ht="18.75" customHeight="1">
      <c r="A3236" s="80" t="s">
        <v>438</v>
      </c>
      <c r="B3236" s="81" t="str">
        <f t="shared" si="6"/>
        <v>Kab Muara Enim</v>
      </c>
      <c r="C3236" s="81" t="str">
        <f t="array" ref="C3236">XLOOKUP(B3236,Reference!$A$2:$A$152,Reference!$B$2:$B$152)</f>
        <v>Sumatera Selatan</v>
      </c>
      <c r="D3236" s="82" t="s">
        <v>3675</v>
      </c>
      <c r="E3236" s="83">
        <v>45323.0</v>
      </c>
      <c r="F3236" s="84" t="str">
        <f t="array" ref="F3236">XLOOKUP(G3236,Reference!$F:$F,Reference!$D:$D,"null")</f>
        <v>Makanan dan Pakaian </v>
      </c>
      <c r="G3236" s="85" t="s">
        <v>64</v>
      </c>
      <c r="H3236" s="86">
        <v>106.39</v>
      </c>
      <c r="I3236" s="86">
        <v>109.07</v>
      </c>
      <c r="J3236" s="87">
        <f t="shared" si="2"/>
        <v>-2.457137618</v>
      </c>
      <c r="K3236" s="84" t="str">
        <f t="shared" si="3"/>
        <v>Deflasi</v>
      </c>
      <c r="L3236" s="84">
        <f t="shared" si="4"/>
        <v>-2.68</v>
      </c>
      <c r="M3236" s="88" t="str">
        <f t="shared" si="5"/>
        <v>Perubahan Normal</v>
      </c>
    </row>
    <row r="3237" ht="18.75" customHeight="1">
      <c r="A3237" s="80" t="s">
        <v>535</v>
      </c>
      <c r="B3237" s="81" t="str">
        <f t="shared" si="6"/>
        <v>Kota Tarakan</v>
      </c>
      <c r="C3237" s="81" t="str">
        <f t="array" ref="C3237">XLOOKUP(B3237,Reference!$A$2:$A$152,Reference!$B$2:$B$152)</f>
        <v>Kalimantan Utara</v>
      </c>
      <c r="D3237" s="82" t="s">
        <v>3676</v>
      </c>
      <c r="E3237" s="83">
        <v>45352.0</v>
      </c>
      <c r="F3237" s="84" t="str">
        <f t="array" ref="F3237">XLOOKUP(G3237,Reference!$F:$F,Reference!$D:$D,"null")</f>
        <v>Rekreasi dan Kendaraan</v>
      </c>
      <c r="G3237" s="85" t="s">
        <v>102</v>
      </c>
      <c r="H3237" s="86">
        <v>100.15</v>
      </c>
      <c r="I3237" s="86">
        <v>100.15</v>
      </c>
      <c r="J3237" s="87">
        <f t="shared" si="2"/>
        <v>0</v>
      </c>
      <c r="K3237" s="84" t="str">
        <f t="shared" si="3"/>
        <v>Stabil</v>
      </c>
      <c r="L3237" s="84">
        <f t="shared" si="4"/>
        <v>0</v>
      </c>
      <c r="M3237" s="88" t="str">
        <f t="shared" si="5"/>
        <v>Perubahan Normal</v>
      </c>
    </row>
    <row r="3238" ht="18.75" customHeight="1">
      <c r="A3238" s="80" t="s">
        <v>576</v>
      </c>
      <c r="B3238" s="81" t="str">
        <f t="shared" si="6"/>
        <v>Kab Tabanan</v>
      </c>
      <c r="C3238" s="81" t="str">
        <f t="array" ref="C3238">XLOOKUP(B3238,Reference!$A$2:$A$152,Reference!$B$2:$B$152)</f>
        <v>Bali</v>
      </c>
      <c r="D3238" s="82" t="s">
        <v>3677</v>
      </c>
      <c r="E3238" s="83">
        <v>45323.0</v>
      </c>
      <c r="F3238" s="84" t="str">
        <f t="array" ref="F3238">XLOOKUP(G3238,Reference!$F:$F,Reference!$D:$D,"null")</f>
        <v>Makanan dan Pakaian </v>
      </c>
      <c r="G3238" s="85" t="s">
        <v>56</v>
      </c>
      <c r="H3238" s="86">
        <v>107.22</v>
      </c>
      <c r="I3238" s="86">
        <v>107.22</v>
      </c>
      <c r="J3238" s="87">
        <f t="shared" si="2"/>
        <v>0</v>
      </c>
      <c r="K3238" s="84" t="str">
        <f t="shared" si="3"/>
        <v>Stabil</v>
      </c>
      <c r="L3238" s="84">
        <f t="shared" si="4"/>
        <v>0</v>
      </c>
      <c r="M3238" s="88" t="str">
        <f t="shared" si="5"/>
        <v>Perubahan Normal</v>
      </c>
    </row>
    <row r="3239" ht="18.75" customHeight="1">
      <c r="A3239" s="80" t="s">
        <v>841</v>
      </c>
      <c r="B3239" s="81" t="str">
        <f t="shared" si="6"/>
        <v>Kab Morowali</v>
      </c>
      <c r="C3239" s="81" t="str">
        <f t="array" ref="C3239">XLOOKUP(B3239,Reference!$A$2:$A$152,Reference!$B$2:$B$152)</f>
        <v>Sulawesi Tengah</v>
      </c>
      <c r="D3239" s="82" t="s">
        <v>3678</v>
      </c>
      <c r="E3239" s="83">
        <v>45352.0</v>
      </c>
      <c r="F3239" s="84" t="str">
        <f t="array" ref="F3239">XLOOKUP(G3239,Reference!$F:$F,Reference!$D:$D,"null")</f>
        <v>Pendidikan dan Kesehatan</v>
      </c>
      <c r="G3239" s="85" t="s">
        <v>98</v>
      </c>
      <c r="H3239" s="86">
        <v>100.03</v>
      </c>
      <c r="I3239" s="86">
        <v>100.03</v>
      </c>
      <c r="J3239" s="87">
        <f t="shared" si="2"/>
        <v>0</v>
      </c>
      <c r="K3239" s="84" t="str">
        <f t="shared" si="3"/>
        <v>Stabil</v>
      </c>
      <c r="L3239" s="84">
        <f t="shared" si="4"/>
        <v>0</v>
      </c>
      <c r="M3239" s="88" t="str">
        <f t="shared" si="5"/>
        <v>Perubahan Normal</v>
      </c>
    </row>
    <row r="3240" ht="18.75" customHeight="1">
      <c r="A3240" s="80" t="s">
        <v>335</v>
      </c>
      <c r="B3240" s="81" t="str">
        <f t="shared" si="6"/>
        <v>Kab Wonogiri</v>
      </c>
      <c r="C3240" s="81" t="str">
        <f t="array" ref="C3240">XLOOKUP(B3240,Reference!$A$2:$A$152,Reference!$B$2:$B$152)</f>
        <v>Jawa Tengah</v>
      </c>
      <c r="D3240" s="82" t="s">
        <v>3679</v>
      </c>
      <c r="E3240" s="83">
        <v>45323.0</v>
      </c>
      <c r="F3240" s="84" t="str">
        <f t="array" ref="F3240">XLOOKUP(G3240,Reference!$F:$F,Reference!$D:$D,"null")</f>
        <v>Rekreasi dan Kendaraan</v>
      </c>
      <c r="G3240" s="85" t="s">
        <v>102</v>
      </c>
      <c r="H3240" s="86">
        <v>101.05</v>
      </c>
      <c r="I3240" s="86">
        <v>100.62</v>
      </c>
      <c r="J3240" s="87">
        <f t="shared" si="2"/>
        <v>0.4273504274</v>
      </c>
      <c r="K3240" s="84" t="str">
        <f t="shared" si="3"/>
        <v>Inflasi Normal</v>
      </c>
      <c r="L3240" s="84">
        <f t="shared" si="4"/>
        <v>0.43</v>
      </c>
      <c r="M3240" s="88" t="str">
        <f t="shared" si="5"/>
        <v>Perubahan Normal</v>
      </c>
    </row>
    <row r="3241" ht="18.75" customHeight="1">
      <c r="A3241" s="80" t="s">
        <v>300</v>
      </c>
      <c r="B3241" s="81" t="str">
        <f t="shared" si="6"/>
        <v>Sintang</v>
      </c>
      <c r="C3241" s="81" t="str">
        <f t="array" ref="C3241">XLOOKUP(B3241,Reference!$A$2:$A$152,Reference!$B$2:$B$152)</f>
        <v>Kalimantan Barat</v>
      </c>
      <c r="D3241" s="82" t="s">
        <v>3680</v>
      </c>
      <c r="E3241" s="83">
        <v>45323.0</v>
      </c>
      <c r="F3241" s="84" t="str">
        <f t="array" ref="F3241">XLOOKUP(G3241,Reference!$F:$F,Reference!$D:$D,"null")</f>
        <v>Rekreasi dan Kendaraan</v>
      </c>
      <c r="G3241" s="89" t="s">
        <v>105</v>
      </c>
      <c r="H3241" s="90">
        <v>105.29</v>
      </c>
      <c r="I3241" s="90">
        <v>105.29</v>
      </c>
      <c r="J3241" s="87">
        <f t="shared" si="2"/>
        <v>0</v>
      </c>
      <c r="K3241" s="84" t="str">
        <f t="shared" si="3"/>
        <v>Stabil</v>
      </c>
      <c r="L3241" s="91">
        <f t="shared" si="4"/>
        <v>0</v>
      </c>
      <c r="M3241" s="88" t="str">
        <f t="shared" si="5"/>
        <v>Perubahan Normal</v>
      </c>
    </row>
    <row r="3242" ht="18.75" customHeight="1">
      <c r="A3242" s="80" t="s">
        <v>631</v>
      </c>
      <c r="B3242" s="81" t="str">
        <f t="shared" si="6"/>
        <v>Kab Toli Toli</v>
      </c>
      <c r="C3242" s="81" t="str">
        <f t="array" ref="C3242">XLOOKUP(B3242,Reference!$A$2:$A$152,Reference!$B$2:$B$152)</f>
        <v>Sulawesi Tengah</v>
      </c>
      <c r="D3242" s="82" t="s">
        <v>3681</v>
      </c>
      <c r="E3242" s="83">
        <v>45352.0</v>
      </c>
      <c r="F3242" s="84" t="str">
        <f t="array" ref="F3242">XLOOKUP(G3242,Reference!$F:$F,Reference!$D:$D,"null")</f>
        <v>Makanan dan Pakaian </v>
      </c>
      <c r="G3242" s="85" t="s">
        <v>64</v>
      </c>
      <c r="H3242" s="86">
        <v>100.5</v>
      </c>
      <c r="I3242" s="86">
        <v>98.87</v>
      </c>
      <c r="J3242" s="87">
        <f t="shared" si="2"/>
        <v>1.648629514</v>
      </c>
      <c r="K3242" s="84" t="str">
        <f t="shared" si="3"/>
        <v>Inflasi Tinggi</v>
      </c>
      <c r="L3242" s="84">
        <f t="shared" si="4"/>
        <v>1.63</v>
      </c>
      <c r="M3242" s="88" t="str">
        <f t="shared" si="5"/>
        <v>Akselerasi Persentase</v>
      </c>
    </row>
    <row r="3243" ht="18.75" customHeight="1">
      <c r="A3243" s="80" t="s">
        <v>333</v>
      </c>
      <c r="B3243" s="81" t="str">
        <f t="shared" si="6"/>
        <v>Kab Pasaman Barat</v>
      </c>
      <c r="C3243" s="81" t="str">
        <f t="array" ref="C3243">XLOOKUP(B3243,Reference!$A$2:$A$152,Reference!$B$2:$B$152)</f>
        <v>Sumatera Barat</v>
      </c>
      <c r="D3243" s="82" t="s">
        <v>3682</v>
      </c>
      <c r="E3243" s="83">
        <v>45352.0</v>
      </c>
      <c r="F3243" s="84" t="str">
        <f t="array" ref="F3243">XLOOKUP(G3243,Reference!$F:$F,Reference!$D:$D,"null")</f>
        <v>Pendidikan dan Kesehatan</v>
      </c>
      <c r="G3243" s="85" t="s">
        <v>98</v>
      </c>
      <c r="H3243" s="86">
        <v>105.28</v>
      </c>
      <c r="I3243" s="86">
        <v>103.91</v>
      </c>
      <c r="J3243" s="87">
        <f t="shared" si="2"/>
        <v>1.318448657</v>
      </c>
      <c r="K3243" s="84" t="str">
        <f t="shared" si="3"/>
        <v>Inflasi Tinggi</v>
      </c>
      <c r="L3243" s="84">
        <f t="shared" si="4"/>
        <v>1.37</v>
      </c>
      <c r="M3243" s="88" t="str">
        <f t="shared" si="5"/>
        <v>Akselerasi Persentase</v>
      </c>
    </row>
    <row r="3244" ht="18.75" customHeight="1">
      <c r="A3244" s="80" t="s">
        <v>814</v>
      </c>
      <c r="B3244" s="81" t="str">
        <f t="shared" si="6"/>
        <v>Kota Samarinda</v>
      </c>
      <c r="C3244" s="81" t="str">
        <f t="array" ref="C3244">XLOOKUP(B3244,Reference!$A$2:$A$152,Reference!$B$2:$B$152)</f>
        <v>Kalimantan Timur</v>
      </c>
      <c r="D3244" s="82" t="s">
        <v>3683</v>
      </c>
      <c r="E3244" s="83">
        <v>45323.0</v>
      </c>
      <c r="F3244" s="84" t="str">
        <f t="array" ref="F3244">XLOOKUP(G3244,Reference!$F:$F,Reference!$D:$D,"null")</f>
        <v>Makanan dan Pakaian </v>
      </c>
      <c r="G3244" s="85" t="s">
        <v>48</v>
      </c>
      <c r="H3244" s="86">
        <v>109.36</v>
      </c>
      <c r="I3244" s="86">
        <v>109.05</v>
      </c>
      <c r="J3244" s="87">
        <f t="shared" si="2"/>
        <v>0.2842732691</v>
      </c>
      <c r="K3244" s="84" t="str">
        <f t="shared" si="3"/>
        <v>Inflasi Normal</v>
      </c>
      <c r="L3244" s="84">
        <f t="shared" si="4"/>
        <v>0.31</v>
      </c>
      <c r="M3244" s="88" t="str">
        <f t="shared" si="5"/>
        <v>Perubahan Normal</v>
      </c>
    </row>
    <row r="3245" ht="18.75" customHeight="1">
      <c r="A3245" s="80" t="s">
        <v>419</v>
      </c>
      <c r="B3245" s="81" t="str">
        <f t="shared" si="6"/>
        <v>Kota Singkawang</v>
      </c>
      <c r="C3245" s="81" t="str">
        <f t="array" ref="C3245">XLOOKUP(B3245,Reference!$A$2:$A$152,Reference!$B$2:$B$152)</f>
        <v>Kalimantan Barat</v>
      </c>
      <c r="D3245" s="82" t="s">
        <v>3684</v>
      </c>
      <c r="E3245" s="83">
        <v>45352.0</v>
      </c>
      <c r="F3245" s="84" t="str">
        <f t="array" ref="F3245">XLOOKUP(G3245,Reference!$F:$F,Reference!$D:$D,"null")</f>
        <v>Pendidikan dan Kesehatan</v>
      </c>
      <c r="G3245" s="85" t="s">
        <v>98</v>
      </c>
      <c r="H3245" s="86">
        <v>101.56</v>
      </c>
      <c r="I3245" s="86">
        <v>101.6</v>
      </c>
      <c r="J3245" s="87">
        <f t="shared" si="2"/>
        <v>-0.03937007874</v>
      </c>
      <c r="K3245" s="84" t="str">
        <f t="shared" si="3"/>
        <v>Deflasi</v>
      </c>
      <c r="L3245" s="84">
        <f t="shared" si="4"/>
        <v>-0.04</v>
      </c>
      <c r="M3245" s="88" t="str">
        <f t="shared" si="5"/>
        <v>Perubahan Normal</v>
      </c>
    </row>
    <row r="3246" ht="18.75" customHeight="1">
      <c r="A3246" s="80" t="s">
        <v>376</v>
      </c>
      <c r="B3246" s="81" t="str">
        <f t="shared" si="6"/>
        <v>Bulukumba</v>
      </c>
      <c r="C3246" s="81" t="str">
        <f t="array" ref="C3246">XLOOKUP(B3246,Reference!$A$2:$A$152,Reference!$B$2:$B$152)</f>
        <v>Sulawesi Selatan</v>
      </c>
      <c r="D3246" s="82" t="s">
        <v>3685</v>
      </c>
      <c r="E3246" s="83">
        <v>45323.0</v>
      </c>
      <c r="F3246" s="84" t="str">
        <f t="array" ref="F3246">XLOOKUP(G3246,Reference!$F:$F,Reference!$D:$D,"null")</f>
        <v>Pendidikan dan Kesehatan</v>
      </c>
      <c r="G3246" s="85" t="s">
        <v>98</v>
      </c>
      <c r="H3246" s="86">
        <v>104.17</v>
      </c>
      <c r="I3246" s="86">
        <v>104.02</v>
      </c>
      <c r="J3246" s="87">
        <f t="shared" si="2"/>
        <v>0.1442030379</v>
      </c>
      <c r="K3246" s="84" t="str">
        <f t="shared" si="3"/>
        <v>Inflasi Normal</v>
      </c>
      <c r="L3246" s="84">
        <f t="shared" si="4"/>
        <v>0.15</v>
      </c>
      <c r="M3246" s="88" t="str">
        <f t="shared" si="5"/>
        <v>Perubahan Normal</v>
      </c>
    </row>
    <row r="3247" ht="18.75" customHeight="1">
      <c r="A3247" s="80" t="s">
        <v>312</v>
      </c>
      <c r="B3247" s="81" t="str">
        <f t="shared" si="6"/>
        <v>Kab Jayawijaya</v>
      </c>
      <c r="C3247" s="81" t="str">
        <f t="array" ref="C3247">XLOOKUP(B3247,Reference!$A$2:$A$152,Reference!$B$2:$B$152)</f>
        <v>Papua</v>
      </c>
      <c r="D3247" s="82" t="s">
        <v>3686</v>
      </c>
      <c r="E3247" s="83">
        <v>45323.0</v>
      </c>
      <c r="F3247" s="84" t="str">
        <f t="array" ref="F3247">XLOOKUP(G3247,Reference!$F:$F,Reference!$D:$D,"null")</f>
        <v>Makanan dan Pakaian </v>
      </c>
      <c r="G3247" s="85" t="s">
        <v>48</v>
      </c>
      <c r="H3247" s="86">
        <v>111.74</v>
      </c>
      <c r="I3247" s="86">
        <v>111.79</v>
      </c>
      <c r="J3247" s="87">
        <f t="shared" si="2"/>
        <v>-0.04472671974</v>
      </c>
      <c r="K3247" s="84" t="str">
        <f t="shared" si="3"/>
        <v>Deflasi</v>
      </c>
      <c r="L3247" s="84">
        <f t="shared" si="4"/>
        <v>-0.05</v>
      </c>
      <c r="M3247" s="88" t="str">
        <f t="shared" si="5"/>
        <v>Perubahan Normal</v>
      </c>
    </row>
    <row r="3248" ht="18.75" customHeight="1">
      <c r="A3248" s="80" t="s">
        <v>706</v>
      </c>
      <c r="B3248" s="81" t="str">
        <f t="shared" si="6"/>
        <v>Kota Makassar</v>
      </c>
      <c r="C3248" s="81" t="str">
        <f t="array" ref="C3248">XLOOKUP(B3248,Reference!$A$2:$A$152,Reference!$B$2:$B$152)</f>
        <v>Sulawesi Selatan</v>
      </c>
      <c r="D3248" s="82" t="s">
        <v>3687</v>
      </c>
      <c r="E3248" s="83">
        <v>45352.0</v>
      </c>
      <c r="F3248" s="84" t="str">
        <f t="array" ref="F3248">XLOOKUP(G3248,Reference!$F:$F,Reference!$D:$D,"null")</f>
        <v>Makanan dan Pakaian </v>
      </c>
      <c r="G3248" s="89" t="s">
        <v>48</v>
      </c>
      <c r="H3248" s="90">
        <v>113.03</v>
      </c>
      <c r="I3248" s="90">
        <v>111.56</v>
      </c>
      <c r="J3248" s="87">
        <f t="shared" si="2"/>
        <v>1.317676587</v>
      </c>
      <c r="K3248" s="84" t="str">
        <f t="shared" si="3"/>
        <v>Inflasi Tinggi</v>
      </c>
      <c r="L3248" s="91">
        <f t="shared" si="4"/>
        <v>1.47</v>
      </c>
      <c r="M3248" s="88" t="str">
        <f t="shared" si="5"/>
        <v>Akselerasi Persentase</v>
      </c>
    </row>
    <row r="3249" ht="18.75" customHeight="1">
      <c r="A3249" s="80" t="s">
        <v>965</v>
      </c>
      <c r="B3249" s="81" t="str">
        <f t="shared" si="6"/>
        <v>Kab Konawe</v>
      </c>
      <c r="C3249" s="81" t="str">
        <f t="array" ref="C3249">XLOOKUP(B3249,Reference!$A$2:$A$152,Reference!$B$2:$B$152)</f>
        <v>Sulawesi Tenggara</v>
      </c>
      <c r="D3249" s="82" t="s">
        <v>3688</v>
      </c>
      <c r="E3249" s="83">
        <v>45352.0</v>
      </c>
      <c r="F3249" s="84" t="str">
        <f t="array" ref="F3249">XLOOKUP(G3249,Reference!$F:$F,Reference!$D:$D,"null")</f>
        <v>Rumah Tangga</v>
      </c>
      <c r="G3249" s="85" t="s">
        <v>80</v>
      </c>
      <c r="H3249" s="86">
        <v>100.16</v>
      </c>
      <c r="I3249" s="86">
        <v>100.16</v>
      </c>
      <c r="J3249" s="87">
        <f t="shared" si="2"/>
        <v>0</v>
      </c>
      <c r="K3249" s="84" t="str">
        <f t="shared" si="3"/>
        <v>Stabil</v>
      </c>
      <c r="L3249" s="84">
        <f t="shared" si="4"/>
        <v>0</v>
      </c>
      <c r="M3249" s="88" t="str">
        <f t="shared" si="5"/>
        <v>Perubahan Normal</v>
      </c>
    </row>
    <row r="3250" ht="18.75" customHeight="1">
      <c r="A3250" s="80" t="s">
        <v>517</v>
      </c>
      <c r="B3250" s="81" t="str">
        <f t="shared" si="6"/>
        <v>Kota Kupang</v>
      </c>
      <c r="C3250" s="81" t="str">
        <f t="array" ref="C3250">XLOOKUP(B3250,Reference!$A$2:$A$152,Reference!$B$2:$B$152)</f>
        <v>Nusa Tenggara Timur (NTT)</v>
      </c>
      <c r="D3250" s="82" t="s">
        <v>3689</v>
      </c>
      <c r="E3250" s="83">
        <v>45323.0</v>
      </c>
      <c r="F3250" s="84" t="str">
        <f t="array" ref="F3250">XLOOKUP(G3250,Reference!$F:$F,Reference!$D:$D,"null")</f>
        <v>Pendidikan dan Kesehatan</v>
      </c>
      <c r="G3250" s="85" t="s">
        <v>98</v>
      </c>
      <c r="H3250" s="86">
        <v>103.14</v>
      </c>
      <c r="I3250" s="86">
        <v>103.21</v>
      </c>
      <c r="J3250" s="87">
        <f t="shared" si="2"/>
        <v>-0.06782288538</v>
      </c>
      <c r="K3250" s="84" t="str">
        <f t="shared" si="3"/>
        <v>Deflasi</v>
      </c>
      <c r="L3250" s="84">
        <f t="shared" si="4"/>
        <v>-0.07</v>
      </c>
      <c r="M3250" s="88" t="str">
        <f t="shared" si="5"/>
        <v>Perubahan Normal</v>
      </c>
    </row>
    <row r="3251" ht="18.75" customHeight="1">
      <c r="A3251" s="80" t="s">
        <v>324</v>
      </c>
      <c r="B3251" s="81" t="str">
        <f t="shared" si="6"/>
        <v>Kab Nunukan</v>
      </c>
      <c r="C3251" s="81" t="str">
        <f t="array" ref="C3251">XLOOKUP(B3251,Reference!$A$2:$A$152,Reference!$B$2:$B$152)</f>
        <v>Kalimantan Utara</v>
      </c>
      <c r="D3251" s="82" t="s">
        <v>3690</v>
      </c>
      <c r="E3251" s="83">
        <v>45323.0</v>
      </c>
      <c r="F3251" s="84" t="str">
        <f t="array" ref="F3251">XLOOKUP(G3251,Reference!$F:$F,Reference!$D:$D,"null")</f>
        <v>Makanan dan Pakaian </v>
      </c>
      <c r="G3251" s="85" t="s">
        <v>48</v>
      </c>
      <c r="H3251" s="86">
        <v>107.06</v>
      </c>
      <c r="I3251" s="86">
        <v>110.92</v>
      </c>
      <c r="J3251" s="87">
        <f t="shared" si="2"/>
        <v>-3.479985575</v>
      </c>
      <c r="K3251" s="84" t="str">
        <f t="shared" si="3"/>
        <v>Deflasi</v>
      </c>
      <c r="L3251" s="84">
        <f t="shared" si="4"/>
        <v>-3.86</v>
      </c>
      <c r="M3251" s="88" t="str">
        <f t="shared" si="5"/>
        <v>Perubahan Normal</v>
      </c>
    </row>
    <row r="3252" ht="18.75" customHeight="1">
      <c r="A3252" s="80" t="s">
        <v>571</v>
      </c>
      <c r="B3252" s="81" t="str">
        <f t="shared" si="6"/>
        <v>Kota Sorong</v>
      </c>
      <c r="C3252" s="81" t="str">
        <f t="array" ref="C3252">XLOOKUP(B3252,Reference!$A$2:$A$152,Reference!$B$2:$B$152)</f>
        <v>Papua Barat Daya</v>
      </c>
      <c r="D3252" s="82" t="s">
        <v>3691</v>
      </c>
      <c r="E3252" s="83">
        <v>45352.0</v>
      </c>
      <c r="F3252" s="84" t="str">
        <f t="array" ref="F3252">XLOOKUP(G3252,Reference!$F:$F,Reference!$D:$D,"null")</f>
        <v>Makanan dan Pakaian </v>
      </c>
      <c r="G3252" s="89" t="s">
        <v>48</v>
      </c>
      <c r="H3252" s="90">
        <v>100.25</v>
      </c>
      <c r="I3252" s="90">
        <v>99.64</v>
      </c>
      <c r="J3252" s="87">
        <f t="shared" si="2"/>
        <v>0.6122039342</v>
      </c>
      <c r="K3252" s="84" t="str">
        <f t="shared" si="3"/>
        <v>Inflasi Tinggi</v>
      </c>
      <c r="L3252" s="91">
        <f t="shared" si="4"/>
        <v>0.61</v>
      </c>
      <c r="M3252" s="88" t="str">
        <f t="shared" si="5"/>
        <v>Akselerasi Persentase</v>
      </c>
    </row>
    <row r="3253" ht="18.75" customHeight="1">
      <c r="A3253" s="80" t="s">
        <v>658</v>
      </c>
      <c r="B3253" s="81" t="str">
        <f t="shared" si="6"/>
        <v>Kota Mataram</v>
      </c>
      <c r="C3253" s="81" t="str">
        <f t="array" ref="C3253">XLOOKUP(B3253,Reference!$A$2:$A$152,Reference!$B$2:$B$152)</f>
        <v>Nusa Tenggara Barat (NTB)</v>
      </c>
      <c r="D3253" s="82" t="s">
        <v>3692</v>
      </c>
      <c r="E3253" s="83">
        <v>45323.0</v>
      </c>
      <c r="F3253" s="84" t="str">
        <f t="array" ref="F3253">XLOOKUP(G3253,Reference!$F:$F,Reference!$D:$D,"null")</f>
        <v>Rumah Tangga</v>
      </c>
      <c r="G3253" s="85" t="s">
        <v>84</v>
      </c>
      <c r="H3253" s="86">
        <v>103.17</v>
      </c>
      <c r="I3253" s="86">
        <v>103.21</v>
      </c>
      <c r="J3253" s="87">
        <f t="shared" si="2"/>
        <v>-0.0387559345</v>
      </c>
      <c r="K3253" s="84" t="str">
        <f t="shared" si="3"/>
        <v>Deflasi</v>
      </c>
      <c r="L3253" s="84">
        <f t="shared" si="4"/>
        <v>-0.04</v>
      </c>
      <c r="M3253" s="88" t="str">
        <f t="shared" si="5"/>
        <v>Perubahan Normal</v>
      </c>
    </row>
    <row r="3254" ht="18.75" customHeight="1">
      <c r="A3254" s="80" t="s">
        <v>550</v>
      </c>
      <c r="B3254" s="81" t="str">
        <f t="shared" si="6"/>
        <v>Kota Sukabumi</v>
      </c>
      <c r="C3254" s="81" t="str">
        <f t="array" ref="C3254">XLOOKUP(B3254,Reference!$A$2:$A$152,Reference!$B$2:$B$152)</f>
        <v>Jawa Barat</v>
      </c>
      <c r="D3254" s="82" t="s">
        <v>3693</v>
      </c>
      <c r="E3254" s="83">
        <v>45352.0</v>
      </c>
      <c r="F3254" s="84" t="str">
        <f t="array" ref="F3254">XLOOKUP(G3254,Reference!$F:$F,Reference!$D:$D,"null")</f>
        <v>Rumah Tangga</v>
      </c>
      <c r="G3254" s="85" t="s">
        <v>84</v>
      </c>
      <c r="H3254" s="86">
        <v>99.66</v>
      </c>
      <c r="I3254" s="86">
        <v>99.66</v>
      </c>
      <c r="J3254" s="87">
        <f t="shared" si="2"/>
        <v>0</v>
      </c>
      <c r="K3254" s="84" t="str">
        <f t="shared" si="3"/>
        <v>Stabil</v>
      </c>
      <c r="L3254" s="84">
        <f t="shared" si="4"/>
        <v>0</v>
      </c>
      <c r="M3254" s="88" t="str">
        <f t="shared" si="5"/>
        <v>Perubahan Normal</v>
      </c>
    </row>
    <row r="3255" ht="18.75" customHeight="1">
      <c r="A3255" s="80" t="s">
        <v>822</v>
      </c>
      <c r="B3255" s="81" t="str">
        <f t="shared" si="6"/>
        <v>Kota Pontianak</v>
      </c>
      <c r="C3255" s="81" t="str">
        <f t="array" ref="C3255">XLOOKUP(B3255,Reference!$A$2:$A$152,Reference!$B$2:$B$152)</f>
        <v>Kalimantan Barat</v>
      </c>
      <c r="D3255" s="82" t="s">
        <v>3694</v>
      </c>
      <c r="E3255" s="83">
        <v>45352.0</v>
      </c>
      <c r="F3255" s="84" t="str">
        <f t="array" ref="F3255">XLOOKUP(G3255,Reference!$F:$F,Reference!$D:$D,"null")</f>
        <v>Makanan dan Pakaian </v>
      </c>
      <c r="G3255" s="85" t="s">
        <v>72</v>
      </c>
      <c r="H3255" s="86">
        <v>102.66</v>
      </c>
      <c r="I3255" s="86">
        <v>100.73</v>
      </c>
      <c r="J3255" s="87">
        <f t="shared" si="2"/>
        <v>1.916013104</v>
      </c>
      <c r="K3255" s="84" t="str">
        <f t="shared" si="3"/>
        <v>Inflasi Tinggi</v>
      </c>
      <c r="L3255" s="84">
        <f t="shared" si="4"/>
        <v>1.93</v>
      </c>
      <c r="M3255" s="88" t="str">
        <f t="shared" si="5"/>
        <v>Akselerasi Persentase</v>
      </c>
    </row>
    <row r="3256" ht="18.75" customHeight="1">
      <c r="A3256" s="80" t="s">
        <v>814</v>
      </c>
      <c r="B3256" s="81" t="str">
        <f t="shared" si="6"/>
        <v>Kota Samarinda</v>
      </c>
      <c r="C3256" s="81" t="str">
        <f t="array" ref="C3256">XLOOKUP(B3256,Reference!$A$2:$A$152,Reference!$B$2:$B$152)</f>
        <v>Kalimantan Timur</v>
      </c>
      <c r="D3256" s="82" t="s">
        <v>3695</v>
      </c>
      <c r="E3256" s="83">
        <v>45352.0</v>
      </c>
      <c r="F3256" s="84" t="str">
        <f t="array" ref="F3256">XLOOKUP(G3256,Reference!$F:$F,Reference!$D:$D,"null")</f>
        <v>Rekreasi dan Kendaraan</v>
      </c>
      <c r="G3256" s="85" t="s">
        <v>102</v>
      </c>
      <c r="H3256" s="86">
        <v>104.11</v>
      </c>
      <c r="I3256" s="86">
        <v>104.11</v>
      </c>
      <c r="J3256" s="87">
        <f t="shared" si="2"/>
        <v>0</v>
      </c>
      <c r="K3256" s="84" t="str">
        <f t="shared" si="3"/>
        <v>Stabil</v>
      </c>
      <c r="L3256" s="84">
        <f t="shared" si="4"/>
        <v>0</v>
      </c>
      <c r="M3256" s="88" t="str">
        <f t="shared" si="5"/>
        <v>Perubahan Normal</v>
      </c>
    </row>
    <row r="3257" ht="18.75" customHeight="1">
      <c r="A3257" s="80" t="s">
        <v>990</v>
      </c>
      <c r="B3257" s="81" t="str">
        <f t="shared" si="6"/>
        <v>Kab Pandeglang</v>
      </c>
      <c r="C3257" s="81" t="str">
        <f t="array" ref="C3257">XLOOKUP(B3257,Reference!$A$2:$A$152,Reference!$B$2:$B$152)</f>
        <v>Banten</v>
      </c>
      <c r="D3257" s="82" t="s">
        <v>3696</v>
      </c>
      <c r="E3257" s="83">
        <v>45352.0</v>
      </c>
      <c r="F3257" s="84" t="str">
        <f t="array" ref="F3257">XLOOKUP(G3257,Reference!$F:$F,Reference!$D:$D,"null")</f>
        <v>Makanan dan Pakaian </v>
      </c>
      <c r="G3257" s="85" t="s">
        <v>56</v>
      </c>
      <c r="H3257" s="86">
        <v>102.75</v>
      </c>
      <c r="I3257" s="86">
        <v>103.63</v>
      </c>
      <c r="J3257" s="87">
        <f t="shared" si="2"/>
        <v>-0.8491749493</v>
      </c>
      <c r="K3257" s="84" t="str">
        <f t="shared" si="3"/>
        <v>Deflasi</v>
      </c>
      <c r="L3257" s="84">
        <f t="shared" si="4"/>
        <v>-0.88</v>
      </c>
      <c r="M3257" s="88" t="str">
        <f t="shared" si="5"/>
        <v>Perubahan Normal</v>
      </c>
    </row>
    <row r="3258" ht="18.75" customHeight="1">
      <c r="A3258" s="80" t="s">
        <v>314</v>
      </c>
      <c r="B3258" s="81" t="str">
        <f t="shared" si="6"/>
        <v>Kota Jayapura</v>
      </c>
      <c r="C3258" s="81" t="str">
        <f t="array" ref="C3258">XLOOKUP(B3258,Reference!$A$2:$A$152,Reference!$B$2:$B$152)</f>
        <v>Papua</v>
      </c>
      <c r="D3258" s="82" t="s">
        <v>3697</v>
      </c>
      <c r="E3258" s="83">
        <v>45352.0</v>
      </c>
      <c r="F3258" s="84" t="str">
        <f t="array" ref="F3258">XLOOKUP(G3258,Reference!$F:$F,Reference!$D:$D,"null")</f>
        <v>Rumah Tangga</v>
      </c>
      <c r="G3258" s="85" t="s">
        <v>80</v>
      </c>
      <c r="H3258" s="86">
        <v>100.69</v>
      </c>
      <c r="I3258" s="86">
        <v>100.69</v>
      </c>
      <c r="J3258" s="87">
        <f t="shared" si="2"/>
        <v>0</v>
      </c>
      <c r="K3258" s="84" t="str">
        <f t="shared" si="3"/>
        <v>Stabil</v>
      </c>
      <c r="L3258" s="84">
        <f t="shared" si="4"/>
        <v>0</v>
      </c>
      <c r="M3258" s="88" t="str">
        <f t="shared" si="5"/>
        <v>Perubahan Normal</v>
      </c>
    </row>
    <row r="3259" ht="18.75" customHeight="1">
      <c r="A3259" s="80" t="s">
        <v>672</v>
      </c>
      <c r="B3259" s="81" t="str">
        <f t="shared" si="6"/>
        <v>Kab Ogan Komering Ilir</v>
      </c>
      <c r="C3259" s="81" t="str">
        <f t="array" ref="C3259">XLOOKUP(B3259,Reference!$A$2:$A$152,Reference!$B$2:$B$152)</f>
        <v>Sumatera Selatan</v>
      </c>
      <c r="D3259" s="82" t="s">
        <v>3698</v>
      </c>
      <c r="E3259" s="83">
        <v>45352.0</v>
      </c>
      <c r="F3259" s="84" t="str">
        <f t="array" ref="F3259">XLOOKUP(G3259,Reference!$F:$F,Reference!$D:$D,"null")</f>
        <v>Rekreasi dan Kendaraan</v>
      </c>
      <c r="G3259" s="85" t="s">
        <v>105</v>
      </c>
      <c r="H3259" s="86">
        <v>100.37</v>
      </c>
      <c r="I3259" s="86">
        <v>100.37</v>
      </c>
      <c r="J3259" s="87">
        <f t="shared" si="2"/>
        <v>0</v>
      </c>
      <c r="K3259" s="84" t="str">
        <f t="shared" si="3"/>
        <v>Stabil</v>
      </c>
      <c r="L3259" s="84">
        <f t="shared" si="4"/>
        <v>0</v>
      </c>
      <c r="M3259" s="88" t="str">
        <f t="shared" si="5"/>
        <v>Perubahan Normal</v>
      </c>
    </row>
    <row r="3260" ht="18.75" customHeight="1">
      <c r="A3260" s="80" t="s">
        <v>618</v>
      </c>
      <c r="B3260" s="81" t="str">
        <f t="shared" si="6"/>
        <v>Kota Tangerang</v>
      </c>
      <c r="C3260" s="81" t="str">
        <f t="array" ref="C3260">XLOOKUP(B3260,Reference!$A$2:$A$152,Reference!$B$2:$B$152)</f>
        <v>Banten</v>
      </c>
      <c r="D3260" s="82" t="s">
        <v>3699</v>
      </c>
      <c r="E3260" s="83">
        <v>45323.0</v>
      </c>
      <c r="F3260" s="84" t="str">
        <f t="array" ref="F3260">XLOOKUP(G3260,Reference!$F:$F,Reference!$D:$D,"null")</f>
        <v>Makanan dan Pakaian </v>
      </c>
      <c r="G3260" s="85" t="s">
        <v>48</v>
      </c>
      <c r="H3260" s="86">
        <v>108.29</v>
      </c>
      <c r="I3260" s="86">
        <v>107.57</v>
      </c>
      <c r="J3260" s="87">
        <f t="shared" si="2"/>
        <v>0.669331598</v>
      </c>
      <c r="K3260" s="84" t="str">
        <f t="shared" si="3"/>
        <v>Inflasi Tinggi</v>
      </c>
      <c r="L3260" s="84">
        <f t="shared" si="4"/>
        <v>0.72</v>
      </c>
      <c r="M3260" s="88" t="str">
        <f t="shared" si="5"/>
        <v>Akselerasi Persentase</v>
      </c>
    </row>
    <row r="3261" ht="18.75" customHeight="1">
      <c r="A3261" s="80" t="s">
        <v>488</v>
      </c>
      <c r="B3261" s="81" t="str">
        <f t="shared" si="6"/>
        <v>Kab Muko Muko</v>
      </c>
      <c r="C3261" s="81" t="str">
        <f t="array" ref="C3261">XLOOKUP(B3261,Reference!$A$2:$A$152,Reference!$B$2:$B$152)</f>
        <v>Bengkulu</v>
      </c>
      <c r="D3261" s="82" t="s">
        <v>3700</v>
      </c>
      <c r="E3261" s="83">
        <v>45323.0</v>
      </c>
      <c r="F3261" s="84" t="str">
        <f t="array" ref="F3261">XLOOKUP(G3261,Reference!$F:$F,Reference!$D:$D,"null")</f>
        <v>Rekreasi dan Kendaraan</v>
      </c>
      <c r="G3261" s="85" t="s">
        <v>102</v>
      </c>
      <c r="H3261" s="86">
        <v>100.71</v>
      </c>
      <c r="I3261" s="86">
        <v>100.71</v>
      </c>
      <c r="J3261" s="87">
        <f t="shared" si="2"/>
        <v>0</v>
      </c>
      <c r="K3261" s="84" t="str">
        <f t="shared" si="3"/>
        <v>Stabil</v>
      </c>
      <c r="L3261" s="84">
        <f t="shared" si="4"/>
        <v>0</v>
      </c>
      <c r="M3261" s="88" t="str">
        <f t="shared" si="5"/>
        <v>Perubahan Normal</v>
      </c>
    </row>
    <row r="3262" ht="18.75" customHeight="1">
      <c r="A3262" s="80" t="s">
        <v>408</v>
      </c>
      <c r="B3262" s="81" t="str">
        <f t="shared" si="6"/>
        <v>Manokwari</v>
      </c>
      <c r="C3262" s="81" t="str">
        <f t="array" ref="C3262">XLOOKUP(B3262,Reference!$A$2:$A$152,Reference!$B$2:$B$152)</f>
        <v>Papua Barat Daya</v>
      </c>
      <c r="D3262" s="82" t="s">
        <v>3701</v>
      </c>
      <c r="E3262" s="83">
        <v>45352.0</v>
      </c>
      <c r="F3262" s="84" t="str">
        <f t="array" ref="F3262">XLOOKUP(G3262,Reference!$F:$F,Reference!$D:$D,"null")</f>
        <v>Rekreasi dan Kendaraan</v>
      </c>
      <c r="G3262" s="85" t="s">
        <v>102</v>
      </c>
      <c r="H3262" s="86">
        <v>108.22</v>
      </c>
      <c r="I3262" s="86">
        <v>108.22</v>
      </c>
      <c r="J3262" s="87">
        <f t="shared" si="2"/>
        <v>0</v>
      </c>
      <c r="K3262" s="84" t="str">
        <f t="shared" si="3"/>
        <v>Stabil</v>
      </c>
      <c r="L3262" s="84">
        <f t="shared" si="4"/>
        <v>0</v>
      </c>
      <c r="M3262" s="88" t="str">
        <f t="shared" si="5"/>
        <v>Perubahan Normal</v>
      </c>
    </row>
    <row r="3263" ht="18.75" customHeight="1">
      <c r="A3263" s="80" t="s">
        <v>600</v>
      </c>
      <c r="B3263" s="81" t="str">
        <f t="shared" si="6"/>
        <v>Kota Banda Aceh</v>
      </c>
      <c r="C3263" s="81" t="str">
        <f t="array" ref="C3263">XLOOKUP(B3263,Reference!$A$2:$A$152,Reference!$B$2:$B$152)</f>
        <v>Aceh</v>
      </c>
      <c r="D3263" s="82" t="s">
        <v>3702</v>
      </c>
      <c r="E3263" s="83">
        <v>45352.0</v>
      </c>
      <c r="F3263" s="84" t="str">
        <f t="array" ref="F3263">XLOOKUP(G3263,Reference!$F:$F,Reference!$D:$D,"null")</f>
        <v>Rekreasi dan Kendaraan</v>
      </c>
      <c r="G3263" s="85" t="s">
        <v>102</v>
      </c>
      <c r="H3263" s="86">
        <v>99.93</v>
      </c>
      <c r="I3263" s="86">
        <v>99.93</v>
      </c>
      <c r="J3263" s="87">
        <f t="shared" si="2"/>
        <v>0</v>
      </c>
      <c r="K3263" s="84" t="str">
        <f t="shared" si="3"/>
        <v>Stabil</v>
      </c>
      <c r="L3263" s="84">
        <f t="shared" si="4"/>
        <v>0</v>
      </c>
      <c r="M3263" s="88" t="str">
        <f t="shared" si="5"/>
        <v>Perubahan Normal</v>
      </c>
    </row>
    <row r="3264" ht="18.75" customHeight="1">
      <c r="A3264" s="80" t="s">
        <v>306</v>
      </c>
      <c r="B3264" s="81" t="str">
        <f t="shared" si="6"/>
        <v>Kota Padang</v>
      </c>
      <c r="C3264" s="81" t="str">
        <f t="array" ref="C3264">XLOOKUP(B3264,Reference!$A$2:$A$152,Reference!$B$2:$B$152)</f>
        <v>Sumatera Barat</v>
      </c>
      <c r="D3264" s="82" t="s">
        <v>3703</v>
      </c>
      <c r="E3264" s="83">
        <v>45323.0</v>
      </c>
      <c r="F3264" s="84" t="str">
        <f t="array" ref="F3264">XLOOKUP(G3264,Reference!$F:$F,Reference!$D:$D,"null")</f>
        <v>Pendidikan dan Kesehatan</v>
      </c>
      <c r="G3264" s="85" t="s">
        <v>98</v>
      </c>
      <c r="H3264" s="86">
        <v>102.72</v>
      </c>
      <c r="I3264" s="86">
        <v>102.72</v>
      </c>
      <c r="J3264" s="87">
        <f t="shared" si="2"/>
        <v>0</v>
      </c>
      <c r="K3264" s="84" t="str">
        <f t="shared" si="3"/>
        <v>Stabil</v>
      </c>
      <c r="L3264" s="84">
        <f t="shared" si="4"/>
        <v>0</v>
      </c>
      <c r="M3264" s="88" t="str">
        <f t="shared" si="5"/>
        <v>Perubahan Normal</v>
      </c>
    </row>
    <row r="3265" ht="18.75" customHeight="1">
      <c r="A3265" s="80" t="s">
        <v>374</v>
      </c>
      <c r="B3265" s="81" t="str">
        <f t="shared" si="6"/>
        <v>Kab Majalengka</v>
      </c>
      <c r="C3265" s="81" t="str">
        <f t="array" ref="C3265">XLOOKUP(B3265,Reference!$A$2:$A$152,Reference!$B$2:$B$152)</f>
        <v>Jawa Barat</v>
      </c>
      <c r="D3265" s="82" t="s">
        <v>3704</v>
      </c>
      <c r="E3265" s="83">
        <v>45323.0</v>
      </c>
      <c r="F3265" s="84" t="str">
        <f t="array" ref="F3265">XLOOKUP(G3265,Reference!$F:$F,Reference!$D:$D,"null")</f>
        <v>Rekreasi dan Kendaraan</v>
      </c>
      <c r="G3265" s="85" t="s">
        <v>105</v>
      </c>
      <c r="H3265" s="86">
        <v>106.39</v>
      </c>
      <c r="I3265" s="86">
        <v>106.36</v>
      </c>
      <c r="J3265" s="87">
        <f t="shared" si="2"/>
        <v>0.02820609252</v>
      </c>
      <c r="K3265" s="84" t="str">
        <f t="shared" si="3"/>
        <v>Inflasi Normal</v>
      </c>
      <c r="L3265" s="84">
        <f t="shared" si="4"/>
        <v>0.03</v>
      </c>
      <c r="M3265" s="88" t="str">
        <f t="shared" si="5"/>
        <v>Perubahan Normal</v>
      </c>
    </row>
    <row r="3266" ht="18.75" customHeight="1">
      <c r="A3266" s="80" t="s">
        <v>663</v>
      </c>
      <c r="B3266" s="81" t="str">
        <f t="shared" si="6"/>
        <v>Kota Serang</v>
      </c>
      <c r="C3266" s="81" t="str">
        <f t="array" ref="C3266">XLOOKUP(B3266,Reference!$A$2:$A$152,Reference!$B$2:$B$152)</f>
        <v>Banten</v>
      </c>
      <c r="D3266" s="82" t="s">
        <v>3705</v>
      </c>
      <c r="E3266" s="83">
        <v>45323.0</v>
      </c>
      <c r="F3266" s="84" t="str">
        <f t="array" ref="F3266">XLOOKUP(G3266,Reference!$F:$F,Reference!$D:$D,"null")</f>
        <v>Makanan dan Pakaian </v>
      </c>
      <c r="G3266" s="85" t="s">
        <v>48</v>
      </c>
      <c r="H3266" s="86">
        <v>110.15</v>
      </c>
      <c r="I3266" s="86">
        <v>105.42</v>
      </c>
      <c r="J3266" s="87">
        <f t="shared" si="2"/>
        <v>4.486814646</v>
      </c>
      <c r="K3266" s="84" t="str">
        <f t="shared" si="3"/>
        <v>Inflasi Tinggi</v>
      </c>
      <c r="L3266" s="84">
        <f t="shared" si="4"/>
        <v>4.73</v>
      </c>
      <c r="M3266" s="88" t="str">
        <f t="shared" si="5"/>
        <v>Akselerasi Kuat</v>
      </c>
    </row>
    <row r="3267" ht="18.75" customHeight="1">
      <c r="A3267" s="80" t="s">
        <v>586</v>
      </c>
      <c r="B3267" s="81" t="str">
        <f t="shared" si="6"/>
        <v>Kab Karimun</v>
      </c>
      <c r="C3267" s="81" t="str">
        <f t="array" ref="C3267">XLOOKUP(B3267,Reference!$A$2:$A$152,Reference!$B$2:$B$152)</f>
        <v>Kepulauan Riau</v>
      </c>
      <c r="D3267" s="82" t="s">
        <v>3706</v>
      </c>
      <c r="E3267" s="83">
        <v>45323.0</v>
      </c>
      <c r="F3267" s="84" t="str">
        <f t="array" ref="F3267">XLOOKUP(G3267,Reference!$F:$F,Reference!$D:$D,"null")</f>
        <v>Makanan dan Pakaian </v>
      </c>
      <c r="G3267" s="85" t="s">
        <v>56</v>
      </c>
      <c r="H3267" s="86">
        <v>107.45</v>
      </c>
      <c r="I3267" s="86">
        <v>107.21</v>
      </c>
      <c r="J3267" s="87">
        <f t="shared" si="2"/>
        <v>0.2238597146</v>
      </c>
      <c r="K3267" s="84" t="str">
        <f t="shared" si="3"/>
        <v>Inflasi Normal</v>
      </c>
      <c r="L3267" s="84">
        <f t="shared" si="4"/>
        <v>0.24</v>
      </c>
      <c r="M3267" s="88" t="str">
        <f t="shared" si="5"/>
        <v>Perubahan Normal</v>
      </c>
    </row>
    <row r="3268" ht="18.75" customHeight="1">
      <c r="A3268" s="80" t="s">
        <v>699</v>
      </c>
      <c r="B3268" s="81" t="str">
        <f t="shared" si="6"/>
        <v>Mamuju</v>
      </c>
      <c r="C3268" s="81" t="str">
        <f t="array" ref="C3268">XLOOKUP(B3268,Reference!$A$2:$A$152,Reference!$B$2:$B$152)</f>
        <v>Sulawesi Barat</v>
      </c>
      <c r="D3268" s="82" t="s">
        <v>3707</v>
      </c>
      <c r="E3268" s="83">
        <v>45352.0</v>
      </c>
      <c r="F3268" s="84" t="str">
        <f t="array" ref="F3268">XLOOKUP(G3268,Reference!$F:$F,Reference!$D:$D,"null")</f>
        <v>Rumah Tangga</v>
      </c>
      <c r="G3268" s="85" t="s">
        <v>80</v>
      </c>
      <c r="H3268" s="86">
        <v>104.29</v>
      </c>
      <c r="I3268" s="86">
        <v>104.29</v>
      </c>
      <c r="J3268" s="87">
        <f t="shared" si="2"/>
        <v>0</v>
      </c>
      <c r="K3268" s="84" t="str">
        <f t="shared" si="3"/>
        <v>Stabil</v>
      </c>
      <c r="L3268" s="84">
        <f t="shared" si="4"/>
        <v>0</v>
      </c>
      <c r="M3268" s="88" t="str">
        <f t="shared" si="5"/>
        <v>Perubahan Normal</v>
      </c>
    </row>
    <row r="3269" ht="18.75" customHeight="1">
      <c r="A3269" s="80" t="s">
        <v>414</v>
      </c>
      <c r="B3269" s="81" t="str">
        <f t="shared" si="6"/>
        <v>Kota Bandung</v>
      </c>
      <c r="C3269" s="81" t="str">
        <f t="array" ref="C3269">XLOOKUP(B3269,Reference!$A$2:$A$152,Reference!$B$2:$B$152)</f>
        <v>Jawa Barat</v>
      </c>
      <c r="D3269" s="82" t="s">
        <v>3708</v>
      </c>
      <c r="E3269" s="83">
        <v>45323.0</v>
      </c>
      <c r="F3269" s="84" t="str">
        <f t="array" ref="F3269">XLOOKUP(G3269,Reference!$F:$F,Reference!$D:$D,"null")</f>
        <v>Rekreasi dan Kendaraan</v>
      </c>
      <c r="G3269" s="85" t="s">
        <v>102</v>
      </c>
      <c r="H3269" s="86">
        <v>103.23</v>
      </c>
      <c r="I3269" s="86">
        <v>103.39</v>
      </c>
      <c r="J3269" s="87">
        <f t="shared" si="2"/>
        <v>-0.1547538447</v>
      </c>
      <c r="K3269" s="84" t="str">
        <f t="shared" si="3"/>
        <v>Deflasi</v>
      </c>
      <c r="L3269" s="84">
        <f t="shared" si="4"/>
        <v>-0.16</v>
      </c>
      <c r="M3269" s="88" t="str">
        <f t="shared" si="5"/>
        <v>Perubahan Normal</v>
      </c>
    </row>
    <row r="3270" ht="18.75" customHeight="1">
      <c r="A3270" s="80" t="s">
        <v>340</v>
      </c>
      <c r="B3270" s="81" t="str">
        <f t="shared" si="6"/>
        <v>Kab Rembang</v>
      </c>
      <c r="C3270" s="81" t="str">
        <f t="array" ref="C3270">XLOOKUP(B3270,Reference!$A$2:$A$152,Reference!$B$2:$B$152)</f>
        <v>Jawa Tengah</v>
      </c>
      <c r="D3270" s="82" t="s">
        <v>3709</v>
      </c>
      <c r="E3270" s="83">
        <v>45323.0</v>
      </c>
      <c r="F3270" s="84" t="str">
        <f t="array" ref="F3270">XLOOKUP(G3270,Reference!$F:$F,Reference!$D:$D,"null")</f>
        <v>Rumah Tangga</v>
      </c>
      <c r="G3270" s="85" t="s">
        <v>89</v>
      </c>
      <c r="H3270" s="86">
        <v>113.46</v>
      </c>
      <c r="I3270" s="86">
        <v>112.43</v>
      </c>
      <c r="J3270" s="87">
        <f t="shared" si="2"/>
        <v>0.9161255893</v>
      </c>
      <c r="K3270" s="84" t="str">
        <f t="shared" si="3"/>
        <v>Inflasi Tinggi</v>
      </c>
      <c r="L3270" s="84">
        <f t="shared" si="4"/>
        <v>1.03</v>
      </c>
      <c r="M3270" s="88" t="str">
        <f t="shared" si="5"/>
        <v>Akselerasi Persentase</v>
      </c>
    </row>
    <row r="3271" ht="18.75" customHeight="1">
      <c r="A3271" s="80" t="s">
        <v>471</v>
      </c>
      <c r="B3271" s="81" t="str">
        <f t="shared" si="6"/>
        <v>Kab Gunungkidul</v>
      </c>
      <c r="C3271" s="81" t="str">
        <f t="array" ref="C3271">XLOOKUP(B3271,Reference!$A$2:$A$152,Reference!$B$2:$B$152)</f>
        <v>D.I. Yogyakarta</v>
      </c>
      <c r="D3271" s="82" t="s">
        <v>3710</v>
      </c>
      <c r="E3271" s="83">
        <v>45352.0</v>
      </c>
      <c r="F3271" s="84" t="str">
        <f t="array" ref="F3271">XLOOKUP(G3271,Reference!$F:$F,Reference!$D:$D,"null")</f>
        <v>Pendidikan dan Kesehatan</v>
      </c>
      <c r="G3271" s="85" t="s">
        <v>95</v>
      </c>
      <c r="H3271" s="86">
        <v>100.07</v>
      </c>
      <c r="I3271" s="86">
        <v>100.07</v>
      </c>
      <c r="J3271" s="87">
        <f t="shared" si="2"/>
        <v>0</v>
      </c>
      <c r="K3271" s="84" t="str">
        <f t="shared" si="3"/>
        <v>Stabil</v>
      </c>
      <c r="L3271" s="84">
        <f t="shared" si="4"/>
        <v>0</v>
      </c>
      <c r="M3271" s="88" t="str">
        <f t="shared" si="5"/>
        <v>Perubahan Normal</v>
      </c>
    </row>
    <row r="3272" ht="18.75" customHeight="1">
      <c r="A3272" s="80" t="s">
        <v>672</v>
      </c>
      <c r="B3272" s="81" t="str">
        <f t="shared" si="6"/>
        <v>Kab Ogan Komering Ilir</v>
      </c>
      <c r="C3272" s="81" t="str">
        <f t="array" ref="C3272">XLOOKUP(B3272,Reference!$A$2:$A$152,Reference!$B$2:$B$152)</f>
        <v>Sumatera Selatan</v>
      </c>
      <c r="D3272" s="82" t="s">
        <v>3711</v>
      </c>
      <c r="E3272" s="83">
        <v>45323.0</v>
      </c>
      <c r="F3272" s="84" t="str">
        <f t="array" ref="F3272">XLOOKUP(G3272,Reference!$F:$F,Reference!$D:$D,"null")</f>
        <v>Pendidikan dan Kesehatan</v>
      </c>
      <c r="G3272" s="85" t="s">
        <v>98</v>
      </c>
      <c r="H3272" s="86">
        <v>105.65</v>
      </c>
      <c r="I3272" s="86">
        <v>105.65</v>
      </c>
      <c r="J3272" s="87">
        <f t="shared" si="2"/>
        <v>0</v>
      </c>
      <c r="K3272" s="84" t="str">
        <f t="shared" si="3"/>
        <v>Stabil</v>
      </c>
      <c r="L3272" s="84">
        <f t="shared" si="4"/>
        <v>0</v>
      </c>
      <c r="M3272" s="88" t="str">
        <f t="shared" si="5"/>
        <v>Perubahan Normal</v>
      </c>
    </row>
    <row r="3273" ht="18.75" customHeight="1">
      <c r="A3273" s="80" t="s">
        <v>837</v>
      </c>
      <c r="B3273" s="81" t="str">
        <f t="shared" si="6"/>
        <v>Kab Luwu Timur</v>
      </c>
      <c r="C3273" s="81" t="str">
        <f t="array" ref="C3273">XLOOKUP(B3273,Reference!$A$2:$A$152,Reference!$B$2:$B$152)</f>
        <v>Sulawesi Selatan</v>
      </c>
      <c r="D3273" s="82" t="s">
        <v>3712</v>
      </c>
      <c r="E3273" s="83">
        <v>45352.0</v>
      </c>
      <c r="F3273" s="84" t="str">
        <f t="array" ref="F3273">XLOOKUP(G3273,Reference!$F:$F,Reference!$D:$D,"null")</f>
        <v>Makanan dan Pakaian </v>
      </c>
      <c r="G3273" s="85" t="s">
        <v>48</v>
      </c>
      <c r="H3273" s="86">
        <v>109.84</v>
      </c>
      <c r="I3273" s="86">
        <v>108.53</v>
      </c>
      <c r="J3273" s="87">
        <f t="shared" si="2"/>
        <v>1.207039528</v>
      </c>
      <c r="K3273" s="84" t="str">
        <f t="shared" si="3"/>
        <v>Inflasi Tinggi</v>
      </c>
      <c r="L3273" s="84">
        <f t="shared" si="4"/>
        <v>1.31</v>
      </c>
      <c r="M3273" s="88" t="str">
        <f t="shared" si="5"/>
        <v>Akselerasi Persentase</v>
      </c>
    </row>
    <row r="3274" ht="18.75" customHeight="1">
      <c r="A3274" s="80" t="s">
        <v>631</v>
      </c>
      <c r="B3274" s="81" t="str">
        <f t="shared" si="6"/>
        <v>Kab Toli Toli</v>
      </c>
      <c r="C3274" s="81" t="str">
        <f t="array" ref="C3274">XLOOKUP(B3274,Reference!$A$2:$A$152,Reference!$B$2:$B$152)</f>
        <v>Sulawesi Tengah</v>
      </c>
      <c r="D3274" s="82" t="s">
        <v>3713</v>
      </c>
      <c r="E3274" s="83">
        <v>45352.0</v>
      </c>
      <c r="F3274" s="84" t="str">
        <f t="array" ref="F3274">XLOOKUP(G3274,Reference!$F:$F,Reference!$D:$D,"null")</f>
        <v>Rumah Tangga</v>
      </c>
      <c r="G3274" s="85" t="s">
        <v>80</v>
      </c>
      <c r="H3274" s="86">
        <v>100.0</v>
      </c>
      <c r="I3274" s="86">
        <v>100.0</v>
      </c>
      <c r="J3274" s="87">
        <f t="shared" si="2"/>
        <v>0</v>
      </c>
      <c r="K3274" s="84" t="str">
        <f t="shared" si="3"/>
        <v>Stabil</v>
      </c>
      <c r="L3274" s="84">
        <f t="shared" si="4"/>
        <v>0</v>
      </c>
      <c r="M3274" s="88" t="str">
        <f t="shared" si="5"/>
        <v>Perubahan Normal</v>
      </c>
    </row>
    <row r="3275" ht="18.75" customHeight="1">
      <c r="A3275" s="80" t="s">
        <v>573</v>
      </c>
      <c r="B3275" s="81" t="str">
        <f t="shared" si="6"/>
        <v>Kota Palangkaraya</v>
      </c>
      <c r="C3275" s="81" t="str">
        <f t="array" ref="C3275">XLOOKUP(B3275,Reference!$A$2:$A$152,Reference!$B$2:$B$152)</f>
        <v>Kalimantan Tengah</v>
      </c>
      <c r="D3275" s="82" t="s">
        <v>3714</v>
      </c>
      <c r="E3275" s="83">
        <v>45352.0</v>
      </c>
      <c r="F3275" s="84" t="str">
        <f t="array" ref="F3275">XLOOKUP(G3275,Reference!$F:$F,Reference!$D:$D,"null")</f>
        <v>Makanan dan Pakaian </v>
      </c>
      <c r="G3275" s="85" t="s">
        <v>72</v>
      </c>
      <c r="H3275" s="86">
        <v>99.23</v>
      </c>
      <c r="I3275" s="86">
        <v>99.23</v>
      </c>
      <c r="J3275" s="87">
        <f t="shared" si="2"/>
        <v>0</v>
      </c>
      <c r="K3275" s="84" t="str">
        <f t="shared" si="3"/>
        <v>Stabil</v>
      </c>
      <c r="L3275" s="84">
        <f t="shared" si="4"/>
        <v>0</v>
      </c>
      <c r="M3275" s="88" t="str">
        <f t="shared" si="5"/>
        <v>Perubahan Normal</v>
      </c>
    </row>
    <row r="3276" ht="18.75" customHeight="1">
      <c r="A3276" s="80" t="s">
        <v>488</v>
      </c>
      <c r="B3276" s="81" t="str">
        <f t="shared" si="6"/>
        <v>Kab Muko Muko</v>
      </c>
      <c r="C3276" s="81" t="str">
        <f t="array" ref="C3276">XLOOKUP(B3276,Reference!$A$2:$A$152,Reference!$B$2:$B$152)</f>
        <v>Bengkulu</v>
      </c>
      <c r="D3276" s="82" t="s">
        <v>3715</v>
      </c>
      <c r="E3276" s="83">
        <v>45323.0</v>
      </c>
      <c r="F3276" s="84" t="str">
        <f t="array" ref="F3276">XLOOKUP(G3276,Reference!$F:$F,Reference!$D:$D,"null")</f>
        <v>Rumah Tangga</v>
      </c>
      <c r="G3276" s="85" t="s">
        <v>80</v>
      </c>
      <c r="H3276" s="86">
        <v>101.75</v>
      </c>
      <c r="I3276" s="86">
        <v>101.75</v>
      </c>
      <c r="J3276" s="87">
        <f t="shared" si="2"/>
        <v>0</v>
      </c>
      <c r="K3276" s="84" t="str">
        <f t="shared" si="3"/>
        <v>Stabil</v>
      </c>
      <c r="L3276" s="84">
        <f t="shared" si="4"/>
        <v>0</v>
      </c>
      <c r="M3276" s="88" t="str">
        <f t="shared" si="5"/>
        <v>Perubahan Normal</v>
      </c>
    </row>
    <row r="3277" ht="18.75" customHeight="1">
      <c r="A3277" s="80" t="s">
        <v>535</v>
      </c>
      <c r="B3277" s="81" t="str">
        <f t="shared" si="6"/>
        <v>Kota Tarakan</v>
      </c>
      <c r="C3277" s="81" t="str">
        <f t="array" ref="C3277">XLOOKUP(B3277,Reference!$A$2:$A$152,Reference!$B$2:$B$152)</f>
        <v>Kalimantan Utara</v>
      </c>
      <c r="D3277" s="82" t="s">
        <v>3716</v>
      </c>
      <c r="E3277" s="83">
        <v>45352.0</v>
      </c>
      <c r="F3277" s="84" t="str">
        <f t="array" ref="F3277">XLOOKUP(G3277,Reference!$F:$F,Reference!$D:$D,"null")</f>
        <v>Rumah Tangga</v>
      </c>
      <c r="G3277" s="85" t="s">
        <v>80</v>
      </c>
      <c r="H3277" s="86">
        <v>100.0</v>
      </c>
      <c r="I3277" s="86">
        <v>100.0</v>
      </c>
      <c r="J3277" s="87">
        <f t="shared" si="2"/>
        <v>0</v>
      </c>
      <c r="K3277" s="84" t="str">
        <f t="shared" si="3"/>
        <v>Stabil</v>
      </c>
      <c r="L3277" s="84">
        <f t="shared" si="4"/>
        <v>0</v>
      </c>
      <c r="M3277" s="88" t="str">
        <f t="shared" si="5"/>
        <v>Perubahan Normal</v>
      </c>
    </row>
    <row r="3278" ht="18.75" customHeight="1">
      <c r="A3278" s="80" t="s">
        <v>406</v>
      </c>
      <c r="B3278" s="81" t="str">
        <f t="shared" si="6"/>
        <v>Kota Tasikmalaya</v>
      </c>
      <c r="C3278" s="81" t="str">
        <f t="array" ref="C3278">XLOOKUP(B3278,Reference!$A$2:$A$152,Reference!$B$2:$B$152)</f>
        <v>Jawa Barat</v>
      </c>
      <c r="D3278" s="82" t="s">
        <v>3717</v>
      </c>
      <c r="E3278" s="83">
        <v>45352.0</v>
      </c>
      <c r="F3278" s="84" t="str">
        <f t="array" ref="F3278">XLOOKUP(G3278,Reference!$F:$F,Reference!$D:$D,"null")</f>
        <v>Makanan dan Pakaian </v>
      </c>
      <c r="G3278" s="85" t="s">
        <v>64</v>
      </c>
      <c r="H3278" s="86">
        <v>103.14</v>
      </c>
      <c r="I3278" s="86">
        <v>102.9</v>
      </c>
      <c r="J3278" s="87">
        <f t="shared" si="2"/>
        <v>0.2332361516</v>
      </c>
      <c r="K3278" s="84" t="str">
        <f t="shared" si="3"/>
        <v>Inflasi Normal</v>
      </c>
      <c r="L3278" s="84">
        <f t="shared" si="4"/>
        <v>0.24</v>
      </c>
      <c r="M3278" s="88" t="str">
        <f t="shared" si="5"/>
        <v>Perubahan Normal</v>
      </c>
    </row>
    <row r="3279" ht="18.75" customHeight="1">
      <c r="A3279" s="80" t="s">
        <v>1282</v>
      </c>
      <c r="B3279" s="81" t="str">
        <f t="shared" si="6"/>
        <v>Kota Bima</v>
      </c>
      <c r="C3279" s="81" t="str">
        <f t="array" ref="C3279">XLOOKUP(B3279,Reference!$A$2:$A$152,Reference!$B$2:$B$152)</f>
        <v>Nusa Tenggara Barat (NTB)</v>
      </c>
      <c r="D3279" s="82" t="s">
        <v>3718</v>
      </c>
      <c r="E3279" s="83">
        <v>45352.0</v>
      </c>
      <c r="F3279" s="84" t="str">
        <f t="array" ref="F3279">XLOOKUP(G3279,Reference!$F:$F,Reference!$D:$D,"null")</f>
        <v>Makanan dan Pakaian </v>
      </c>
      <c r="G3279" s="85" t="s">
        <v>72</v>
      </c>
      <c r="H3279" s="86">
        <v>102.38</v>
      </c>
      <c r="I3279" s="86">
        <v>102.38</v>
      </c>
      <c r="J3279" s="87">
        <f t="shared" si="2"/>
        <v>0</v>
      </c>
      <c r="K3279" s="84" t="str">
        <f t="shared" si="3"/>
        <v>Stabil</v>
      </c>
      <c r="L3279" s="84">
        <f t="shared" si="4"/>
        <v>0</v>
      </c>
      <c r="M3279" s="88" t="str">
        <f t="shared" si="5"/>
        <v>Perubahan Normal</v>
      </c>
    </row>
    <row r="3280" ht="18.75" customHeight="1">
      <c r="A3280" s="80" t="s">
        <v>333</v>
      </c>
      <c r="B3280" s="81" t="str">
        <f t="shared" si="6"/>
        <v>Kab Pasaman Barat</v>
      </c>
      <c r="C3280" s="81" t="str">
        <f t="array" ref="C3280">XLOOKUP(B3280,Reference!$A$2:$A$152,Reference!$B$2:$B$152)</f>
        <v>Sumatera Barat</v>
      </c>
      <c r="D3280" s="82" t="s">
        <v>3719</v>
      </c>
      <c r="E3280" s="83">
        <v>45323.0</v>
      </c>
      <c r="F3280" s="84" t="str">
        <f t="array" ref="F3280">XLOOKUP(G3280,Reference!$F:$F,Reference!$D:$D,"null")</f>
        <v>Makanan dan Pakaian </v>
      </c>
      <c r="G3280" s="89" t="s">
        <v>48</v>
      </c>
      <c r="H3280" s="90">
        <v>115.72</v>
      </c>
      <c r="I3280" s="90">
        <v>108.29</v>
      </c>
      <c r="J3280" s="87">
        <f t="shared" si="2"/>
        <v>6.861206021</v>
      </c>
      <c r="K3280" s="84" t="str">
        <f t="shared" si="3"/>
        <v>Inflasi Tinggi</v>
      </c>
      <c r="L3280" s="91">
        <f t="shared" si="4"/>
        <v>7.43</v>
      </c>
      <c r="M3280" s="88" t="str">
        <f t="shared" si="5"/>
        <v>Akselerasi Kuat</v>
      </c>
    </row>
    <row r="3281" ht="18.75" customHeight="1">
      <c r="A3281" s="80" t="s">
        <v>841</v>
      </c>
      <c r="B3281" s="81" t="str">
        <f t="shared" si="6"/>
        <v>Kab Morowali</v>
      </c>
      <c r="C3281" s="81" t="str">
        <f t="array" ref="C3281">XLOOKUP(B3281,Reference!$A$2:$A$152,Reference!$B$2:$B$152)</f>
        <v>Sulawesi Tengah</v>
      </c>
      <c r="D3281" s="82" t="s">
        <v>3720</v>
      </c>
      <c r="E3281" s="83">
        <v>45323.0</v>
      </c>
      <c r="F3281" s="84" t="str">
        <f t="array" ref="F3281">XLOOKUP(G3281,Reference!$F:$F,Reference!$D:$D,"null")</f>
        <v>Rumah Tangga</v>
      </c>
      <c r="G3281" s="85" t="s">
        <v>89</v>
      </c>
      <c r="H3281" s="86">
        <v>104.87</v>
      </c>
      <c r="I3281" s="86">
        <v>104.87</v>
      </c>
      <c r="J3281" s="87">
        <f t="shared" si="2"/>
        <v>0</v>
      </c>
      <c r="K3281" s="84" t="str">
        <f t="shared" si="3"/>
        <v>Stabil</v>
      </c>
      <c r="L3281" s="84">
        <f t="shared" si="4"/>
        <v>0</v>
      </c>
      <c r="M3281" s="88" t="str">
        <f t="shared" si="5"/>
        <v>Perubahan Normal</v>
      </c>
    </row>
    <row r="3282" ht="18.75" customHeight="1">
      <c r="A3282" s="80" t="s">
        <v>296</v>
      </c>
      <c r="B3282" s="81" t="str">
        <f t="shared" si="6"/>
        <v>Kota Bogor</v>
      </c>
      <c r="C3282" s="81" t="str">
        <f t="array" ref="C3282">XLOOKUP(B3282,Reference!$A$2:$A$152,Reference!$B$2:$B$152)</f>
        <v>Jawa Barat</v>
      </c>
      <c r="D3282" s="82" t="s">
        <v>3721</v>
      </c>
      <c r="E3282" s="83">
        <v>45352.0</v>
      </c>
      <c r="F3282" s="84" t="str">
        <f t="array" ref="F3282">XLOOKUP(G3282,Reference!$F:$F,Reference!$D:$D,"null")</f>
        <v>Makanan dan Pakaian </v>
      </c>
      <c r="G3282" s="85" t="s">
        <v>72</v>
      </c>
      <c r="H3282" s="86">
        <v>107.49</v>
      </c>
      <c r="I3282" s="86">
        <v>107.97</v>
      </c>
      <c r="J3282" s="87">
        <f t="shared" si="2"/>
        <v>-0.4445679355</v>
      </c>
      <c r="K3282" s="84" t="str">
        <f t="shared" si="3"/>
        <v>Deflasi</v>
      </c>
      <c r="L3282" s="84">
        <f t="shared" si="4"/>
        <v>-0.48</v>
      </c>
      <c r="M3282" s="88" t="str">
        <f t="shared" si="5"/>
        <v>Perubahan Normal</v>
      </c>
    </row>
    <row r="3283" ht="18.75" customHeight="1">
      <c r="A3283" s="80" t="s">
        <v>508</v>
      </c>
      <c r="B3283" s="81" t="str">
        <f t="shared" si="6"/>
        <v>Kab Minahasa Selatan</v>
      </c>
      <c r="C3283" s="81" t="str">
        <f t="array" ref="C3283">XLOOKUP(B3283,Reference!$A$2:$A$152,Reference!$B$2:$B$152)</f>
        <v>Sulawesi Utara</v>
      </c>
      <c r="D3283" s="82" t="s">
        <v>3722</v>
      </c>
      <c r="E3283" s="83">
        <v>45352.0</v>
      </c>
      <c r="F3283" s="84" t="str">
        <f t="array" ref="F3283">XLOOKUP(G3283,Reference!$F:$F,Reference!$D:$D,"null")</f>
        <v>Pendidikan dan Kesehatan</v>
      </c>
      <c r="G3283" s="85" t="s">
        <v>95</v>
      </c>
      <c r="H3283" s="86">
        <v>100.16</v>
      </c>
      <c r="I3283" s="86">
        <v>100.16</v>
      </c>
      <c r="J3283" s="87">
        <f t="shared" si="2"/>
        <v>0</v>
      </c>
      <c r="K3283" s="84" t="str">
        <f t="shared" si="3"/>
        <v>Stabil</v>
      </c>
      <c r="L3283" s="84">
        <f t="shared" si="4"/>
        <v>0</v>
      </c>
      <c r="M3283" s="88" t="str">
        <f t="shared" si="5"/>
        <v>Perubahan Normal</v>
      </c>
    </row>
    <row r="3284" ht="18.75" customHeight="1">
      <c r="A3284" s="80" t="s">
        <v>814</v>
      </c>
      <c r="B3284" s="81" t="str">
        <f t="shared" si="6"/>
        <v>Kota Samarinda</v>
      </c>
      <c r="C3284" s="81" t="str">
        <f t="array" ref="C3284">XLOOKUP(B3284,Reference!$A$2:$A$152,Reference!$B$2:$B$152)</f>
        <v>Kalimantan Timur</v>
      </c>
      <c r="D3284" s="82" t="s">
        <v>3723</v>
      </c>
      <c r="E3284" s="83">
        <v>45323.0</v>
      </c>
      <c r="F3284" s="84" t="str">
        <f t="array" ref="F3284">XLOOKUP(G3284,Reference!$F:$F,Reference!$D:$D,"null")</f>
        <v>Makanan dan Pakaian </v>
      </c>
      <c r="G3284" s="85" t="s">
        <v>56</v>
      </c>
      <c r="H3284" s="86">
        <v>102.84</v>
      </c>
      <c r="I3284" s="86">
        <v>103.71</v>
      </c>
      <c r="J3284" s="87">
        <f t="shared" si="2"/>
        <v>-0.8388776396</v>
      </c>
      <c r="K3284" s="84" t="str">
        <f t="shared" si="3"/>
        <v>Deflasi</v>
      </c>
      <c r="L3284" s="84">
        <f t="shared" si="4"/>
        <v>-0.87</v>
      </c>
      <c r="M3284" s="88" t="str">
        <f t="shared" si="5"/>
        <v>Perubahan Normal</v>
      </c>
    </row>
    <row r="3285" ht="18.75" customHeight="1">
      <c r="A3285" s="80" t="s">
        <v>524</v>
      </c>
      <c r="B3285" s="81" t="str">
        <f t="shared" si="6"/>
        <v>Kudus</v>
      </c>
      <c r="C3285" s="81" t="str">
        <f t="array" ref="C3285">XLOOKUP(B3285,Reference!$A$2:$A$152,Reference!$B$2:$B$152)</f>
        <v>Jawa Tengah</v>
      </c>
      <c r="D3285" s="82" t="s">
        <v>3724</v>
      </c>
      <c r="E3285" s="83">
        <v>45352.0</v>
      </c>
      <c r="F3285" s="84" t="str">
        <f t="array" ref="F3285">XLOOKUP(G3285,Reference!$F:$F,Reference!$D:$D,"null")</f>
        <v>Makanan dan Pakaian </v>
      </c>
      <c r="G3285" s="85" t="s">
        <v>72</v>
      </c>
      <c r="H3285" s="86">
        <v>102.29</v>
      </c>
      <c r="I3285" s="86">
        <v>101.74</v>
      </c>
      <c r="J3285" s="87">
        <f t="shared" si="2"/>
        <v>0.5405936701</v>
      </c>
      <c r="K3285" s="84" t="str">
        <f t="shared" si="3"/>
        <v>Inflasi Tinggi</v>
      </c>
      <c r="L3285" s="84">
        <f t="shared" si="4"/>
        <v>0.55</v>
      </c>
      <c r="M3285" s="88" t="str">
        <f t="shared" si="5"/>
        <v>Akselerasi Persentase</v>
      </c>
    </row>
    <row r="3286" ht="18.75" customHeight="1">
      <c r="A3286" s="80" t="s">
        <v>706</v>
      </c>
      <c r="B3286" s="81" t="str">
        <f t="shared" si="6"/>
        <v>Kota Makassar</v>
      </c>
      <c r="C3286" s="81" t="str">
        <f t="array" ref="C3286">XLOOKUP(B3286,Reference!$A$2:$A$152,Reference!$B$2:$B$152)</f>
        <v>Sulawesi Selatan</v>
      </c>
      <c r="D3286" s="82" t="s">
        <v>3725</v>
      </c>
      <c r="E3286" s="83">
        <v>45352.0</v>
      </c>
      <c r="F3286" s="84" t="str">
        <f t="array" ref="F3286">XLOOKUP(G3286,Reference!$F:$F,Reference!$D:$D,"null")</f>
        <v>Pendidikan dan Kesehatan</v>
      </c>
      <c r="G3286" s="85" t="s">
        <v>98</v>
      </c>
      <c r="H3286" s="86">
        <v>103.18</v>
      </c>
      <c r="I3286" s="86">
        <v>103.15</v>
      </c>
      <c r="J3286" s="87">
        <f t="shared" si="2"/>
        <v>0.02908385846</v>
      </c>
      <c r="K3286" s="84" t="str">
        <f t="shared" si="3"/>
        <v>Inflasi Normal</v>
      </c>
      <c r="L3286" s="84">
        <f t="shared" si="4"/>
        <v>0.03</v>
      </c>
      <c r="M3286" s="88" t="str">
        <f t="shared" si="5"/>
        <v>Perubahan Normal</v>
      </c>
    </row>
    <row r="3287" ht="18.75" customHeight="1">
      <c r="A3287" s="80" t="s">
        <v>320</v>
      </c>
      <c r="B3287" s="81" t="str">
        <f t="shared" si="6"/>
        <v>Kota Manado</v>
      </c>
      <c r="C3287" s="81" t="str">
        <f t="array" ref="C3287">XLOOKUP(B3287,Reference!$A$2:$A$152,Reference!$B$2:$B$152)</f>
        <v>Sulawesi Utara</v>
      </c>
      <c r="D3287" s="82" t="s">
        <v>3726</v>
      </c>
      <c r="E3287" s="83">
        <v>45352.0</v>
      </c>
      <c r="F3287" s="84" t="str">
        <f t="array" ref="F3287">XLOOKUP(G3287,Reference!$F:$F,Reference!$D:$D,"null")</f>
        <v>Makanan dan Pakaian </v>
      </c>
      <c r="G3287" s="85" t="s">
        <v>56</v>
      </c>
      <c r="H3287" s="86">
        <v>101.61</v>
      </c>
      <c r="I3287" s="86">
        <v>101.85</v>
      </c>
      <c r="J3287" s="87">
        <f t="shared" si="2"/>
        <v>-0.235640648</v>
      </c>
      <c r="K3287" s="84" t="str">
        <f t="shared" si="3"/>
        <v>Deflasi</v>
      </c>
      <c r="L3287" s="84">
        <f t="shared" si="4"/>
        <v>-0.24</v>
      </c>
      <c r="M3287" s="88" t="str">
        <f t="shared" si="5"/>
        <v>Perubahan Normal</v>
      </c>
    </row>
    <row r="3288" ht="18.75" customHeight="1">
      <c r="A3288" s="80" t="s">
        <v>594</v>
      </c>
      <c r="B3288" s="81" t="str">
        <f t="shared" si="6"/>
        <v>Kota Kendari</v>
      </c>
      <c r="C3288" s="81" t="str">
        <f t="array" ref="C3288">XLOOKUP(B3288,Reference!$A$2:$A$152,Reference!$B$2:$B$152)</f>
        <v>Sulawesi Tenggara</v>
      </c>
      <c r="D3288" s="82" t="s">
        <v>3727</v>
      </c>
      <c r="E3288" s="83">
        <v>45352.0</v>
      </c>
      <c r="F3288" s="84" t="str">
        <f t="array" ref="F3288">XLOOKUP(G3288,Reference!$F:$F,Reference!$D:$D,"null")</f>
        <v>Rekreasi dan Kendaraan</v>
      </c>
      <c r="G3288" s="85" t="s">
        <v>102</v>
      </c>
      <c r="H3288" s="86">
        <v>101.3</v>
      </c>
      <c r="I3288" s="86">
        <v>101.56</v>
      </c>
      <c r="J3288" s="87">
        <f t="shared" si="2"/>
        <v>-0.2560063017</v>
      </c>
      <c r="K3288" s="84" t="str">
        <f t="shared" si="3"/>
        <v>Deflasi</v>
      </c>
      <c r="L3288" s="84">
        <f t="shared" si="4"/>
        <v>-0.26</v>
      </c>
      <c r="M3288" s="88" t="str">
        <f t="shared" si="5"/>
        <v>Perubahan Normal</v>
      </c>
    </row>
    <row r="3289" ht="18.75" customHeight="1">
      <c r="A3289" s="80" t="s">
        <v>450</v>
      </c>
      <c r="B3289" s="81" t="str">
        <f t="shared" si="6"/>
        <v>Waingapu</v>
      </c>
      <c r="C3289" s="81" t="str">
        <f t="array" ref="C3289">XLOOKUP(B3289,Reference!$A$2:$A$152,Reference!$B$2:$B$152)</f>
        <v>Nusa Tenggara Timur (NTT)</v>
      </c>
      <c r="D3289" s="82" t="s">
        <v>3728</v>
      </c>
      <c r="E3289" s="83">
        <v>45352.0</v>
      </c>
      <c r="F3289" s="84" t="str">
        <f t="array" ref="F3289">XLOOKUP(G3289,Reference!$F:$F,Reference!$D:$D,"null")</f>
        <v>Makanan dan Pakaian </v>
      </c>
      <c r="G3289" s="85" t="s">
        <v>48</v>
      </c>
      <c r="H3289" s="86">
        <v>108.02</v>
      </c>
      <c r="I3289" s="86">
        <v>106.9</v>
      </c>
      <c r="J3289" s="87">
        <f t="shared" si="2"/>
        <v>1.047708138</v>
      </c>
      <c r="K3289" s="84" t="str">
        <f t="shared" si="3"/>
        <v>Inflasi Tinggi</v>
      </c>
      <c r="L3289" s="84">
        <f t="shared" si="4"/>
        <v>1.12</v>
      </c>
      <c r="M3289" s="88" t="str">
        <f t="shared" si="5"/>
        <v>Akselerasi Persentase</v>
      </c>
    </row>
    <row r="3290" ht="18.75" customHeight="1">
      <c r="A3290" s="80" t="s">
        <v>372</v>
      </c>
      <c r="B3290" s="81" t="str">
        <f t="shared" si="6"/>
        <v>Kota Tanjung Pinang</v>
      </c>
      <c r="C3290" s="81" t="str">
        <f t="array" ref="C3290">XLOOKUP(B3290,Reference!$A$2:$A$152,Reference!$B$2:$B$152)</f>
        <v>Kepulauan Riau</v>
      </c>
      <c r="D3290" s="82" t="s">
        <v>3729</v>
      </c>
      <c r="E3290" s="83">
        <v>45352.0</v>
      </c>
      <c r="F3290" s="84" t="str">
        <f t="array" ref="F3290">XLOOKUP(G3290,Reference!$F:$F,Reference!$D:$D,"null")</f>
        <v>Rumah Tangga</v>
      </c>
      <c r="G3290" s="89" t="s">
        <v>89</v>
      </c>
      <c r="H3290" s="90">
        <v>101.16</v>
      </c>
      <c r="I3290" s="90">
        <v>100.65</v>
      </c>
      <c r="J3290" s="87">
        <f t="shared" si="2"/>
        <v>0.5067064083</v>
      </c>
      <c r="K3290" s="84" t="str">
        <f t="shared" si="3"/>
        <v>Inflasi Normal</v>
      </c>
      <c r="L3290" s="91">
        <f t="shared" si="4"/>
        <v>0.51</v>
      </c>
      <c r="M3290" s="88" t="str">
        <f t="shared" si="5"/>
        <v>Akselerasi Persentase</v>
      </c>
    </row>
    <row r="3291" ht="18.75" customHeight="1">
      <c r="A3291" s="80" t="s">
        <v>349</v>
      </c>
      <c r="B3291" s="81" t="str">
        <f t="shared" si="6"/>
        <v>Kota Banjarmasin</v>
      </c>
      <c r="C3291" s="81" t="str">
        <f t="array" ref="C3291">XLOOKUP(B3291,Reference!$A$2:$A$152,Reference!$B$2:$B$152)</f>
        <v>Kalimantan Selatan</v>
      </c>
      <c r="D3291" s="82" t="s">
        <v>3730</v>
      </c>
      <c r="E3291" s="83">
        <v>45352.0</v>
      </c>
      <c r="F3291" s="84" t="str">
        <f t="array" ref="F3291">XLOOKUP(G3291,Reference!$F:$F,Reference!$D:$D,"null")</f>
        <v>Makanan dan Pakaian </v>
      </c>
      <c r="G3291" s="85" t="s">
        <v>48</v>
      </c>
      <c r="H3291" s="86">
        <v>110.0</v>
      </c>
      <c r="I3291" s="86">
        <v>107.9</v>
      </c>
      <c r="J3291" s="87">
        <f t="shared" si="2"/>
        <v>1.946246525</v>
      </c>
      <c r="K3291" s="84" t="str">
        <f t="shared" si="3"/>
        <v>Inflasi Tinggi</v>
      </c>
      <c r="L3291" s="84">
        <f t="shared" si="4"/>
        <v>2.1</v>
      </c>
      <c r="M3291" s="88" t="str">
        <f t="shared" si="5"/>
        <v>Akselerasi Kuat</v>
      </c>
    </row>
    <row r="3292" ht="18.75" customHeight="1">
      <c r="A3292" s="80" t="s">
        <v>539</v>
      </c>
      <c r="B3292" s="81" t="str">
        <f t="shared" si="6"/>
        <v>Kab Sorong Selatan</v>
      </c>
      <c r="C3292" s="81" t="str">
        <f t="array" ref="C3292">XLOOKUP(B3292,Reference!$A$2:$A$152,Reference!$B$2:$B$152)</f>
        <v>Papua Barat Daya</v>
      </c>
      <c r="D3292" s="82" t="s">
        <v>3731</v>
      </c>
      <c r="E3292" s="83">
        <v>45352.0</v>
      </c>
      <c r="F3292" s="84" t="str">
        <f t="array" ref="F3292">XLOOKUP(G3292,Reference!$F:$F,Reference!$D:$D,"null")</f>
        <v>Makanan dan Pakaian </v>
      </c>
      <c r="G3292" s="85" t="s">
        <v>48</v>
      </c>
      <c r="H3292" s="86">
        <v>108.92</v>
      </c>
      <c r="I3292" s="86">
        <v>108.11</v>
      </c>
      <c r="J3292" s="87">
        <f t="shared" si="2"/>
        <v>0.7492368884</v>
      </c>
      <c r="K3292" s="84" t="str">
        <f t="shared" si="3"/>
        <v>Inflasi Tinggi</v>
      </c>
      <c r="L3292" s="84">
        <f t="shared" si="4"/>
        <v>0.81</v>
      </c>
      <c r="M3292" s="88" t="str">
        <f t="shared" si="5"/>
        <v>Akselerasi Persentase</v>
      </c>
    </row>
    <row r="3293" ht="18.75" customHeight="1">
      <c r="A3293" s="80" t="s">
        <v>814</v>
      </c>
      <c r="B3293" s="81" t="str">
        <f t="shared" si="6"/>
        <v>Kota Samarinda</v>
      </c>
      <c r="C3293" s="81" t="str">
        <f t="array" ref="C3293">XLOOKUP(B3293,Reference!$A$2:$A$152,Reference!$B$2:$B$152)</f>
        <v>Kalimantan Timur</v>
      </c>
      <c r="D3293" s="82" t="s">
        <v>3732</v>
      </c>
      <c r="E3293" s="83">
        <v>45352.0</v>
      </c>
      <c r="F3293" s="84" t="str">
        <f t="array" ref="F3293">XLOOKUP(G3293,Reference!$F:$F,Reference!$D:$D,"null")</f>
        <v>Makanan dan Pakaian </v>
      </c>
      <c r="G3293" s="85" t="s">
        <v>56</v>
      </c>
      <c r="H3293" s="86">
        <v>104.94</v>
      </c>
      <c r="I3293" s="86">
        <v>102.84</v>
      </c>
      <c r="J3293" s="87">
        <f t="shared" si="2"/>
        <v>2.042007001</v>
      </c>
      <c r="K3293" s="84" t="str">
        <f t="shared" si="3"/>
        <v>Inflasi Tinggi</v>
      </c>
      <c r="L3293" s="84">
        <f t="shared" si="4"/>
        <v>2.1</v>
      </c>
      <c r="M3293" s="88" t="str">
        <f t="shared" si="5"/>
        <v>Akselerasi Kuat</v>
      </c>
    </row>
    <row r="3294" ht="18.75" customHeight="1">
      <c r="A3294" s="80" t="s">
        <v>806</v>
      </c>
      <c r="B3294" s="81" t="str">
        <f t="shared" si="6"/>
        <v>Kab Subang</v>
      </c>
      <c r="C3294" s="81" t="str">
        <f t="array" ref="C3294">XLOOKUP(B3294,Reference!$A$2:$A$152,Reference!$B$2:$B$152)</f>
        <v>Jawa Barat</v>
      </c>
      <c r="D3294" s="82" t="s">
        <v>3733</v>
      </c>
      <c r="E3294" s="83">
        <v>45323.0</v>
      </c>
      <c r="F3294" s="84" t="str">
        <f t="array" ref="F3294">XLOOKUP(G3294,Reference!$F:$F,Reference!$D:$D,"null")</f>
        <v>Makanan dan Pakaian </v>
      </c>
      <c r="G3294" s="85" t="s">
        <v>48</v>
      </c>
      <c r="H3294" s="86">
        <v>112.84</v>
      </c>
      <c r="I3294" s="86">
        <v>112.61</v>
      </c>
      <c r="J3294" s="87">
        <f t="shared" si="2"/>
        <v>0.2042447385</v>
      </c>
      <c r="K3294" s="84" t="str">
        <f t="shared" si="3"/>
        <v>Inflasi Normal</v>
      </c>
      <c r="L3294" s="84">
        <f t="shared" si="4"/>
        <v>0.23</v>
      </c>
      <c r="M3294" s="88" t="str">
        <f t="shared" si="5"/>
        <v>Perubahan Normal</v>
      </c>
    </row>
    <row r="3295" ht="18.75" customHeight="1">
      <c r="A3295" s="80" t="s">
        <v>616</v>
      </c>
      <c r="B3295" s="81" t="str">
        <f t="shared" si="6"/>
        <v>Kab Sorong</v>
      </c>
      <c r="C3295" s="81" t="str">
        <f t="array" ref="C3295">XLOOKUP(B3295,Reference!$A$2:$A$152,Reference!$B$2:$B$152)</f>
        <v>Papua Barat Daya</v>
      </c>
      <c r="D3295" s="82" t="s">
        <v>3734</v>
      </c>
      <c r="E3295" s="83">
        <v>45323.0</v>
      </c>
      <c r="F3295" s="84" t="str">
        <f t="array" ref="F3295">XLOOKUP(G3295,Reference!$F:$F,Reference!$D:$D,"null")</f>
        <v>Makanan dan Pakaian </v>
      </c>
      <c r="G3295" s="85" t="s">
        <v>48</v>
      </c>
      <c r="H3295" s="86">
        <v>101.14</v>
      </c>
      <c r="I3295" s="86">
        <v>100.73</v>
      </c>
      <c r="J3295" s="87">
        <f t="shared" si="2"/>
        <v>0.4070286906</v>
      </c>
      <c r="K3295" s="84" t="str">
        <f t="shared" si="3"/>
        <v>Inflasi Normal</v>
      </c>
      <c r="L3295" s="84">
        <f t="shared" si="4"/>
        <v>0.41</v>
      </c>
      <c r="M3295" s="88" t="str">
        <f t="shared" si="5"/>
        <v>Perubahan Normal</v>
      </c>
    </row>
    <row r="3296" ht="18.75" customHeight="1">
      <c r="A3296" s="80" t="s">
        <v>814</v>
      </c>
      <c r="B3296" s="81" t="str">
        <f t="shared" si="6"/>
        <v>Kota Samarinda</v>
      </c>
      <c r="C3296" s="81" t="str">
        <f t="array" ref="C3296">XLOOKUP(B3296,Reference!$A$2:$A$152,Reference!$B$2:$B$152)</f>
        <v>Kalimantan Timur</v>
      </c>
      <c r="D3296" s="82" t="s">
        <v>3735</v>
      </c>
      <c r="E3296" s="83">
        <v>45323.0</v>
      </c>
      <c r="F3296" s="84" t="str">
        <f t="array" ref="F3296">XLOOKUP(G3296,Reference!$F:$F,Reference!$D:$D,"null")</f>
        <v>Pendidikan dan Kesehatan</v>
      </c>
      <c r="G3296" s="85" t="s">
        <v>98</v>
      </c>
      <c r="H3296" s="86">
        <v>104.18</v>
      </c>
      <c r="I3296" s="86">
        <v>104.16</v>
      </c>
      <c r="J3296" s="87">
        <f t="shared" si="2"/>
        <v>0.01920122888</v>
      </c>
      <c r="K3296" s="84" t="str">
        <f t="shared" si="3"/>
        <v>Inflasi Normal</v>
      </c>
      <c r="L3296" s="84">
        <f t="shared" si="4"/>
        <v>0.02</v>
      </c>
      <c r="M3296" s="88" t="str">
        <f t="shared" si="5"/>
        <v>Perubahan Normal</v>
      </c>
    </row>
    <row r="3297" ht="18.75" customHeight="1">
      <c r="A3297" s="80" t="s">
        <v>505</v>
      </c>
      <c r="B3297" s="81" t="str">
        <f t="shared" si="6"/>
        <v>Kota Denpasar</v>
      </c>
      <c r="C3297" s="81" t="str">
        <f t="array" ref="C3297">XLOOKUP(B3297,Reference!$A$2:$A$152,Reference!$B$2:$B$152)</f>
        <v>Bali</v>
      </c>
      <c r="D3297" s="82" t="s">
        <v>3736</v>
      </c>
      <c r="E3297" s="83">
        <v>45352.0</v>
      </c>
      <c r="F3297" s="84" t="str">
        <f t="array" ref="F3297">XLOOKUP(G3297,Reference!$F:$F,Reference!$D:$D,"null")</f>
        <v>Makanan dan Pakaian </v>
      </c>
      <c r="G3297" s="85" t="s">
        <v>64</v>
      </c>
      <c r="H3297" s="86">
        <v>99.82</v>
      </c>
      <c r="I3297" s="86">
        <v>99.42</v>
      </c>
      <c r="J3297" s="87">
        <f t="shared" si="2"/>
        <v>0.4023335345</v>
      </c>
      <c r="K3297" s="84" t="str">
        <f t="shared" si="3"/>
        <v>Inflasi Normal</v>
      </c>
      <c r="L3297" s="84">
        <f t="shared" si="4"/>
        <v>0.4</v>
      </c>
      <c r="M3297" s="88" t="str">
        <f t="shared" si="5"/>
        <v>Perubahan Normal</v>
      </c>
    </row>
    <row r="3298" ht="18.75" customHeight="1">
      <c r="A3298" s="80" t="s">
        <v>672</v>
      </c>
      <c r="B3298" s="81" t="str">
        <f t="shared" si="6"/>
        <v>Kab Ogan Komering Ilir</v>
      </c>
      <c r="C3298" s="81" t="str">
        <f t="array" ref="C3298">XLOOKUP(B3298,Reference!$A$2:$A$152,Reference!$B$2:$B$152)</f>
        <v>Sumatera Selatan</v>
      </c>
      <c r="D3298" s="82" t="s">
        <v>3737</v>
      </c>
      <c r="E3298" s="83">
        <v>45323.0</v>
      </c>
      <c r="F3298" s="84" t="str">
        <f t="array" ref="F3298">XLOOKUP(G3298,Reference!$F:$F,Reference!$D:$D,"null")</f>
        <v>Makanan dan Pakaian </v>
      </c>
      <c r="G3298" s="85" t="s">
        <v>56</v>
      </c>
      <c r="H3298" s="86">
        <v>102.75</v>
      </c>
      <c r="I3298" s="86">
        <v>102.75</v>
      </c>
      <c r="J3298" s="87">
        <f t="shared" si="2"/>
        <v>0</v>
      </c>
      <c r="K3298" s="84" t="str">
        <f t="shared" si="3"/>
        <v>Stabil</v>
      </c>
      <c r="L3298" s="84">
        <f t="shared" si="4"/>
        <v>0</v>
      </c>
      <c r="M3298" s="88" t="str">
        <f t="shared" si="5"/>
        <v>Perubahan Normal</v>
      </c>
    </row>
    <row r="3299" ht="18.75" customHeight="1">
      <c r="A3299" s="80" t="s">
        <v>380</v>
      </c>
      <c r="B3299" s="81" t="str">
        <f t="shared" si="6"/>
        <v>Kota Bengkulu</v>
      </c>
      <c r="C3299" s="81" t="str">
        <f t="array" ref="C3299">XLOOKUP(B3299,Reference!$A$2:$A$152,Reference!$B$2:$B$152)</f>
        <v>Bengkulu</v>
      </c>
      <c r="D3299" s="82" t="s">
        <v>3738</v>
      </c>
      <c r="E3299" s="83">
        <v>45323.0</v>
      </c>
      <c r="F3299" s="84" t="str">
        <f t="array" ref="F3299">XLOOKUP(G3299,Reference!$F:$F,Reference!$D:$D,"null")</f>
        <v>Pendidikan dan Kesehatan</v>
      </c>
      <c r="G3299" s="85" t="s">
        <v>98</v>
      </c>
      <c r="H3299" s="86">
        <v>102.03</v>
      </c>
      <c r="I3299" s="86">
        <v>102.25</v>
      </c>
      <c r="J3299" s="87">
        <f t="shared" si="2"/>
        <v>-0.2151589242</v>
      </c>
      <c r="K3299" s="84" t="str">
        <f t="shared" si="3"/>
        <v>Deflasi</v>
      </c>
      <c r="L3299" s="84">
        <f t="shared" si="4"/>
        <v>-0.22</v>
      </c>
      <c r="M3299" s="88" t="str">
        <f t="shared" si="5"/>
        <v>Perubahan Normal</v>
      </c>
    </row>
    <row r="3300" ht="18.75" customHeight="1">
      <c r="A3300" s="80" t="s">
        <v>296</v>
      </c>
      <c r="B3300" s="81" t="str">
        <f t="shared" si="6"/>
        <v>Kota Bogor</v>
      </c>
      <c r="C3300" s="81" t="str">
        <f t="array" ref="C3300">XLOOKUP(B3300,Reference!$A$2:$A$152,Reference!$B$2:$B$152)</f>
        <v>Jawa Barat</v>
      </c>
      <c r="D3300" s="82" t="s">
        <v>3739</v>
      </c>
      <c r="E3300" s="83">
        <v>45323.0</v>
      </c>
      <c r="F3300" s="84" t="str">
        <f t="array" ref="F3300">XLOOKUP(G3300,Reference!$F:$F,Reference!$D:$D,"null")</f>
        <v>Makanan dan Pakaian </v>
      </c>
      <c r="G3300" s="85" t="s">
        <v>56</v>
      </c>
      <c r="H3300" s="86">
        <v>104.27</v>
      </c>
      <c r="I3300" s="86">
        <v>104.18</v>
      </c>
      <c r="J3300" s="87">
        <f t="shared" si="2"/>
        <v>0.08638894222</v>
      </c>
      <c r="K3300" s="84" t="str">
        <f t="shared" si="3"/>
        <v>Inflasi Normal</v>
      </c>
      <c r="L3300" s="84">
        <f t="shared" si="4"/>
        <v>0.09</v>
      </c>
      <c r="M3300" s="88" t="str">
        <f t="shared" si="5"/>
        <v>Perubahan Normal</v>
      </c>
    </row>
    <row r="3301" ht="18.75" customHeight="1">
      <c r="A3301" s="80" t="s">
        <v>822</v>
      </c>
      <c r="B3301" s="81" t="str">
        <f t="shared" si="6"/>
        <v>Kota Pontianak</v>
      </c>
      <c r="C3301" s="81" t="str">
        <f t="array" ref="C3301">XLOOKUP(B3301,Reference!$A$2:$A$152,Reference!$B$2:$B$152)</f>
        <v>Kalimantan Barat</v>
      </c>
      <c r="D3301" s="82" t="s">
        <v>3740</v>
      </c>
      <c r="E3301" s="83">
        <v>45352.0</v>
      </c>
      <c r="F3301" s="84" t="str">
        <f t="array" ref="F3301">XLOOKUP(G3301,Reference!$F:$F,Reference!$D:$D,"null")</f>
        <v>Makanan dan Pakaian </v>
      </c>
      <c r="G3301" s="85" t="s">
        <v>64</v>
      </c>
      <c r="H3301" s="86">
        <v>104.0</v>
      </c>
      <c r="I3301" s="86">
        <v>104.02</v>
      </c>
      <c r="J3301" s="87">
        <f t="shared" si="2"/>
        <v>-0.01922707172</v>
      </c>
      <c r="K3301" s="84" t="str">
        <f t="shared" si="3"/>
        <v>Deflasi</v>
      </c>
      <c r="L3301" s="84">
        <f t="shared" si="4"/>
        <v>-0.02</v>
      </c>
      <c r="M3301" s="88" t="str">
        <f t="shared" si="5"/>
        <v>Perubahan Normal</v>
      </c>
    </row>
    <row r="3302" ht="18.75" customHeight="1">
      <c r="A3302" s="80" t="s">
        <v>384</v>
      </c>
      <c r="B3302" s="81" t="str">
        <f t="shared" si="6"/>
        <v>Kab Lebak</v>
      </c>
      <c r="C3302" s="81" t="str">
        <f t="array" ref="C3302">XLOOKUP(B3302,Reference!$A$2:$A$152,Reference!$B$2:$B$152)</f>
        <v>Banten</v>
      </c>
      <c r="D3302" s="82" t="s">
        <v>3741</v>
      </c>
      <c r="E3302" s="83">
        <v>45352.0</v>
      </c>
      <c r="F3302" s="84" t="str">
        <f t="array" ref="F3302">XLOOKUP(G3302,Reference!$F:$F,Reference!$D:$D,"null")</f>
        <v>Rumah Tangga</v>
      </c>
      <c r="G3302" s="85" t="s">
        <v>84</v>
      </c>
      <c r="H3302" s="86">
        <v>100.52</v>
      </c>
      <c r="I3302" s="86">
        <v>100.52</v>
      </c>
      <c r="J3302" s="87">
        <f t="shared" si="2"/>
        <v>0</v>
      </c>
      <c r="K3302" s="84" t="str">
        <f t="shared" si="3"/>
        <v>Stabil</v>
      </c>
      <c r="L3302" s="84">
        <f t="shared" si="4"/>
        <v>0</v>
      </c>
      <c r="M3302" s="88" t="str">
        <f t="shared" si="5"/>
        <v>Perubahan Normal</v>
      </c>
    </row>
    <row r="3303" ht="18.75" customHeight="1">
      <c r="A3303" s="80" t="s">
        <v>399</v>
      </c>
      <c r="B3303" s="81" t="str">
        <f t="shared" si="6"/>
        <v>Sampit</v>
      </c>
      <c r="C3303" s="81" t="str">
        <f t="array" ref="C3303">XLOOKUP(B3303,Reference!$A$2:$A$152,Reference!$B$2:$B$152)</f>
        <v>Kalimantan Tengah</v>
      </c>
      <c r="D3303" s="82" t="s">
        <v>3742</v>
      </c>
      <c r="E3303" s="83">
        <v>45323.0</v>
      </c>
      <c r="F3303" s="84" t="str">
        <f t="array" ref="F3303">XLOOKUP(G3303,Reference!$F:$F,Reference!$D:$D,"null")</f>
        <v>Pendidikan dan Kesehatan</v>
      </c>
      <c r="G3303" s="85" t="s">
        <v>95</v>
      </c>
      <c r="H3303" s="86">
        <v>104.56</v>
      </c>
      <c r="I3303" s="86">
        <v>104.56</v>
      </c>
      <c r="J3303" s="87">
        <f t="shared" si="2"/>
        <v>0</v>
      </c>
      <c r="K3303" s="84" t="str">
        <f t="shared" si="3"/>
        <v>Stabil</v>
      </c>
      <c r="L3303" s="84">
        <f t="shared" si="4"/>
        <v>0</v>
      </c>
      <c r="M3303" s="88" t="str">
        <f t="shared" si="5"/>
        <v>Perubahan Normal</v>
      </c>
    </row>
    <row r="3304" ht="18.75" customHeight="1">
      <c r="A3304" s="99" t="s">
        <v>308</v>
      </c>
      <c r="B3304" s="81" t="str">
        <f t="shared" si="6"/>
        <v>Kab Sukamara</v>
      </c>
      <c r="C3304" s="81" t="str">
        <f t="array" ref="C3304">XLOOKUP(B3304,Reference!$A$2:$A$152,Reference!$B$2:$B$152)</f>
        <v>Kalimantan Tengah</v>
      </c>
      <c r="D3304" s="100" t="s">
        <v>3743</v>
      </c>
      <c r="E3304" s="101">
        <v>45352.0</v>
      </c>
      <c r="F3304" s="84" t="str">
        <f t="array" ref="F3304">XLOOKUP(G3304,Reference!$F:$F,Reference!$D:$D,"null")</f>
        <v>Rekreasi dan Kendaraan</v>
      </c>
      <c r="G3304" s="102" t="s">
        <v>102</v>
      </c>
      <c r="H3304" s="103">
        <v>114.33</v>
      </c>
      <c r="I3304" s="103">
        <v>114.33</v>
      </c>
      <c r="J3304" s="87">
        <f t="shared" si="2"/>
        <v>0</v>
      </c>
      <c r="K3304" s="84" t="str">
        <f t="shared" si="3"/>
        <v>Stabil</v>
      </c>
      <c r="L3304" s="84">
        <f t="shared" si="4"/>
        <v>0</v>
      </c>
      <c r="M3304" s="88" t="str">
        <f t="shared" si="5"/>
        <v>Perubahan Normal</v>
      </c>
    </row>
  </sheetData>
  <autoFilter ref="$A$4:$M$33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  <col customWidth="1" min="3" max="3" width="35.63"/>
  </cols>
  <sheetData>
    <row r="2">
      <c r="B2" s="1" t="s">
        <v>3744</v>
      </c>
      <c r="D2" s="17"/>
      <c r="E2" s="17"/>
      <c r="F2" s="17"/>
      <c r="G2" s="17"/>
      <c r="H2" s="17"/>
    </row>
    <row r="3" ht="22.5" customHeight="1">
      <c r="A3" s="4"/>
      <c r="B3" s="104" t="s">
        <v>3745</v>
      </c>
      <c r="C3" s="105" t="s">
        <v>3746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4"/>
      <c r="B4" s="106" t="s">
        <v>3747</v>
      </c>
      <c r="C4" s="107" t="s">
        <v>3748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4"/>
      <c r="B5" s="108" t="s">
        <v>3749</v>
      </c>
      <c r="C5" s="107" t="s">
        <v>3750</v>
      </c>
      <c r="D5" s="10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8.25" customHeight="1">
      <c r="A6" s="4"/>
      <c r="B6" s="108" t="s">
        <v>3751</v>
      </c>
      <c r="C6" s="107" t="s">
        <v>3752</v>
      </c>
      <c r="D6" s="110"/>
      <c r="E6" s="111" t="s">
        <v>3753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9.25" customHeight="1">
      <c r="A7" s="4"/>
      <c r="B7" s="108" t="s">
        <v>3754</v>
      </c>
      <c r="C7" s="107" t="s">
        <v>3755</v>
      </c>
      <c r="D7" s="10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/>
      <c r="B8" s="112" t="s">
        <v>3756</v>
      </c>
      <c r="C8" s="107" t="s">
        <v>3757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8.0" customHeight="1">
      <c r="A9" s="4"/>
      <c r="B9" s="113" t="s">
        <v>3758</v>
      </c>
      <c r="C9" s="107" t="s">
        <v>3759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4.75" customHeight="1">
      <c r="A10" s="4"/>
      <c r="B10" s="107" t="s">
        <v>3760</v>
      </c>
      <c r="C10" s="107" t="s">
        <v>3761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4"/>
      <c r="B11" s="114" t="s">
        <v>3762</v>
      </c>
      <c r="C11" s="107" t="s">
        <v>3763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4">
      <c r="B14" s="1" t="s">
        <v>3764</v>
      </c>
      <c r="C14" s="1"/>
    </row>
    <row r="15">
      <c r="B15" s="111" t="s">
        <v>3765</v>
      </c>
    </row>
    <row r="16" ht="22.5" customHeight="1">
      <c r="A16" s="4"/>
      <c r="B16" s="115" t="s">
        <v>3766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4"/>
      <c r="B17" s="115" t="s">
        <v>3767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4"/>
      <c r="B18" s="115" t="s">
        <v>3768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4"/>
      <c r="B19" s="115" t="s">
        <v>3769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4"/>
      <c r="B20" s="115" t="s">
        <v>3770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4"/>
      <c r="B21" s="115" t="s">
        <v>3771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4"/>
      <c r="B22" s="115" t="s">
        <v>3772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</sheetData>
  <mergeCells count="1">
    <mergeCell ref="B2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5"/>
    <col customWidth="1" min="4" max="4" width="22.38"/>
    <col customWidth="1" min="7" max="7" width="21.13"/>
    <col customWidth="1" min="11" max="11" width="25.25"/>
    <col customWidth="1" min="15" max="15" width="21.13"/>
    <col customWidth="1" min="18" max="18" width="24.13"/>
    <col customWidth="1" min="21" max="21" width="7.63"/>
    <col customWidth="1" min="22" max="23" width="24.25"/>
    <col customWidth="1" min="24" max="24" width="17.5"/>
    <col customWidth="1" min="26" max="26" width="5.88"/>
    <col customWidth="1" min="27" max="28" width="24.25"/>
  </cols>
  <sheetData>
    <row r="1">
      <c r="A1" s="107" t="s">
        <v>3773</v>
      </c>
      <c r="B1" s="107"/>
      <c r="D1" s="108" t="s">
        <v>3774</v>
      </c>
      <c r="G1" s="108" t="s">
        <v>3775</v>
      </c>
      <c r="K1" s="108" t="s">
        <v>3776</v>
      </c>
      <c r="O1" s="112" t="s">
        <v>3777</v>
      </c>
      <c r="R1" s="113" t="s">
        <v>3778</v>
      </c>
      <c r="U1" s="116"/>
      <c r="V1" s="116"/>
      <c r="W1" s="107" t="s">
        <v>3779</v>
      </c>
      <c r="Z1" s="116"/>
      <c r="AA1" s="116"/>
      <c r="AB1" s="114" t="s">
        <v>3780</v>
      </c>
    </row>
    <row r="2"/>
    <row r="3">
      <c r="U3" s="123" t="s">
        <v>3786</v>
      </c>
      <c r="Z3" s="124" t="s">
        <v>3787</v>
      </c>
    </row>
    <row r="4">
      <c r="U4" s="121">
        <f t="shared" ref="U4:U14" si="1">T4-S4</f>
        <v>0.6662458832</v>
      </c>
      <c r="Z4" s="121">
        <f>X4-Y4</f>
        <v>0.1560909065</v>
      </c>
    </row>
    <row r="5">
      <c r="U5" s="121">
        <f t="shared" si="1"/>
        <v>0.1095647612</v>
      </c>
    </row>
    <row r="6">
      <c r="U6" s="121">
        <f t="shared" si="1"/>
        <v>0.1858568224</v>
      </c>
    </row>
    <row r="7">
      <c r="U7" s="121">
        <f t="shared" si="1"/>
        <v>0.06924346782</v>
      </c>
    </row>
    <row r="8">
      <c r="U8" s="121">
        <f t="shared" si="1"/>
        <v>0.09317966745</v>
      </c>
    </row>
    <row r="9">
      <c r="U9" s="121">
        <f t="shared" si="1"/>
        <v>0.03704398609</v>
      </c>
    </row>
    <row r="10">
      <c r="U10" s="121">
        <f t="shared" si="1"/>
        <v>0.1951535082</v>
      </c>
    </row>
    <row r="11">
      <c r="U11" s="121">
        <f t="shared" si="1"/>
        <v>0.1109165832</v>
      </c>
    </row>
    <row r="12">
      <c r="U12" s="121">
        <f t="shared" si="1"/>
        <v>0.03464658648</v>
      </c>
    </row>
    <row r="13">
      <c r="U13" s="121">
        <f t="shared" si="1"/>
        <v>0.007304536973</v>
      </c>
    </row>
    <row r="14">
      <c r="U14" s="121">
        <f t="shared" si="1"/>
        <v>0.06669276815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>
      <c r="Q153" s="131"/>
    </row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</sheetData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4" max="4" width="21.5"/>
    <col customWidth="1" min="5" max="5" width="15.25"/>
    <col customWidth="1" min="6" max="6" width="13.13"/>
  </cols>
  <sheetData>
    <row r="1"/>
    <row r="2"/>
    <row r="3"/>
    <row r="4"/>
  </sheetData>
  <drawing r:id="rId3"/>
</worksheet>
</file>